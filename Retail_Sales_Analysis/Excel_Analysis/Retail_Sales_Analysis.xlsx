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Retail_Sales_Analysis\Excel_Analysis\"/>
    </mc:Choice>
  </mc:AlternateContent>
  <xr:revisionPtr revIDLastSave="0" documentId="13_ncr:1_{1098F0DE-A36E-4CB1-82EF-F5443FC07036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Raw_Data" sheetId="1" r:id="rId1"/>
    <sheet name="Detail1" sheetId="12" r:id="rId2"/>
    <sheet name="Detail2" sheetId="13" r:id="rId3"/>
    <sheet name="Detail3" sheetId="14" r:id="rId4"/>
    <sheet name="Pivot_Summary" sheetId="3" r:id="rId5"/>
    <sheet name="Pivot_Category" sheetId="4" r:id="rId6"/>
    <sheet name="Pivot_Region" sheetId="5" r:id="rId7"/>
    <sheet name="Dashboard" sheetId="11" r:id="rId8"/>
    <sheet name="Pivot_Monthly" sheetId="6" r:id="rId9"/>
    <sheet name="Pivot_Top_Products" sheetId="7" r:id="rId10"/>
    <sheet name="Pivot_Top_Customers" sheetId="8" r:id="rId11"/>
    <sheet name="Pivot_SubCategory" sheetId="9" r:id="rId12"/>
    <sheet name="Pivot_Sales_Category" sheetId="10" r:id="rId13"/>
    <sheet name="Cleaned_Data" sheetId="2" r:id="rId14"/>
  </sheets>
  <definedNames>
    <definedName name="_xlnm._FilterDatabase" localSheetId="13" hidden="1">Cleaned_Data!$A$1:$L$501</definedName>
    <definedName name="_xlnm._FilterDatabase" localSheetId="0" hidden="1">Raw_Data!$A$1:$L$501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2" i="2"/>
</calcChain>
</file>

<file path=xl/sharedStrings.xml><?xml version="1.0" encoding="utf-8"?>
<sst xmlns="http://schemas.openxmlformats.org/spreadsheetml/2006/main" count="20652" uniqueCount="633">
  <si>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</si>
  <si>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</si>
  <si>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</si>
  <si>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</si>
  <si>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</si>
  <si>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</si>
  <si>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</si>
  <si>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</si>
  <si>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</si>
  <si>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Discount</t>
  </si>
  <si>
    <t>Sales</t>
  </si>
  <si>
    <t>Profit</t>
  </si>
  <si>
    <t>ORD10181</t>
  </si>
  <si>
    <t>Deepak Patil</t>
  </si>
  <si>
    <t>East</t>
  </si>
  <si>
    <t>Bhubaneswar</t>
  </si>
  <si>
    <t>Furniture</t>
  </si>
  <si>
    <t>Chairs</t>
  </si>
  <si>
    <t>Executive Chair</t>
  </si>
  <si>
    <t>ORD10070</t>
  </si>
  <si>
    <t>Manish Chavan</t>
  </si>
  <si>
    <t>South</t>
  </si>
  <si>
    <t>Hyderabad</t>
  </si>
  <si>
    <t>Technology</t>
  </si>
  <si>
    <t>Phones</t>
  </si>
  <si>
    <t>Business Phone</t>
  </si>
  <si>
    <t>ORD10170</t>
  </si>
  <si>
    <t>Akash Verma</t>
  </si>
  <si>
    <t>Office Supplies</t>
  </si>
  <si>
    <t>Paper</t>
  </si>
  <si>
    <t>A4 Paper Pack</t>
  </si>
  <si>
    <t>ORD10373</t>
  </si>
  <si>
    <t>Rahul Shah</t>
  </si>
  <si>
    <t>West</t>
  </si>
  <si>
    <t>Kolhapur</t>
  </si>
  <si>
    <t>Printers</t>
  </si>
  <si>
    <t>Inkjet Printer</t>
  </si>
  <si>
    <t>ORD10135</t>
  </si>
  <si>
    <t>Meena Iyer</t>
  </si>
  <si>
    <t>North</t>
  </si>
  <si>
    <t>Lucknow</t>
  </si>
  <si>
    <t>Bookcases</t>
  </si>
  <si>
    <t>Office Bookcase</t>
  </si>
  <si>
    <t>ORD10212</t>
  </si>
  <si>
    <t>Pallavi Nair</t>
  </si>
  <si>
    <t>Nashik</t>
  </si>
  <si>
    <t>ORD10356</t>
  </si>
  <si>
    <t>Delhi</t>
  </si>
  <si>
    <t>Laptops</t>
  </si>
  <si>
    <t>Business Laptop</t>
  </si>
  <si>
    <t>ORD10208</t>
  </si>
  <si>
    <t>Kavita Pawar</t>
  </si>
  <si>
    <t>Chandigarh</t>
  </si>
  <si>
    <t>ORD10032</t>
  </si>
  <si>
    <t>Ranchi</t>
  </si>
  <si>
    <t>ORD10358</t>
  </si>
  <si>
    <t>Pooja Deshmukh</t>
  </si>
  <si>
    <t>Bengaluru</t>
  </si>
  <si>
    <t>Accessories</t>
  </si>
  <si>
    <t>Keyboard</t>
  </si>
  <si>
    <t>ORD10500</t>
  </si>
  <si>
    <t>Anjali Singh</t>
  </si>
  <si>
    <t>Furnishings</t>
  </si>
  <si>
    <t>Desk Lamp</t>
  </si>
  <si>
    <t>ORD10350</t>
  </si>
  <si>
    <t>ORD10064</t>
  </si>
  <si>
    <t>Sneha Joshi</t>
  </si>
  <si>
    <t>Mysuru</t>
  </si>
  <si>
    <t>Tables</t>
  </si>
  <si>
    <t>Office Table</t>
  </si>
  <si>
    <t>ORD10180</t>
  </si>
  <si>
    <t>Storage</t>
  </si>
  <si>
    <t>Storage Box</t>
  </si>
  <si>
    <t>ORD10237</t>
  </si>
  <si>
    <t>Art Supplies</t>
  </si>
  <si>
    <t>Sketch Pens</t>
  </si>
  <si>
    <t>ORD10211</t>
  </si>
  <si>
    <t>Karan Yadav</t>
  </si>
  <si>
    <t>USB Hub</t>
  </si>
  <si>
    <t>ORD10154</t>
  </si>
  <si>
    <t>Marker Set</t>
  </si>
  <si>
    <t>ORD10330</t>
  </si>
  <si>
    <t>Ayesha Khan</t>
  </si>
  <si>
    <t>Conference Table</t>
  </si>
  <si>
    <t>ORD10466</t>
  </si>
  <si>
    <t>Nikhil Jain</t>
  </si>
  <si>
    <t>Pune</t>
  </si>
  <si>
    <t>ORD10455</t>
  </si>
  <si>
    <t>Office Chair</t>
  </si>
  <si>
    <t>ORD10120</t>
  </si>
  <si>
    <t>Wireless Mouse</t>
  </si>
  <si>
    <t>ORD10229</t>
  </si>
  <si>
    <t>Binders</t>
  </si>
  <si>
    <t>File Binder</t>
  </si>
  <si>
    <t>ORD10407</t>
  </si>
  <si>
    <t>Priya Patil</t>
  </si>
  <si>
    <t>ORD10415</t>
  </si>
  <si>
    <t>Kolkata</t>
  </si>
  <si>
    <t>Premium Paper</t>
  </si>
  <si>
    <t>ORD10494</t>
  </si>
  <si>
    <t>Sanjay More</t>
  </si>
  <si>
    <t>Headset</t>
  </si>
  <si>
    <t>ORD10090</t>
  </si>
  <si>
    <t>ORD10118</t>
  </si>
  <si>
    <t>Rohan Mehta</t>
  </si>
  <si>
    <t>Chennai</t>
  </si>
  <si>
    <t>ORD10248</t>
  </si>
  <si>
    <t>ORD10246</t>
  </si>
  <si>
    <t>ORD10196</t>
  </si>
  <si>
    <t>Raj Malhotra</t>
  </si>
  <si>
    <t>ORD10490</t>
  </si>
  <si>
    <t>Neha Kulkarni</t>
  </si>
  <si>
    <t>ORD10324</t>
  </si>
  <si>
    <t>ORD10247</t>
  </si>
  <si>
    <t>Patna</t>
  </si>
  <si>
    <t>ORD10107</t>
  </si>
  <si>
    <t>ORD10218</t>
  </si>
  <si>
    <t>ORD10219</t>
  </si>
  <si>
    <t>Gaming Laptop</t>
  </si>
  <si>
    <t>ORD10398</t>
  </si>
  <si>
    <t>ORD10354</t>
  </si>
  <si>
    <t>Filing Cabinet</t>
  </si>
  <si>
    <t>ORD10331</t>
  </si>
  <si>
    <t>ORD10158</t>
  </si>
  <si>
    <t>Ultrabook</t>
  </si>
  <si>
    <t>ORD10081</t>
  </si>
  <si>
    <t>ORD10083</t>
  </si>
  <si>
    <t>ORD10179</t>
  </si>
  <si>
    <t>Jaipur</t>
  </si>
  <si>
    <t>Smartphone</t>
  </si>
  <si>
    <t>ORD10137</t>
  </si>
  <si>
    <t>ORD10074</t>
  </si>
  <si>
    <t>Budget Smartphone</t>
  </si>
  <si>
    <t>ORD10150</t>
  </si>
  <si>
    <t>ORD10220</t>
  </si>
  <si>
    <t>Riya Kapoor</t>
  </si>
  <si>
    <t>ORD10257</t>
  </si>
  <si>
    <t>ORD10266</t>
  </si>
  <si>
    <t>Vikas Gupta</t>
  </si>
  <si>
    <t>ORD10383</t>
  </si>
  <si>
    <t>Mumbai</t>
  </si>
  <si>
    <t>ORD10173</t>
  </si>
  <si>
    <t>ORD10094</t>
  </si>
  <si>
    <t>Amit Sharma</t>
  </si>
  <si>
    <t>ORD10210</t>
  </si>
  <si>
    <t>ORD10026</t>
  </si>
  <si>
    <t>ORD10409</t>
  </si>
  <si>
    <t>Varun Soni</t>
  </si>
  <si>
    <t>ORD10302</t>
  </si>
  <si>
    <t>ORD10157</t>
  </si>
  <si>
    <t>Aditya Naik</t>
  </si>
  <si>
    <t>ORD10281</t>
  </si>
  <si>
    <t>ORD10147</t>
  </si>
  <si>
    <t>Ergonomic Chair</t>
  </si>
  <si>
    <t>ORD10306</t>
  </si>
  <si>
    <t>Laser Printer</t>
  </si>
  <si>
    <t>ORD10296</t>
  </si>
  <si>
    <t>ORD10473</t>
  </si>
  <si>
    <t>ORD10386</t>
  </si>
  <si>
    <t>Drawing Kit</t>
  </si>
  <si>
    <t>ORD10401</t>
  </si>
  <si>
    <t>ORD10232</t>
  </si>
  <si>
    <t>ORD10162</t>
  </si>
  <si>
    <t>ORD10346</t>
  </si>
  <si>
    <t>ORD10390</t>
  </si>
  <si>
    <t>ORD10290</t>
  </si>
  <si>
    <t>ORD10377</t>
  </si>
  <si>
    <t>Desk Organizer</t>
  </si>
  <si>
    <t>ORD10402</t>
  </si>
  <si>
    <t>ORD10424</t>
  </si>
  <si>
    <t>ORD10428</t>
  </si>
  <si>
    <t>ORD10304</t>
  </si>
  <si>
    <t>ORD10235</t>
  </si>
  <si>
    <t>ORD10288</t>
  </si>
  <si>
    <t>ORD10005</t>
  </si>
  <si>
    <t>Study Table</t>
  </si>
  <si>
    <t>ORD10015</t>
  </si>
  <si>
    <t>Wooden Bookcase</t>
  </si>
  <si>
    <t>ORD10189</t>
  </si>
  <si>
    <t>Sonal Mishra</t>
  </si>
  <si>
    <t>Wall Clock</t>
  </si>
  <si>
    <t>ORD10063</t>
  </si>
  <si>
    <t>ORD10333</t>
  </si>
  <si>
    <t>ORD10474</t>
  </si>
  <si>
    <t>ORD10389</t>
  </si>
  <si>
    <t>ORD10477</t>
  </si>
  <si>
    <t>ORD10445</t>
  </si>
  <si>
    <t>ORD10499</t>
  </si>
  <si>
    <t>ORD10153</t>
  </si>
  <si>
    <t>ORD10128</t>
  </si>
  <si>
    <t>ORD10263</t>
  </si>
  <si>
    <t>ORD10411</t>
  </si>
  <si>
    <t>ORD10273</t>
  </si>
  <si>
    <t>ORD10323</t>
  </si>
  <si>
    <t>ORD10226</t>
  </si>
  <si>
    <t>ORD10279</t>
  </si>
  <si>
    <t>ORD10310</t>
  </si>
  <si>
    <t>ORD10084</t>
  </si>
  <si>
    <t>ORD10280</t>
  </si>
  <si>
    <t>ORD10255</t>
  </si>
  <si>
    <t>ORD10054</t>
  </si>
  <si>
    <t>ORD10436</t>
  </si>
  <si>
    <t>ORD10484</t>
  </si>
  <si>
    <t>ORD10270</t>
  </si>
  <si>
    <t>Ring Binder</t>
  </si>
  <si>
    <t>ORD10141</t>
  </si>
  <si>
    <t>ORD10217</t>
  </si>
  <si>
    <t>ORD10480</t>
  </si>
  <si>
    <t>ORD10399</t>
  </si>
  <si>
    <t>ORD10305</t>
  </si>
  <si>
    <t>ORD10442</t>
  </si>
  <si>
    <t>ORD10056</t>
  </si>
  <si>
    <t>ORD10151</t>
  </si>
  <si>
    <t>ORD10156</t>
  </si>
  <si>
    <t>ORD10303</t>
  </si>
  <si>
    <t>ORD10133</t>
  </si>
  <si>
    <t>ORD10216</t>
  </si>
  <si>
    <t>ORD10172</t>
  </si>
  <si>
    <t>ORD10460</t>
  </si>
  <si>
    <t>ORD10425</t>
  </si>
  <si>
    <t>ORD10066</t>
  </si>
  <si>
    <t>ORD10338</t>
  </si>
  <si>
    <t>ORD10329</t>
  </si>
  <si>
    <t>ORD10222</t>
  </si>
  <si>
    <t>ORD10085</t>
  </si>
  <si>
    <t>ORD10410</t>
  </si>
  <si>
    <t>ORD10283</t>
  </si>
  <si>
    <t>ORD10395</t>
  </si>
  <si>
    <t>ORD10259</t>
  </si>
  <si>
    <t>Shweta Rao</t>
  </si>
  <si>
    <t>ORD10375</t>
  </si>
  <si>
    <t>ORD10363</t>
  </si>
  <si>
    <t>ORD10187</t>
  </si>
  <si>
    <t>ORD10043</t>
  </si>
  <si>
    <t>ORD10225</t>
  </si>
  <si>
    <t>ORD10414</t>
  </si>
  <si>
    <t>ORD10177</t>
  </si>
  <si>
    <t>ORD10413</t>
  </si>
  <si>
    <t>ORD10190</t>
  </si>
  <si>
    <t>ORD10006</t>
  </si>
  <si>
    <t>ORD10093</t>
  </si>
  <si>
    <t>ORD10101</t>
  </si>
  <si>
    <t>ORD10115</t>
  </si>
  <si>
    <t>ORD10412</t>
  </si>
  <si>
    <t>ORD10022</t>
  </si>
  <si>
    <t>ORD10264</t>
  </si>
  <si>
    <t>ORD10352</t>
  </si>
  <si>
    <t>ORD10013</t>
  </si>
  <si>
    <t>ORD10045</t>
  </si>
  <si>
    <t>ORD10341</t>
  </si>
  <si>
    <t>ORD10020</t>
  </si>
  <si>
    <t>ORD10167</t>
  </si>
  <si>
    <t>ORD10498</t>
  </si>
  <si>
    <t>ORD10096</t>
  </si>
  <si>
    <t>ORD10244</t>
  </si>
  <si>
    <t>ORD10481</t>
  </si>
  <si>
    <t>ORD10104</t>
  </si>
  <si>
    <t>ORD10459</t>
  </si>
  <si>
    <t>ORD10405</t>
  </si>
  <si>
    <t>ORD10121</t>
  </si>
  <si>
    <t>ORD10434</t>
  </si>
  <si>
    <t>ORD10287</t>
  </si>
  <si>
    <t>ORD10103</t>
  </si>
  <si>
    <t>ORD10347</t>
  </si>
  <si>
    <t>ORD10076</t>
  </si>
  <si>
    <t>ORD10470</t>
  </si>
  <si>
    <t>ORD10245</t>
  </si>
  <si>
    <t>ORD10254</t>
  </si>
  <si>
    <t>ORD10112</t>
  </si>
  <si>
    <t>ORD10238</t>
  </si>
  <si>
    <t>ORD10416</t>
  </si>
  <si>
    <t>ORD10049</t>
  </si>
  <si>
    <t>ORD10018</t>
  </si>
  <si>
    <t>ORD10027</t>
  </si>
  <si>
    <t>ORD10371</t>
  </si>
  <si>
    <t>ORD10368</t>
  </si>
  <si>
    <t>ORD10318</t>
  </si>
  <si>
    <t>ORD10175</t>
  </si>
  <si>
    <t>ORD10061</t>
  </si>
  <si>
    <t>ORD10252</t>
  </si>
  <si>
    <t>ORD10417</t>
  </si>
  <si>
    <t>ORD10285</t>
  </si>
  <si>
    <t>ORD10463</t>
  </si>
  <si>
    <t>ORD10182</t>
  </si>
  <si>
    <t>ORD10422</t>
  </si>
  <si>
    <t>ORD10337</t>
  </si>
  <si>
    <t>ORD10239</t>
  </si>
  <si>
    <t>ORD10124</t>
  </si>
  <si>
    <t>ORD10253</t>
  </si>
  <si>
    <t>ORD10176</t>
  </si>
  <si>
    <t>ORD10265</t>
  </si>
  <si>
    <t>ORD10021</t>
  </si>
  <si>
    <t>ORD10335</t>
  </si>
  <si>
    <t>ORD10297</t>
  </si>
  <si>
    <t>ORD10274</t>
  </si>
  <si>
    <t>ORD10327</t>
  </si>
  <si>
    <t>ORD10209</t>
  </si>
  <si>
    <t>ORD10191</t>
  </si>
  <si>
    <t>ORD10353</t>
  </si>
  <si>
    <t>ORD10102</t>
  </si>
  <si>
    <t>ORD10312</t>
  </si>
  <si>
    <t>ORD10326</t>
  </si>
  <si>
    <t>ORD10479</t>
  </si>
  <si>
    <t>ORD10432</t>
  </si>
  <si>
    <t>ORD10475</t>
  </si>
  <si>
    <t>ORD10316</t>
  </si>
  <si>
    <t>ORD10472</t>
  </si>
  <si>
    <t>ORD10204</t>
  </si>
  <si>
    <t>ORD10495</t>
  </si>
  <si>
    <t>ORD10065</t>
  </si>
  <si>
    <t>ORD10159</t>
  </si>
  <si>
    <t>ORD10300</t>
  </si>
  <si>
    <t>ORD10476</t>
  </si>
  <si>
    <t>ORD10236</t>
  </si>
  <si>
    <t>ORD10106</t>
  </si>
  <si>
    <t>ORD10109</t>
  </si>
  <si>
    <t>ORD10051</t>
  </si>
  <si>
    <t>ORD10325</t>
  </si>
  <si>
    <t>ORD10250</t>
  </si>
  <si>
    <t>ORD10126</t>
  </si>
  <si>
    <t>ORD10379</t>
  </si>
  <si>
    <t>ORD10071</t>
  </si>
  <si>
    <t>ORD10202</t>
  </si>
  <si>
    <t>ORD10359</t>
  </si>
  <si>
    <t>ORD10198</t>
  </si>
  <si>
    <t>ORD10098</t>
  </si>
  <si>
    <t>ORD10291</t>
  </si>
  <si>
    <t>ORD10111</t>
  </si>
  <si>
    <t>ORD10040</t>
  </si>
  <si>
    <t>ORD10260</t>
  </si>
  <si>
    <t>ORD10351</t>
  </si>
  <si>
    <t>ORD10166</t>
  </si>
  <si>
    <t>ORD10262</t>
  </si>
  <si>
    <t>ORD10113</t>
  </si>
  <si>
    <t>ORD10292</t>
  </si>
  <si>
    <t>ORD10492</t>
  </si>
  <si>
    <t>ORD10207</t>
  </si>
  <si>
    <t>ORD10317</t>
  </si>
  <si>
    <t>ORD10122</t>
  </si>
  <si>
    <t>ORD10394</t>
  </si>
  <si>
    <t>ORD10092</t>
  </si>
  <si>
    <t>ORD10123</t>
  </si>
  <si>
    <t>ORD10078</t>
  </si>
  <si>
    <t>ORD10136</t>
  </si>
  <si>
    <t>ORD10365</t>
  </si>
  <si>
    <t>ORD10367</t>
  </si>
  <si>
    <t>ORD10404</t>
  </si>
  <si>
    <t>ORD10155</t>
  </si>
  <si>
    <t>ORD10278</t>
  </si>
  <si>
    <t>ORD10272</t>
  </si>
  <si>
    <t>ORD10309</t>
  </si>
  <si>
    <t>ORD10482</t>
  </si>
  <si>
    <t>ORD10294</t>
  </si>
  <si>
    <t>ORD10068</t>
  </si>
  <si>
    <t>ORD10143</t>
  </si>
  <si>
    <t>ORD10047</t>
  </si>
  <si>
    <t>ORD10471</t>
  </si>
  <si>
    <t>ORD10458</t>
  </si>
  <si>
    <t>ORD10450</t>
  </si>
  <si>
    <t>ORD10055</t>
  </si>
  <si>
    <t>ORD10426</t>
  </si>
  <si>
    <t>ORD10251</t>
  </si>
  <si>
    <t>ORD10319</t>
  </si>
  <si>
    <t>ORD10185</t>
  </si>
  <si>
    <t>ORD10437</t>
  </si>
  <si>
    <t>ORD10349</t>
  </si>
  <si>
    <t>ORD10468</t>
  </si>
  <si>
    <t>ORD10117</t>
  </si>
  <si>
    <t>ORD10134</t>
  </si>
  <si>
    <t>ORD10152</t>
  </si>
  <si>
    <t>ORD10462</t>
  </si>
  <si>
    <t>ORD10227</t>
  </si>
  <si>
    <t>ORD10275</t>
  </si>
  <si>
    <t>ORD10384</t>
  </si>
  <si>
    <t>ORD10002</t>
  </si>
  <si>
    <t>ORD10110</t>
  </si>
  <si>
    <t>ORD10277</t>
  </si>
  <si>
    <t>ORD10334</t>
  </si>
  <si>
    <t>ORD10443</t>
  </si>
  <si>
    <t>ORD10033</t>
  </si>
  <si>
    <t>ORD10485</t>
  </si>
  <si>
    <t>ORD10385</t>
  </si>
  <si>
    <t>ORD10380</t>
  </si>
  <si>
    <t>ORD10029</t>
  </si>
  <si>
    <t>ORD10077</t>
  </si>
  <si>
    <t>ORD10269</t>
  </si>
  <si>
    <t>ORD10069</t>
  </si>
  <si>
    <t>ORD10493</t>
  </si>
  <si>
    <t>ORD10370</t>
  </si>
  <si>
    <t>ORD10131</t>
  </si>
  <si>
    <t>ORD10464</t>
  </si>
  <si>
    <t>ORD10378</t>
  </si>
  <si>
    <t>ORD10392</t>
  </si>
  <si>
    <t>ORD10308</t>
  </si>
  <si>
    <t>ORD10286</t>
  </si>
  <si>
    <t>ORD10444</t>
  </si>
  <si>
    <t>ORD10321</t>
  </si>
  <si>
    <t>ORD10089</t>
  </si>
  <si>
    <t>ORD10184</t>
  </si>
  <si>
    <t>ORD10429</t>
  </si>
  <si>
    <t>ORD10095</t>
  </si>
  <si>
    <t>ORD10276</t>
  </si>
  <si>
    <t>ORD10201</t>
  </si>
  <si>
    <t>ORD10165</t>
  </si>
  <si>
    <t>ORD10446</t>
  </si>
  <si>
    <t>ORD10267</t>
  </si>
  <si>
    <t>ORD10299</t>
  </si>
  <si>
    <t>ORD10430</t>
  </si>
  <si>
    <t>ORD10364</t>
  </si>
  <si>
    <t>ORD10453</t>
  </si>
  <si>
    <t>ORD10044</t>
  </si>
  <si>
    <t>ORD10393</t>
  </si>
  <si>
    <t>ORD10488</t>
  </si>
  <si>
    <t>ORD10369</t>
  </si>
  <si>
    <t>ORD10313</t>
  </si>
  <si>
    <t>ORD10145</t>
  </si>
  <si>
    <t>ORD10100</t>
  </si>
  <si>
    <t>ORD10233</t>
  </si>
  <si>
    <t>ORD10086</t>
  </si>
  <si>
    <t>ORD10062</t>
  </si>
  <si>
    <t>ORD10448</t>
  </si>
  <si>
    <t>ORD10348</t>
  </si>
  <si>
    <t>ORD10012</t>
  </si>
  <si>
    <t>ORD10224</t>
  </si>
  <si>
    <t>ORD10230</t>
  </si>
  <si>
    <t>ORD10228</t>
  </si>
  <si>
    <t>ORD10188</t>
  </si>
  <si>
    <t>ORD10053</t>
  </si>
  <si>
    <t>ORD10004</t>
  </si>
  <si>
    <t>ORD10042</t>
  </si>
  <si>
    <t>ORD10486</t>
  </si>
  <si>
    <t>ORD10082</t>
  </si>
  <si>
    <t>ORD10322</t>
  </si>
  <si>
    <t>ORD10496</t>
  </si>
  <si>
    <t>ORD10419</t>
  </si>
  <si>
    <t>ORD10298</t>
  </si>
  <si>
    <t>ORD10142</t>
  </si>
  <si>
    <t>ORD10203</t>
  </si>
  <si>
    <t>ORD10016</t>
  </si>
  <si>
    <t>ORD10171</t>
  </si>
  <si>
    <t>ORD10497</t>
  </si>
  <si>
    <t>ORD10268</t>
  </si>
  <si>
    <t>ORD10050</t>
  </si>
  <si>
    <t>ORD10072</t>
  </si>
  <si>
    <t>ORD10421</t>
  </si>
  <si>
    <t>ORD10108</t>
  </si>
  <si>
    <t>ORD10023</t>
  </si>
  <si>
    <t>ORD10025</t>
  </si>
  <si>
    <t>ORD10345</t>
  </si>
  <si>
    <t>ORD10249</t>
  </si>
  <si>
    <t>ORD10014</t>
  </si>
  <si>
    <t>ORD10114</t>
  </si>
  <si>
    <t>ORD10438</t>
  </si>
  <si>
    <t>ORD10105</t>
  </si>
  <si>
    <t>ORD10406</t>
  </si>
  <si>
    <t>ORD10205</t>
  </si>
  <si>
    <t>ORD10046</t>
  </si>
  <si>
    <t>ORD10223</t>
  </si>
  <si>
    <t>ORD10008</t>
  </si>
  <si>
    <t>ORD10328</t>
  </si>
  <si>
    <t>ORD10311</t>
  </si>
  <si>
    <t>ORD10039</t>
  </si>
  <si>
    <t>ORD10491</t>
  </si>
  <si>
    <t>ORD10200</t>
  </si>
  <si>
    <t>ORD10199</t>
  </si>
  <si>
    <t>ORD10007</t>
  </si>
  <si>
    <t>ORD10451</t>
  </si>
  <si>
    <t>ORD10194</t>
  </si>
  <si>
    <t>ORD10397</t>
  </si>
  <si>
    <t>ORD10125</t>
  </si>
  <si>
    <t>ORD10447</t>
  </si>
  <si>
    <t>ORD10241</t>
  </si>
  <si>
    <t>ORD10431</t>
  </si>
  <si>
    <t>ORD10258</t>
  </si>
  <si>
    <t>ORD10009</t>
  </si>
  <si>
    <t>ORD10372</t>
  </si>
  <si>
    <t>ORD10038</t>
  </si>
  <si>
    <t>ORD10213</t>
  </si>
  <si>
    <t>ORD10467</t>
  </si>
  <si>
    <t>ORD10052</t>
  </si>
  <si>
    <t>ORD10340</t>
  </si>
  <si>
    <t>ORD10164</t>
  </si>
  <si>
    <t>ORD10284</t>
  </si>
  <si>
    <t>ORD10332</t>
  </si>
  <si>
    <t>ORD10197</t>
  </si>
  <si>
    <t>ORD10357</t>
  </si>
  <si>
    <t>ORD10489</t>
  </si>
  <si>
    <t>ORD10242</t>
  </si>
  <si>
    <t>ORD10456</t>
  </si>
  <si>
    <t>ORD10041</t>
  </si>
  <si>
    <t>ORD10119</t>
  </si>
  <si>
    <t>ORD10206</t>
  </si>
  <si>
    <t>ORD10010</t>
  </si>
  <si>
    <t>ORD10160</t>
  </si>
  <si>
    <t>ORD10243</t>
  </si>
  <si>
    <t>ORD10132</t>
  </si>
  <si>
    <t>ORD10057</t>
  </si>
  <si>
    <t>ORD10301</t>
  </si>
  <si>
    <t>ORD10361</t>
  </si>
  <si>
    <t>ORD10469</t>
  </si>
  <si>
    <t>ORD10221</t>
  </si>
  <si>
    <t>ORD10148</t>
  </si>
  <si>
    <t>ORD10099</t>
  </si>
  <si>
    <t>ORD10067</t>
  </si>
  <si>
    <t>ORD10307</t>
  </si>
  <si>
    <t>ORD10344</t>
  </si>
  <si>
    <t>ORD10140</t>
  </si>
  <si>
    <t>ORD10174</t>
  </si>
  <si>
    <t>ORD10183</t>
  </si>
  <si>
    <t>ORD10139</t>
  </si>
  <si>
    <t>ORD10336</t>
  </si>
  <si>
    <t>ORD10483</t>
  </si>
  <si>
    <t>ORD10073</t>
  </si>
  <si>
    <t>ORD10461</t>
  </si>
  <si>
    <t>ORD10256</t>
  </si>
  <si>
    <t>ORD10449</t>
  </si>
  <si>
    <t>ORD10035</t>
  </si>
  <si>
    <t>ORD10315</t>
  </si>
  <si>
    <t>ORD10186</t>
  </si>
  <si>
    <t>ORD10079</t>
  </si>
  <si>
    <t>ORD10048</t>
  </si>
  <si>
    <t>ORD10130</t>
  </si>
  <si>
    <t>ORD10440</t>
  </si>
  <si>
    <t>ORD10195</t>
  </si>
  <si>
    <t>ORD10193</t>
  </si>
  <si>
    <t>ORD10320</t>
  </si>
  <si>
    <t>ORD10161</t>
  </si>
  <si>
    <t>ORD10097</t>
  </si>
  <si>
    <t>ORD10003</t>
  </si>
  <si>
    <t>ORD10391</t>
  </si>
  <si>
    <t>ORD10343</t>
  </si>
  <si>
    <t>ORD10192</t>
  </si>
  <si>
    <t>ORD10215</t>
  </si>
  <si>
    <t>ORD10116</t>
  </si>
  <si>
    <t>ORD10036</t>
  </si>
  <si>
    <t>ORD10381</t>
  </si>
  <si>
    <t>ORD10403</t>
  </si>
  <si>
    <t>ORD10261</t>
  </si>
  <si>
    <t>ORD10019</t>
  </si>
  <si>
    <t>ORD10339</t>
  </si>
  <si>
    <t>ORD10178</t>
  </si>
  <si>
    <t>ORD10031</t>
  </si>
  <si>
    <t>ORD10168</t>
  </si>
  <si>
    <t>ORD10087</t>
  </si>
  <si>
    <t>ORD10433</t>
  </si>
  <si>
    <t>ORD10374</t>
  </si>
  <si>
    <t>ORD10163</t>
  </si>
  <si>
    <t>ORD10355</t>
  </si>
  <si>
    <t>ORD10088</t>
  </si>
  <si>
    <t>ORD10501</t>
  </si>
  <si>
    <t>ORD10366</t>
  </si>
  <si>
    <t>ORD10289</t>
  </si>
  <si>
    <t>ORD10420</t>
  </si>
  <si>
    <t>ORD10435</t>
  </si>
  <si>
    <t>ORD10058</t>
  </si>
  <si>
    <t>ORD10387</t>
  </si>
  <si>
    <t>ORD10388</t>
  </si>
  <si>
    <t>ORD10146</t>
  </si>
  <si>
    <t>ORD10144</t>
  </si>
  <si>
    <t>ORD10418</t>
  </si>
  <si>
    <t>ORD10360</t>
  </si>
  <si>
    <t>ORD10091</t>
  </si>
  <si>
    <t>ORD10127</t>
  </si>
  <si>
    <t>ORD10080</t>
  </si>
  <si>
    <t>ORD10382</t>
  </si>
  <si>
    <t>ORD10028</t>
  </si>
  <si>
    <t>ORD10024</t>
  </si>
  <si>
    <t>ORD10423</t>
  </si>
  <si>
    <t>ORD10017</t>
  </si>
  <si>
    <t>ORD10075</t>
  </si>
  <si>
    <t>ORD10400</t>
  </si>
  <si>
    <t>ORD10214</t>
  </si>
  <si>
    <t>ORD10295</t>
  </si>
  <si>
    <t>ORD10037</t>
  </si>
  <si>
    <t>ORD10314</t>
  </si>
  <si>
    <t>ORD10376</t>
  </si>
  <si>
    <t>ORD10231</t>
  </si>
  <si>
    <t>ORD10011</t>
  </si>
  <si>
    <t>ORD10149</t>
  </si>
  <si>
    <t>ORD10059</t>
  </si>
  <si>
    <t>ORD10439</t>
  </si>
  <si>
    <t>ORD10427</t>
  </si>
  <si>
    <t>ORD10169</t>
  </si>
  <si>
    <t>ORD10465</t>
  </si>
  <si>
    <t>ORD10452</t>
  </si>
  <si>
    <t>ORD10396</t>
  </si>
  <si>
    <t>ORD10234</t>
  </si>
  <si>
    <t>ORD10362</t>
  </si>
  <si>
    <t>ORD10282</t>
  </si>
  <si>
    <t>ORD10129</t>
  </si>
  <si>
    <t>ORD10441</t>
  </si>
  <si>
    <t>ORD10457</t>
  </si>
  <si>
    <t>ORD10478</t>
  </si>
  <si>
    <t>ORD10138</t>
  </si>
  <si>
    <t>ORD10454</t>
  </si>
  <si>
    <t>ORD10034</t>
  </si>
  <si>
    <t>ORD10240</t>
  </si>
  <si>
    <t>ORD10487</t>
  </si>
  <si>
    <t>ORD10342</t>
  </si>
  <si>
    <t>ORD10060</t>
  </si>
  <si>
    <t>ORD10293</t>
  </si>
  <si>
    <t>ORD10408</t>
  </si>
  <si>
    <t>ORD10271</t>
  </si>
  <si>
    <t>ORD10030</t>
  </si>
  <si>
    <t>Year</t>
  </si>
  <si>
    <t>Month</t>
  </si>
  <si>
    <t>Sales Category</t>
  </si>
  <si>
    <t>Profit Margin</t>
  </si>
  <si>
    <t>Total sales</t>
  </si>
  <si>
    <t>Total profit</t>
  </si>
  <si>
    <t>Total quantity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</si>
  <si>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</si>
  <si>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</si>
  <si>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</si>
  <si>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</si>
  <si>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</si>
  <si>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</si>
  <si>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</si>
  <si>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</si>
  <si>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</si>
  <si>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</si>
  <si>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</si>
  <si>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</si>
  <si>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</si>
  <si>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</si>
  <si>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High</t>
  </si>
  <si>
    <t>Low</t>
  </si>
  <si>
    <t>Medium</t>
  </si>
  <si>
    <t>Count of Order ID</t>
  </si>
  <si>
    <t>Retail Sales Performance Dashboard</t>
  </si>
  <si>
    <t>Details for Total profit</t>
  </si>
  <si>
    <t>Details for Total quantity</t>
  </si>
  <si>
    <t>Details for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</si>
</sst>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0" fillId="0" borderId="0" xfId="0" applyNumberFormat="1"/>
    <xf numFmtId="4" fontId="0" fillId="0" borderId="0" xfId="0" applyNumberFormat="1"/>
    <xf numFmtId="0" fontId="1" fillId="0" borderId="2" xfId="0" applyFont="1" applyBorder="1" applyAlignment="1">
      <alignment horizontal="center" vertical="top"/>
    </xf>
    <xf numFmtId="10" fontId="1" fillId="0" borderId="2" xfId="0" applyNumberFormat="1" applyFont="1" applyBorder="1" applyAlignment="1">
      <alignment horizontal="center" vertical="top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4" fontId="0" fillId="0" borderId="0" xfId="0" applyNumberFormat="1"/>
    <xf numFmtId="0" fontId="3" fillId="0" borderId="0" xfId="0" applyFont="1"/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[Retail_Sales_Analysis.xlsx]Pivot_Category!PivotTable2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and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Pivot_Category!$B$4:$B$7</c:f>
              <c:numCache>
                <c:formatCode>#,##0.00</c:formatCode>
                <c:ptCount val="3"/>
                <c:pt idx="0">
                  <c:v>23257553.489999995</c:v>
                </c:pt>
                <c:pt idx="1">
                  <c:v>3535383.6299999994</c:v>
                </c:pt>
                <c:pt idx="2">
                  <c:v>1413862.5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C-4335-BD2F-928092FD5D31}"/>
            </c:ext>
          </c:extLst>
        </c:ser>
        <c:ser>
          <c:idx val="1"/>
          <c:order val="1"/>
          <c:tx>
            <c:strRef>
              <c:f>Pivot_Category!$C$3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Pivot_Category!$A$4:$A$7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Pivot_Category!$C$4:$C$7</c:f>
              <c:numCache>
                <c:formatCode>#,##0.00</c:formatCode>
                <c:ptCount val="3"/>
                <c:pt idx="0">
                  <c:v>3044292.8899999987</c:v>
                </c:pt>
                <c:pt idx="1">
                  <c:v>445930.1999999999</c:v>
                </c:pt>
                <c:pt idx="2">
                  <c:v>178972.95999999996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0C-4335-BD2F-928092FD5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516367"/>
        <c:axId val="977845327"/>
      </c:barChart>
      <c:catAx>
        <c:axId val="11935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45327"/>
        <c:crosses val="autoZero"/>
        <c:auto val="1"/>
        <c:lblAlgn val="ctr"/>
        <c:lblOffset val="100"/>
        <c:noMultiLvlLbl val="0"/>
      </c:catAx>
      <c:valAx>
        <c:axId val="97784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5163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[Retail_Sales_Analysis.xlsx]Pivot_Region!PivotTable3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Pivot_Region!$A$4:$A$8</c:f>
              <c:strCache>
                <c:ptCount val="4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  <c:pt idx="3">
                  <c:v>North</c:v>
                </c:pt>
              </c:strCache>
            </c:strRef>
          </c:cat>
          <c:val>
            <c:numRef>
              <c:f>Pivot_Region!$B$4:$B$8</c:f>
              <c:numCache>
                <c:formatCode>#,##0.00</c:formatCode>
                <c:ptCount val="4"/>
                <c:pt idx="0">
                  <c:v>7688556.7300000023</c:v>
                </c:pt>
                <c:pt idx="1">
                  <c:v>7211184.2999999952</c:v>
                </c:pt>
                <c:pt idx="2">
                  <c:v>6840045.4000000022</c:v>
                </c:pt>
                <c:pt idx="3">
                  <c:v>6467013.1899999985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7-4D52-ABA1-C1E9A8FE45D7}"/>
            </c:ext>
          </c:extLst>
        </c:ser>
        <c:ser>
          <c:idx val="1"/>
          <c:order val="1"/>
          <c:tx>
            <c:strRef>
              <c:f>Pivot_Region!$C$3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Pivot_Region!$A$4:$A$8</c:f>
              <c:strCache>
                <c:ptCount val="4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  <c:pt idx="3">
                  <c:v>North</c:v>
                </c:pt>
              </c:strCache>
            </c:strRef>
          </c:cat>
          <c:val>
            <c:numRef>
              <c:f>Pivot_Region!$C$4:$C$8</c:f>
              <c:numCache>
                <c:formatCode>#,##0.00</c:formatCode>
                <c:ptCount val="4"/>
                <c:pt idx="0">
                  <c:v>1000696.5399999997</c:v>
                </c:pt>
                <c:pt idx="1">
                  <c:v>1007683.6700000003</c:v>
                </c:pt>
                <c:pt idx="2">
                  <c:v>864726.84999999963</c:v>
                </c:pt>
                <c:pt idx="3">
                  <c:v>796088.98999999976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47-4D52-ABA1-C1E9A8FE4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7862767"/>
        <c:axId val="977837647"/>
      </c:barChart>
      <c:catAx>
        <c:axId val="120786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37647"/>
        <c:crosses val="autoZero"/>
        <c:auto val="1"/>
        <c:lblAlgn val="ctr"/>
        <c:lblOffset val="100"/>
        <c:noMultiLvlLbl val="0"/>
      </c:catAx>
      <c:valAx>
        <c:axId val="97783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862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[Retail_Sales_Analysis.xlsx]Pivot_Category!PivotTable2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and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Pivot_Category!$B$4:$B$7</c:f>
              <c:numCache>
                <c:formatCode>#,##0.00</c:formatCode>
                <c:ptCount val="3"/>
                <c:pt idx="0">
                  <c:v>23257553.489999995</c:v>
                </c:pt>
                <c:pt idx="1">
                  <c:v>3535383.6299999994</c:v>
                </c:pt>
                <c:pt idx="2">
                  <c:v>1413862.5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B-417F-AF35-33AA3EE66DD6}"/>
            </c:ext>
          </c:extLst>
        </c:ser>
        <c:ser>
          <c:idx val="1"/>
          <c:order val="1"/>
          <c:tx>
            <c:strRef>
              <c:f>Pivot_Category!$C$3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Pivot_Category!$A$4:$A$7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Pivot_Category!$C$4:$C$7</c:f>
              <c:numCache>
                <c:formatCode>#,##0.00</c:formatCode>
                <c:ptCount val="3"/>
                <c:pt idx="0">
                  <c:v>3044292.8899999987</c:v>
                </c:pt>
                <c:pt idx="1">
                  <c:v>445930.1999999999</c:v>
                </c:pt>
                <c:pt idx="2">
                  <c:v>178972.95999999996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EB-417F-AF35-33AA3EE66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516367"/>
        <c:axId val="977845327"/>
      </c:barChart>
      <c:catAx>
        <c:axId val="11935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45327"/>
        <c:crosses val="autoZero"/>
        <c:auto val="1"/>
        <c:lblAlgn val="ctr"/>
        <c:lblOffset val="100"/>
        <c:noMultiLvlLbl val="0"/>
      </c:catAx>
      <c:valAx>
        <c:axId val="97784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5163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[Retail_Sales_Analysis.xlsx]Pivot_Monthly!PivotTable4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>
        <c:manualLayout>
          <c:xMode val="edge"/>
          <c:yMode val="edge"/>
          <c:x val="0.3186940966010733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Pivot_Monthly!$A$4:$A$16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Pivot_Monthly!$B$4:$B$16</c:f>
              <c:numCache>
                <c:formatCode>#,##0.00</c:formatCode>
                <c:ptCount val="12"/>
                <c:pt idx="0">
                  <c:v>2422038.0100000002</c:v>
                </c:pt>
                <c:pt idx="1">
                  <c:v>1977129.4099999997</c:v>
                </c:pt>
                <c:pt idx="2">
                  <c:v>2668670</c:v>
                </c:pt>
                <c:pt idx="3">
                  <c:v>3087515.98</c:v>
                </c:pt>
                <c:pt idx="4">
                  <c:v>1433885.66</c:v>
                </c:pt>
                <c:pt idx="5">
                  <c:v>2784274.2600000007</c:v>
                </c:pt>
                <c:pt idx="6">
                  <c:v>1897637.43</c:v>
                </c:pt>
                <c:pt idx="7">
                  <c:v>2526096.64</c:v>
                </c:pt>
                <c:pt idx="8">
                  <c:v>2813180.959999999</c:v>
                </c:pt>
                <c:pt idx="9">
                  <c:v>2490888.4400000004</c:v>
                </c:pt>
                <c:pt idx="10">
                  <c:v>2258801.89</c:v>
                </c:pt>
                <c:pt idx="11">
                  <c:v>1846680.9399999995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8-42B1-87E0-3F5D836C6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7842815"/>
        <c:axId val="977833327"/>
      </c:lineChart>
      <c:catAx>
        <c:axId val="120784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33327"/>
        <c:crosses val="autoZero"/>
        <c:auto val="1"/>
        <c:lblAlgn val="ctr"/>
        <c:lblOffset val="100"/>
        <c:noMultiLvlLbl val="0"/>
      </c:catAx>
      <c:valAx>
        <c:axId val="97783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8428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[Retail_Sales_Analysis.xlsx]Pivot_Region!PivotTable3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Pivot_Region!$A$4:$A$8</c:f>
              <c:strCache>
                <c:ptCount val="4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  <c:pt idx="3">
                  <c:v>North</c:v>
                </c:pt>
              </c:strCache>
            </c:strRef>
          </c:cat>
          <c:val>
            <c:numRef>
              <c:f>Pivot_Region!$B$4:$B$8</c:f>
              <c:numCache>
                <c:formatCode>#,##0.00</c:formatCode>
                <c:ptCount val="4"/>
                <c:pt idx="0">
                  <c:v>7688556.7300000023</c:v>
                </c:pt>
                <c:pt idx="1">
                  <c:v>7211184.2999999952</c:v>
                </c:pt>
                <c:pt idx="2">
                  <c:v>6840045.4000000022</c:v>
                </c:pt>
                <c:pt idx="3">
                  <c:v>6467013.1899999985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1-4980-95E5-11454D8D8A6D}"/>
            </c:ext>
          </c:extLst>
        </c:ser>
        <c:ser>
          <c:idx val="1"/>
          <c:order val="1"/>
          <c:tx>
            <c:strRef>
              <c:f>Pivot_Region!$C$3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Pivot_Region!$A$4:$A$8</c:f>
              <c:strCache>
                <c:ptCount val="4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  <c:pt idx="3">
                  <c:v>North</c:v>
                </c:pt>
              </c:strCache>
            </c:strRef>
          </c:cat>
          <c:val>
            <c:numRef>
              <c:f>Pivot_Region!$C$4:$C$8</c:f>
              <c:numCache>
                <c:formatCode>#,##0.00</c:formatCode>
                <c:ptCount val="4"/>
                <c:pt idx="0">
                  <c:v>1000696.5399999997</c:v>
                </c:pt>
                <c:pt idx="1">
                  <c:v>1007683.6700000003</c:v>
                </c:pt>
                <c:pt idx="2">
                  <c:v>864726.84999999963</c:v>
                </c:pt>
                <c:pt idx="3">
                  <c:v>796088.98999999976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21-4980-95E5-11454D8D8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7862767"/>
        <c:axId val="977837647"/>
      </c:barChart>
      <c:catAx>
        <c:axId val="120786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37647"/>
        <c:crosses val="autoZero"/>
        <c:auto val="1"/>
        <c:lblAlgn val="ctr"/>
        <c:lblOffset val="100"/>
        <c:noMultiLvlLbl val="0"/>
      </c:catAx>
      <c:valAx>
        <c:axId val="97783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862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[Retail_Sales_Analysis.xlsx]Pivot_Monthly!PivotTable4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Pivot_Monthly!$A$4:$A$16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Pivot_Monthly!$B$4:$B$16</c:f>
              <c:numCache>
                <c:formatCode>#,##0.00</c:formatCode>
                <c:ptCount val="12"/>
                <c:pt idx="0">
                  <c:v>2422038.0100000002</c:v>
                </c:pt>
                <c:pt idx="1">
                  <c:v>1977129.4099999997</c:v>
                </c:pt>
                <c:pt idx="2">
                  <c:v>2668670</c:v>
                </c:pt>
                <c:pt idx="3">
                  <c:v>3087515.98</c:v>
                </c:pt>
                <c:pt idx="4">
                  <c:v>1433885.66</c:v>
                </c:pt>
                <c:pt idx="5">
                  <c:v>2784274.2600000007</c:v>
                </c:pt>
                <c:pt idx="6">
                  <c:v>1897637.43</c:v>
                </c:pt>
                <c:pt idx="7">
                  <c:v>2526096.64</c:v>
                </c:pt>
                <c:pt idx="8">
                  <c:v>2813180.959999999</c:v>
                </c:pt>
                <c:pt idx="9">
                  <c:v>2490888.4400000004</c:v>
                </c:pt>
                <c:pt idx="10">
                  <c:v>2258801.89</c:v>
                </c:pt>
                <c:pt idx="11">
                  <c:v>1846680.9399999995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1-4D02-8F8A-2DA592E92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7842815"/>
        <c:axId val="977833327"/>
      </c:lineChart>
      <c:catAx>
        <c:axId val="120784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33327"/>
        <c:crosses val="autoZero"/>
        <c:auto val="1"/>
        <c:lblAlgn val="ctr"/>
        <c:lblOffset val="100"/>
        <c:noMultiLvlLbl val="0"/>
      </c:catAx>
      <c:valAx>
        <c:axId val="97783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8428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163830</xdr:rowOff>
    </xdr:from>
    <xdr:to>
      <xdr:col>11</xdr:col>
      <xdr:colOff>594360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C1966-D005-222F-6489-4797B9E31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3810</xdr:rowOff>
    </xdr:from>
    <xdr:to>
      <xdr:col>12</xdr:col>
      <xdr:colOff>15240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98612A-8F74-DD78-750D-1B5E3BFC0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4</xdr:col>
      <xdr:colOff>952500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C8EE5E-E445-4E66-AA5D-E08EBF439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160020</xdr:colOff>
      <xdr:row>3</xdr:row>
      <xdr:rowOff>53340</xdr:rowOff>
    </xdr:from>
    <xdr:to>
      <xdr:col>12</xdr:col>
      <xdr:colOff>22860</xdr:colOff>
      <xdr:row>18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2672FB-01A1-4068-9FA4-5432BD73F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266700</xdr:colOff>
      <xdr:row>3</xdr:row>
      <xdr:rowOff>53340</xdr:rowOff>
    </xdr:from>
    <xdr:to>
      <xdr:col>18</xdr:col>
      <xdr:colOff>525780</xdr:colOff>
      <xdr:row>18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6524D6-3F6F-4C18-B0C2-A742EF3F6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171450</xdr:rowOff>
    </xdr:from>
    <xdr:to>
      <xdr:col>12</xdr:col>
      <xdr:colOff>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6971A5-8E1C-DAC7-E39C-5E3E6B3E6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ikv" refreshedDate="46303.841569212964" createdVersion="8" refreshedVersion="8" minRefreshableVersion="3" recordCount="500" xr:uid="{97647D22-CA36-4E99-A015-02DD8625D590}">
  <cacheSource type="worksheet">
    <worksheetSource ref="A1:P501" sheet="Cleaned_Data"/>
  </cacheSource>
  <cacheFields count="18">
    <cacheField name="Order ID" numFmtId="0">
      <sharedItems count="500">
        <s v="ORD10181"/>
        <s v="ORD10070"/>
        <s v="ORD10170"/>
        <s v="ORD10373"/>
        <s v="ORD10135"/>
        <s v="ORD10212"/>
        <s v="ORD10356"/>
        <s v="ORD10208"/>
        <s v="ORD10032"/>
        <s v="ORD10358"/>
        <s v="ORD10500"/>
        <s v="ORD10350"/>
        <s v="ORD10064"/>
        <s v="ORD10180"/>
        <s v="ORD10237"/>
        <s v="ORD10211"/>
        <s v="ORD10154"/>
        <s v="ORD10330"/>
        <s v="ORD10466"/>
        <s v="ORD10455"/>
        <s v="ORD10120"/>
        <s v="ORD10229"/>
        <s v="ORD10407"/>
        <s v="ORD10415"/>
        <s v="ORD10494"/>
        <s v="ORD10090"/>
        <s v="ORD10118"/>
        <s v="ORD10248"/>
        <s v="ORD10246"/>
        <s v="ORD10196"/>
        <s v="ORD10490"/>
        <s v="ORD10324"/>
        <s v="ORD10247"/>
        <s v="ORD10107"/>
        <s v="ORD10218"/>
        <s v="ORD10219"/>
        <s v="ORD10398"/>
        <s v="ORD10354"/>
        <s v="ORD10331"/>
        <s v="ORD10158"/>
        <s v="ORD10081"/>
        <s v="ORD10083"/>
        <s v="ORD10179"/>
        <s v="ORD10137"/>
        <s v="ORD10074"/>
        <s v="ORD10150"/>
        <s v="ORD10220"/>
        <s v="ORD10257"/>
        <s v="ORD10266"/>
        <s v="ORD10383"/>
        <s v="ORD10173"/>
        <s v="ORD10094"/>
        <s v="ORD10210"/>
        <s v="ORD10026"/>
        <s v="ORD10409"/>
        <s v="ORD10302"/>
        <s v="ORD10157"/>
        <s v="ORD10281"/>
        <s v="ORD10147"/>
        <s v="ORD10306"/>
        <s v="ORD10296"/>
        <s v="ORD10473"/>
        <s v="ORD10386"/>
        <s v="ORD10401"/>
        <s v="ORD10232"/>
        <s v="ORD10162"/>
        <s v="ORD10346"/>
        <s v="ORD10390"/>
        <s v="ORD10290"/>
        <s v="ORD10377"/>
        <s v="ORD10402"/>
        <s v="ORD10424"/>
        <s v="ORD10428"/>
        <s v="ORD10304"/>
        <s v="ORD10235"/>
        <s v="ORD10288"/>
        <s v="ORD10005"/>
        <s v="ORD10015"/>
        <s v="ORD10189"/>
        <s v="ORD10063"/>
        <s v="ORD10333"/>
        <s v="ORD10474"/>
        <s v="ORD10389"/>
        <s v="ORD10477"/>
        <s v="ORD10445"/>
        <s v="ORD10499"/>
        <s v="ORD10153"/>
        <s v="ORD10128"/>
        <s v="ORD10263"/>
        <s v="ORD10411"/>
        <s v="ORD10273"/>
        <s v="ORD10323"/>
        <s v="ORD10226"/>
        <s v="ORD10279"/>
        <s v="ORD10310"/>
        <s v="ORD10084"/>
        <s v="ORD10280"/>
        <s v="ORD10255"/>
        <s v="ORD10054"/>
        <s v="ORD10436"/>
        <s v="ORD10484"/>
        <s v="ORD10270"/>
        <s v="ORD10141"/>
        <s v="ORD10217"/>
        <s v="ORD10480"/>
        <s v="ORD10399"/>
        <s v="ORD10305"/>
        <s v="ORD10442"/>
        <s v="ORD10056"/>
        <s v="ORD10151"/>
        <s v="ORD10156"/>
        <s v="ORD10303"/>
        <s v="ORD10133"/>
        <s v="ORD10216"/>
        <s v="ORD10172"/>
        <s v="ORD10460"/>
        <s v="ORD10425"/>
        <s v="ORD10066"/>
        <s v="ORD10338"/>
        <s v="ORD10329"/>
        <s v="ORD10222"/>
        <s v="ORD10085"/>
        <s v="ORD10410"/>
        <s v="ORD10283"/>
        <s v="ORD10395"/>
        <s v="ORD10259"/>
        <s v="ORD10375"/>
        <s v="ORD10363"/>
        <s v="ORD10187"/>
        <s v="ORD10043"/>
        <s v="ORD10225"/>
        <s v="ORD10414"/>
        <s v="ORD10177"/>
        <s v="ORD10413"/>
        <s v="ORD10190"/>
        <s v="ORD10006"/>
        <s v="ORD10093"/>
        <s v="ORD10101"/>
        <s v="ORD10115"/>
        <s v="ORD10412"/>
        <s v="ORD10022"/>
        <s v="ORD10264"/>
        <s v="ORD10352"/>
        <s v="ORD10013"/>
        <s v="ORD10045"/>
        <s v="ORD10341"/>
        <s v="ORD10020"/>
        <s v="ORD10167"/>
        <s v="ORD10498"/>
        <s v="ORD10096"/>
        <s v="ORD10244"/>
        <s v="ORD10481"/>
        <s v="ORD10104"/>
        <s v="ORD10459"/>
        <s v="ORD10405"/>
        <s v="ORD10121"/>
        <s v="ORD10434"/>
        <s v="ORD10287"/>
        <s v="ORD10103"/>
        <s v="ORD10347"/>
        <s v="ORD10076"/>
        <s v="ORD10470"/>
        <s v="ORD10245"/>
        <s v="ORD10254"/>
        <s v="ORD10112"/>
        <s v="ORD10238"/>
        <s v="ORD10416"/>
        <s v="ORD10049"/>
        <s v="ORD10018"/>
        <s v="ORD10027"/>
        <s v="ORD10371"/>
        <s v="ORD10368"/>
        <s v="ORD10318"/>
        <s v="ORD10175"/>
        <s v="ORD10061"/>
        <s v="ORD10252"/>
        <s v="ORD10417"/>
        <s v="ORD10285"/>
        <s v="ORD10463"/>
        <s v="ORD10182"/>
        <s v="ORD10422"/>
        <s v="ORD10337"/>
        <s v="ORD10239"/>
        <s v="ORD10124"/>
        <s v="ORD10253"/>
        <s v="ORD10176"/>
        <s v="ORD10265"/>
        <s v="ORD10021"/>
        <s v="ORD10335"/>
        <s v="ORD10297"/>
        <s v="ORD10274"/>
        <s v="ORD10327"/>
        <s v="ORD10209"/>
        <s v="ORD10191"/>
        <s v="ORD10353"/>
        <s v="ORD10102"/>
        <s v="ORD10312"/>
        <s v="ORD10326"/>
        <s v="ORD10479"/>
        <s v="ORD10432"/>
        <s v="ORD10475"/>
        <s v="ORD10316"/>
        <s v="ORD10472"/>
        <s v="ORD10204"/>
        <s v="ORD10495"/>
        <s v="ORD10065"/>
        <s v="ORD10159"/>
        <s v="ORD10300"/>
        <s v="ORD10476"/>
        <s v="ORD10236"/>
        <s v="ORD10106"/>
        <s v="ORD10109"/>
        <s v="ORD10051"/>
        <s v="ORD10325"/>
        <s v="ORD10250"/>
        <s v="ORD10126"/>
        <s v="ORD10379"/>
        <s v="ORD10071"/>
        <s v="ORD10202"/>
        <s v="ORD10359"/>
        <s v="ORD10198"/>
        <s v="ORD10098"/>
        <s v="ORD10291"/>
        <s v="ORD10111"/>
        <s v="ORD10040"/>
        <s v="ORD10260"/>
        <s v="ORD10351"/>
        <s v="ORD10166"/>
        <s v="ORD10262"/>
        <s v="ORD10113"/>
        <s v="ORD10292"/>
        <s v="ORD10492"/>
        <s v="ORD10207"/>
        <s v="ORD10317"/>
        <s v="ORD10122"/>
        <s v="ORD10394"/>
        <s v="ORD10092"/>
        <s v="ORD10123"/>
        <s v="ORD10078"/>
        <s v="ORD10136"/>
        <s v="ORD10365"/>
        <s v="ORD10367"/>
        <s v="ORD10404"/>
        <s v="ORD10155"/>
        <s v="ORD10278"/>
        <s v="ORD10272"/>
        <s v="ORD10309"/>
        <s v="ORD10482"/>
        <s v="ORD10294"/>
        <s v="ORD10068"/>
        <s v="ORD10143"/>
        <s v="ORD10047"/>
        <s v="ORD10471"/>
        <s v="ORD10458"/>
        <s v="ORD10450"/>
        <s v="ORD10055"/>
        <s v="ORD10426"/>
        <s v="ORD10251"/>
        <s v="ORD10319"/>
        <s v="ORD10185"/>
        <s v="ORD10437"/>
        <s v="ORD10349"/>
        <s v="ORD10468"/>
        <s v="ORD10117"/>
        <s v="ORD10134"/>
        <s v="ORD10152"/>
        <s v="ORD10462"/>
        <s v="ORD10227"/>
        <s v="ORD10275"/>
        <s v="ORD10384"/>
        <s v="ORD10002"/>
        <s v="ORD10110"/>
        <s v="ORD10277"/>
        <s v="ORD10334"/>
        <s v="ORD10443"/>
        <s v="ORD10033"/>
        <s v="ORD10485"/>
        <s v="ORD10385"/>
        <s v="ORD10380"/>
        <s v="ORD10029"/>
        <s v="ORD10077"/>
        <s v="ORD10269"/>
        <s v="ORD10069"/>
        <s v="ORD10493"/>
        <s v="ORD10370"/>
        <s v="ORD10131"/>
        <s v="ORD10464"/>
        <s v="ORD10378"/>
        <s v="ORD10392"/>
        <s v="ORD10308"/>
        <s v="ORD10286"/>
        <s v="ORD10444"/>
        <s v="ORD10321"/>
        <s v="ORD10089"/>
        <s v="ORD10184"/>
        <s v="ORD10429"/>
        <s v="ORD10095"/>
        <s v="ORD10276"/>
        <s v="ORD10201"/>
        <s v="ORD10165"/>
        <s v="ORD10446"/>
        <s v="ORD10267"/>
        <s v="ORD10299"/>
        <s v="ORD10430"/>
        <s v="ORD10364"/>
        <s v="ORD10453"/>
        <s v="ORD10044"/>
        <s v="ORD10393"/>
        <s v="ORD10488"/>
        <s v="ORD10369"/>
        <s v="ORD10313"/>
        <s v="ORD10145"/>
        <s v="ORD10100"/>
        <s v="ORD10233"/>
        <s v="ORD10086"/>
        <s v="ORD10062"/>
        <s v="ORD10448"/>
        <s v="ORD10348"/>
        <s v="ORD10012"/>
        <s v="ORD10224"/>
        <s v="ORD10230"/>
        <s v="ORD10228"/>
        <s v="ORD10188"/>
        <s v="ORD10053"/>
        <s v="ORD10004"/>
        <s v="ORD10042"/>
        <s v="ORD10486"/>
        <s v="ORD10082"/>
        <s v="ORD10322"/>
        <s v="ORD10496"/>
        <s v="ORD10419"/>
        <s v="ORD10298"/>
        <s v="ORD10142"/>
        <s v="ORD10203"/>
        <s v="ORD10016"/>
        <s v="ORD10171"/>
        <s v="ORD10497"/>
        <s v="ORD10268"/>
        <s v="ORD10050"/>
        <s v="ORD10072"/>
        <s v="ORD10421"/>
        <s v="ORD10108"/>
        <s v="ORD10023"/>
        <s v="ORD10025"/>
        <s v="ORD10345"/>
        <s v="ORD10249"/>
        <s v="ORD10014"/>
        <s v="ORD10114"/>
        <s v="ORD10438"/>
        <s v="ORD10105"/>
        <s v="ORD10406"/>
        <s v="ORD10205"/>
        <s v="ORD10046"/>
        <s v="ORD10223"/>
        <s v="ORD10008"/>
        <s v="ORD10328"/>
        <s v="ORD10311"/>
        <s v="ORD10039"/>
        <s v="ORD10491"/>
        <s v="ORD10200"/>
        <s v="ORD10199"/>
        <s v="ORD10007"/>
        <s v="ORD10451"/>
        <s v="ORD10194"/>
        <s v="ORD10397"/>
        <s v="ORD10125"/>
        <s v="ORD10447"/>
        <s v="ORD10241"/>
        <s v="ORD10431"/>
        <s v="ORD10258"/>
        <s v="ORD10009"/>
        <s v="ORD10372"/>
        <s v="ORD10038"/>
        <s v="ORD10213"/>
        <s v="ORD10467"/>
        <s v="ORD10052"/>
        <s v="ORD10340"/>
        <s v="ORD10164"/>
        <s v="ORD10284"/>
        <s v="ORD10332"/>
        <s v="ORD10197"/>
        <s v="ORD10357"/>
        <s v="ORD10489"/>
        <s v="ORD10242"/>
        <s v="ORD10456"/>
        <s v="ORD10041"/>
        <s v="ORD10119"/>
        <s v="ORD10206"/>
        <s v="ORD10010"/>
        <s v="ORD10160"/>
        <s v="ORD10243"/>
        <s v="ORD10132"/>
        <s v="ORD10057"/>
        <s v="ORD10301"/>
        <s v="ORD10361"/>
        <s v="ORD10469"/>
        <s v="ORD10221"/>
        <s v="ORD10148"/>
        <s v="ORD10099"/>
        <s v="ORD10067"/>
        <s v="ORD10307"/>
        <s v="ORD10344"/>
        <s v="ORD10140"/>
        <s v="ORD10174"/>
        <s v="ORD10183"/>
        <s v="ORD10139"/>
        <s v="ORD10336"/>
        <s v="ORD10483"/>
        <s v="ORD10073"/>
        <s v="ORD10461"/>
        <s v="ORD10256"/>
        <s v="ORD10449"/>
        <s v="ORD10035"/>
        <s v="ORD10315"/>
        <s v="ORD10186"/>
        <s v="ORD10079"/>
        <s v="ORD10048"/>
        <s v="ORD10130"/>
        <s v="ORD10440"/>
        <s v="ORD10195"/>
        <s v="ORD10193"/>
        <s v="ORD10320"/>
        <s v="ORD10161"/>
        <s v="ORD10097"/>
        <s v="ORD10003"/>
        <s v="ORD10391"/>
        <s v="ORD10343"/>
        <s v="ORD10192"/>
        <s v="ORD10215"/>
        <s v="ORD10116"/>
        <s v="ORD10036"/>
        <s v="ORD10381"/>
        <s v="ORD10403"/>
        <s v="ORD10261"/>
        <s v="ORD10019"/>
        <s v="ORD10339"/>
        <s v="ORD10178"/>
        <s v="ORD10031"/>
        <s v="ORD10168"/>
        <s v="ORD10087"/>
        <s v="ORD10433"/>
        <s v="ORD10374"/>
        <s v="ORD10163"/>
        <s v="ORD10355"/>
        <s v="ORD10088"/>
        <s v="ORD10501"/>
        <s v="ORD10366"/>
        <s v="ORD10289"/>
        <s v="ORD10420"/>
        <s v="ORD10435"/>
        <s v="ORD10058"/>
        <s v="ORD10387"/>
        <s v="ORD10388"/>
        <s v="ORD10146"/>
        <s v="ORD10144"/>
        <s v="ORD10418"/>
        <s v="ORD10360"/>
        <s v="ORD10091"/>
        <s v="ORD10127"/>
        <s v="ORD10080"/>
        <s v="ORD10382"/>
        <s v="ORD10028"/>
        <s v="ORD10024"/>
        <s v="ORD10423"/>
        <s v="ORD10017"/>
        <s v="ORD10075"/>
        <s v="ORD10400"/>
        <s v="ORD10214"/>
        <s v="ORD10295"/>
        <s v="ORD10037"/>
        <s v="ORD10314"/>
        <s v="ORD10376"/>
        <s v="ORD10231"/>
        <s v="ORD10011"/>
        <s v="ORD10149"/>
        <s v="ORD10059"/>
        <s v="ORD10439"/>
        <s v="ORD10427"/>
        <s v="ORD10169"/>
        <s v="ORD10465"/>
        <s v="ORD10452"/>
        <s v="ORD10396"/>
        <s v="ORD10234"/>
        <s v="ORD10362"/>
        <s v="ORD10282"/>
        <s v="ORD10129"/>
        <s v="ORD10441"/>
        <s v="ORD10457"/>
        <s v="ORD10478"/>
        <s v="ORD10138"/>
        <s v="ORD10454"/>
        <s v="ORD10034"/>
        <s v="ORD10240"/>
        <s v="ORD10487"/>
        <s v="ORD10342"/>
        <s v="ORD10060"/>
        <s v="ORD10293"/>
        <s v="ORD10408"/>
        <s v="ORD10271"/>
        <s v="ORD10030"/>
      </sharedItems>
    </cacheField>
    <cacheField name="Order Date" numFmtId="164">
      <sharedItems containsSemiMixedTypes="0" containsNonDate="0" containsDate="1" containsString="0" minDate="2025-01-01T00:00:00" maxDate="2026-01-01T00:00:00" count="280">
        <d v="2025-01-01T00:00:00"/>
        <d v="2025-01-03T00:00:00"/>
        <d v="2025-01-04T00:00:00"/>
        <d v="2025-01-05T00:00:00"/>
        <d v="2025-01-06T00:00:00"/>
        <d v="2025-01-07T00:00:00"/>
        <d v="2025-01-08T00:00:00"/>
        <d v="2025-01-10T00:00:00"/>
        <d v="2025-01-11T00:00:00"/>
        <d v="2025-01-12T00:00:00"/>
        <d v="2025-01-13T00:00:00"/>
        <d v="2025-01-14T00:00:00"/>
        <d v="2025-01-17T00:00:00"/>
        <d v="2025-01-18T00:00:00"/>
        <d v="2025-01-19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5T00:00:00"/>
        <d v="2025-02-26T00:00:00"/>
        <d v="2025-02-27T00:00:00"/>
        <d v="2025-02-28T00:00:00"/>
        <d v="2025-03-01T00:00:00"/>
        <d v="2025-03-02T00:00:00"/>
        <d v="2025-03-04T00:00:00"/>
        <d v="2025-03-06T00:00:00"/>
        <d v="2025-03-07T00:00:00"/>
        <d v="2025-03-08T00:00:00"/>
        <d v="2025-03-10T00:00:00"/>
        <d v="2025-03-11T00:00:00"/>
        <d v="2025-03-13T00:00:00"/>
        <d v="2025-03-14T00:00:00"/>
        <d v="2025-03-15T00:00:00"/>
        <d v="2025-03-17T00:00:00"/>
        <d v="2025-03-18T00:00:00"/>
        <d v="2025-03-20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30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3T00:00:00"/>
        <d v="2025-04-14T00:00:00"/>
        <d v="2025-04-15T00:00:00"/>
        <d v="2025-04-16T00:00:00"/>
        <d v="2025-04-17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30T00:00:00"/>
        <d v="2025-05-01T00:00:00"/>
        <d v="2025-05-02T00:00:00"/>
        <d v="2025-05-04T00:00:00"/>
        <d v="2025-05-05T00:00:00"/>
        <d v="2025-05-06T00:00:00"/>
        <d v="2025-05-07T00:00:00"/>
        <d v="2025-05-08T00:00:00"/>
        <d v="2025-05-10T00:00:00"/>
        <d v="2025-05-12T00:00:00"/>
        <d v="2025-05-13T00:00:00"/>
        <d v="2025-05-14T00:00:00"/>
        <d v="2025-05-15T00:00:00"/>
        <d v="2025-05-17T00:00:00"/>
        <d v="2025-05-18T00:00:00"/>
        <d v="2025-05-19T00:00:00"/>
        <d v="2025-05-20T00:00:00"/>
        <d v="2025-05-23T00:00:00"/>
        <d v="2025-05-25T00:00:00"/>
        <d v="2025-05-27T00:00:00"/>
        <d v="2025-05-29T00:00:00"/>
        <d v="2025-05-30T00:00:00"/>
        <d v="2025-06-01T00:00:00"/>
        <d v="2025-06-02T00:00:00"/>
        <d v="2025-06-03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7T00:00:00"/>
        <d v="2025-06-19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6T00:00:00"/>
        <d v="2025-07-17T00:00:00"/>
        <d v="2025-07-18T00:00:00"/>
        <d v="2025-07-19T00:00:00"/>
        <d v="2025-07-21T00:00:00"/>
        <d v="2025-07-22T00:00:00"/>
        <d v="2025-07-25T00:00:00"/>
        <d v="2025-07-28T00:00:00"/>
        <d v="2025-08-01T00:00:00"/>
        <d v="2025-08-02T00:00:00"/>
        <d v="2025-08-03T00:00:00"/>
        <d v="2025-08-04T00:00:00"/>
        <d v="2025-08-06T00:00:00"/>
        <d v="2025-08-07T00:00:00"/>
        <d v="2025-08-08T00:00:00"/>
        <d v="2025-08-09T00:00:00"/>
        <d v="2025-08-12T00:00:00"/>
        <d v="2025-08-14T00:00:00"/>
        <d v="2025-08-16T00:00:00"/>
        <d v="2025-08-17T00:00:00"/>
        <d v="2025-08-18T00:00:00"/>
        <d v="2025-08-19T00:00:00"/>
        <d v="2025-08-20T00:00:00"/>
        <d v="2025-08-21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3T00:00:00"/>
        <d v="2025-09-05T00:00:00"/>
        <d v="2025-09-06T00:00:00"/>
        <d v="2025-09-08T00:00:00"/>
        <d v="2025-09-09T00:00:00"/>
        <d v="2025-09-11T00:00:00"/>
        <d v="2025-09-12T00:00:00"/>
        <d v="2025-09-13T00:00:00"/>
        <d v="2025-09-14T00:00:00"/>
        <d v="2025-09-15T00:00:00"/>
        <d v="2025-09-17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2T00:00:00"/>
        <d v="2025-10-13T00:00:00"/>
        <d v="2025-10-14T00:00:00"/>
        <d v="2025-10-16T00:00:00"/>
        <d v="2025-10-17T00:00:00"/>
        <d v="2025-10-19T00:00:00"/>
        <d v="2025-10-20T00:00:00"/>
        <d v="2025-10-21T00:00:00"/>
        <d v="2025-10-22T00:00:00"/>
        <d v="2025-10-23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4T00:00:00"/>
        <d v="2025-11-05T00:00:00"/>
        <d v="2025-11-06T00:00:00"/>
        <d v="2025-11-07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8T00:00:00"/>
        <d v="2025-11-29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8T00:00:00"/>
        <d v="2025-12-20T00:00:00"/>
        <d v="2025-12-21T00:00:00"/>
        <d v="2025-12-25T00:00:00"/>
        <d v="2025-12-26T00:00:00"/>
        <d v="2025-12-27T00:00:00"/>
        <d v="2025-12-28T00:00:00"/>
        <d v="2025-12-29T00:00:00"/>
        <d v="2025-12-31T00:00:00"/>
      </sharedItems>
      <fieldGroup par="17"/>
    </cacheField>
    <cacheField name="Customer Name" numFmtId="0">
      <sharedItems count="25">
        <s v="Deepak Patil"/>
        <s v="Manish Chavan"/>
        <s v="Akash Verma"/>
        <s v="Rahul Shah"/>
        <s v="Meena Iyer"/>
        <s v="Pallavi Nair"/>
        <s v="Kavita Pawar"/>
        <s v="Pooja Deshmukh"/>
        <s v="Anjali Singh"/>
        <s v="Sneha Joshi"/>
        <s v="Karan Yadav"/>
        <s v="Ayesha Khan"/>
        <s v="Nikhil Jain"/>
        <s v="Priya Patil"/>
        <s v="Sanjay More"/>
        <s v="Rohan Mehta"/>
        <s v="Raj Malhotra"/>
        <s v="Neha Kulkarni"/>
        <s v="Riya Kapoor"/>
        <s v="Vikas Gupta"/>
        <s v="Amit Sharma"/>
        <s v="Varun Soni"/>
        <s v="Aditya Naik"/>
        <s v="Sonal Mishra"/>
        <s v="Shweta Rao"/>
      </sharedItems>
    </cacheField>
    <cacheField name="Region" numFmtId="0">
      <sharedItems count="4">
        <s v="East"/>
        <s v="South"/>
        <s v="West"/>
        <s v="North"/>
      </sharedItems>
    </cacheField>
    <cacheField name="City" numFmtId="0">
      <sharedItems/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2">
        <s v="Chairs"/>
        <s v="Phones"/>
        <s v="Paper"/>
        <s v="Printers"/>
        <s v="Bookcases"/>
        <s v="Laptops"/>
        <s v="Accessories"/>
        <s v="Furnishings"/>
        <s v="Tables"/>
        <s v="Storage"/>
        <s v="Art Supplies"/>
        <s v="Binders"/>
      </sharedItems>
    </cacheField>
    <cacheField name="Product Name" numFmtId="0">
      <sharedItems count="32">
        <s v="Executive Chair"/>
        <s v="Business Phone"/>
        <s v="A4 Paper Pack"/>
        <s v="Inkjet Printer"/>
        <s v="Office Bookcase"/>
        <s v="Business Laptop"/>
        <s v="Keyboard"/>
        <s v="Desk Lamp"/>
        <s v="Office Table"/>
        <s v="Storage Box"/>
        <s v="Sketch Pens"/>
        <s v="USB Hub"/>
        <s v="Marker Set"/>
        <s v="Conference Table"/>
        <s v="Office Chair"/>
        <s v="Wireless Mouse"/>
        <s v="File Binder"/>
        <s v="Premium Paper"/>
        <s v="Headset"/>
        <s v="Gaming Laptop"/>
        <s v="Filing Cabinet"/>
        <s v="Ultrabook"/>
        <s v="Smartphone"/>
        <s v="Budget Smartphone"/>
        <s v="Ergonomic Chair"/>
        <s v="Laser Printer"/>
        <s v="Drawing Kit"/>
        <s v="Desk Organizer"/>
        <s v="Study Table"/>
        <s v="Wooden Bookcase"/>
        <s v="Wall Clock"/>
        <s v="Ring Binder"/>
      </sharedItems>
    </cacheField>
    <cacheField name="Quantity" numFmtId="0">
      <sharedItems containsSemiMixedTypes="0" containsString="0" containsNumber="1" containsInteger="1" minValue="1" maxValue="7"/>
    </cacheField>
    <cacheField name="Discount" numFmtId="9">
      <sharedItems containsSemiMixedTypes="0" containsString="0" containsNumber="1" minValue="0" maxValue="0.2"/>
    </cacheField>
    <cacheField name="Sales" numFmtId="4">
      <sharedItems containsSemiMixedTypes="0" containsString="0" containsNumber="1" minValue="177.48" maxValue="339572.8"/>
    </cacheField>
    <cacheField name="Profit" numFmtId="4">
      <sharedItems containsSemiMixedTypes="0" containsString="0" containsNumber="1" minValue="15.46" maxValue="61692.82"/>
    </cacheField>
    <cacheField name="Year" numFmtId="0">
      <sharedItems containsSemiMixedTypes="0" containsString="0" containsNumber="1" containsInteger="1" minValue="2025" maxValue="2025"/>
    </cacheField>
    <cacheField name="Month" numFmtId="0">
      <sharedItems/>
    </cacheField>
    <cacheField name="Sales Category" numFmtId="0">
      <sharedItems count="3">
        <s v="High"/>
        <s v="Low"/>
        <s v="Medium"/>
      </sharedItems>
    </cacheField>
    <cacheField name="Profit Margin" numFmtId="10">
      <sharedItems containsSemiMixedTypes="0" containsString="0" containsNumber="1" minValue="1.031936883400234E-2" maxValue="0.24923169703460385"/>
    </cacheField>
    <cacheField name="Days (Order Date)" numFmtId="0" databaseField="0">
      <fieldGroup base="1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Order 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s v="Bhubaneswar"/>
    <x v="0"/>
    <x v="0"/>
    <x v="0"/>
    <n v="6"/>
    <n v="0"/>
    <n v="14565.72"/>
    <n v="2664.67"/>
    <n v="2025"/>
    <s v="Jan"/>
    <x v="0"/>
    <n v="0.18294117970138107"/>
  </r>
  <r>
    <x v="1"/>
    <x v="0"/>
    <x v="1"/>
    <x v="1"/>
    <s v="Hyderabad"/>
    <x v="1"/>
    <x v="1"/>
    <x v="1"/>
    <n v="5"/>
    <n v="0"/>
    <n v="153118.95000000001"/>
    <n v="29734.03"/>
    <n v="2025"/>
    <s v="Jan"/>
    <x v="0"/>
    <n v="0.19418909285885252"/>
  </r>
  <r>
    <x v="2"/>
    <x v="1"/>
    <x v="2"/>
    <x v="0"/>
    <s v="Bhubaneswar"/>
    <x v="2"/>
    <x v="2"/>
    <x v="2"/>
    <n v="4"/>
    <n v="0.1"/>
    <n v="14739.16"/>
    <n v="2479.4299999999998"/>
    <n v="2025"/>
    <s v="Jan"/>
    <x v="0"/>
    <n v="0.16822057702067145"/>
  </r>
  <r>
    <x v="3"/>
    <x v="2"/>
    <x v="3"/>
    <x v="2"/>
    <s v="Kolhapur"/>
    <x v="1"/>
    <x v="3"/>
    <x v="3"/>
    <n v="2"/>
    <n v="0.2"/>
    <n v="87786.9"/>
    <n v="5093.42"/>
    <n v="2025"/>
    <s v="Jan"/>
    <x v="0"/>
    <n v="5.8020274095565517E-2"/>
  </r>
  <r>
    <x v="4"/>
    <x v="2"/>
    <x v="4"/>
    <x v="3"/>
    <s v="Lucknow"/>
    <x v="0"/>
    <x v="4"/>
    <x v="4"/>
    <n v="1"/>
    <n v="0"/>
    <n v="8985.34"/>
    <n v="2072.17"/>
    <n v="2025"/>
    <s v="Jan"/>
    <x v="0"/>
    <n v="0.23061676018937513"/>
  </r>
  <r>
    <x v="5"/>
    <x v="3"/>
    <x v="5"/>
    <x v="2"/>
    <s v="Nashik"/>
    <x v="1"/>
    <x v="3"/>
    <x v="3"/>
    <n v="4"/>
    <n v="0.2"/>
    <n v="51151.64"/>
    <n v="1319.61"/>
    <n v="2025"/>
    <s v="Jan"/>
    <x v="0"/>
    <n v="2.5797999829526481E-2"/>
  </r>
  <r>
    <x v="6"/>
    <x v="3"/>
    <x v="5"/>
    <x v="3"/>
    <s v="Delhi"/>
    <x v="1"/>
    <x v="5"/>
    <x v="5"/>
    <n v="4"/>
    <n v="0"/>
    <n v="48513.4"/>
    <n v="11781.42"/>
    <n v="2025"/>
    <s v="Jan"/>
    <x v="0"/>
    <n v="0.24284877992472181"/>
  </r>
  <r>
    <x v="7"/>
    <x v="3"/>
    <x v="6"/>
    <x v="3"/>
    <s v="Chandigarh"/>
    <x v="1"/>
    <x v="3"/>
    <x v="3"/>
    <n v="3"/>
    <n v="0.05"/>
    <n v="96888.84"/>
    <n v="17258.080000000002"/>
    <n v="2025"/>
    <s v="Jan"/>
    <x v="0"/>
    <n v="0.17812247519941413"/>
  </r>
  <r>
    <x v="8"/>
    <x v="4"/>
    <x v="3"/>
    <x v="0"/>
    <s v="Ranchi"/>
    <x v="1"/>
    <x v="5"/>
    <x v="5"/>
    <n v="4"/>
    <n v="0.2"/>
    <n v="6241.88"/>
    <n v="516.77"/>
    <n v="2025"/>
    <s v="Jan"/>
    <x v="0"/>
    <n v="8.2790761757675566E-2"/>
  </r>
  <r>
    <x v="9"/>
    <x v="4"/>
    <x v="7"/>
    <x v="1"/>
    <s v="Bengaluru"/>
    <x v="1"/>
    <x v="6"/>
    <x v="6"/>
    <n v="4"/>
    <n v="0.15"/>
    <n v="179862.36"/>
    <n v="30742.15"/>
    <n v="2025"/>
    <s v="Jan"/>
    <x v="0"/>
    <n v="0.17092041936956684"/>
  </r>
  <r>
    <x v="10"/>
    <x v="4"/>
    <x v="8"/>
    <x v="0"/>
    <s v="Bhubaneswar"/>
    <x v="0"/>
    <x v="7"/>
    <x v="7"/>
    <n v="2"/>
    <n v="0.05"/>
    <n v="6738.58"/>
    <n v="1010.09"/>
    <n v="2025"/>
    <s v="Jan"/>
    <x v="0"/>
    <n v="0.14989656574530541"/>
  </r>
  <r>
    <x v="11"/>
    <x v="5"/>
    <x v="5"/>
    <x v="0"/>
    <s v="Ranchi"/>
    <x v="0"/>
    <x v="0"/>
    <x v="0"/>
    <n v="1"/>
    <n v="0.1"/>
    <n v="4775"/>
    <n v="753.07"/>
    <n v="2025"/>
    <s v="Jan"/>
    <x v="0"/>
    <n v="0.15771099476439793"/>
  </r>
  <r>
    <x v="12"/>
    <x v="6"/>
    <x v="9"/>
    <x v="1"/>
    <s v="Mysuru"/>
    <x v="0"/>
    <x v="8"/>
    <x v="8"/>
    <n v="2"/>
    <n v="0.15"/>
    <n v="9930.18"/>
    <n v="1258.3699999999999"/>
    <n v="2025"/>
    <s v="Jan"/>
    <x v="0"/>
    <n v="0.12672177140797045"/>
  </r>
  <r>
    <x v="13"/>
    <x v="7"/>
    <x v="3"/>
    <x v="0"/>
    <s v="Ranchi"/>
    <x v="2"/>
    <x v="9"/>
    <x v="9"/>
    <n v="6"/>
    <n v="0.05"/>
    <n v="5590.86"/>
    <n v="775.97"/>
    <n v="2025"/>
    <s v="Jan"/>
    <x v="0"/>
    <n v="0.13879260078055972"/>
  </r>
  <r>
    <x v="14"/>
    <x v="8"/>
    <x v="8"/>
    <x v="2"/>
    <s v="Kolhapur"/>
    <x v="2"/>
    <x v="10"/>
    <x v="10"/>
    <n v="7"/>
    <n v="0.05"/>
    <n v="4500.72"/>
    <n v="453.15"/>
    <n v="2025"/>
    <s v="Jan"/>
    <x v="0"/>
    <n v="0.10068389057750758"/>
  </r>
  <r>
    <x v="15"/>
    <x v="9"/>
    <x v="10"/>
    <x v="1"/>
    <s v="Hyderabad"/>
    <x v="1"/>
    <x v="6"/>
    <x v="11"/>
    <n v="4"/>
    <n v="0.1"/>
    <n v="196307.32"/>
    <n v="39775.83"/>
    <n v="2025"/>
    <s v="Jan"/>
    <x v="0"/>
    <n v="0.20262020794741634"/>
  </r>
  <r>
    <x v="16"/>
    <x v="9"/>
    <x v="4"/>
    <x v="0"/>
    <s v="Bhubaneswar"/>
    <x v="2"/>
    <x v="10"/>
    <x v="12"/>
    <n v="1"/>
    <n v="0"/>
    <n v="2952.64"/>
    <n v="265.27999999999997"/>
    <n v="2025"/>
    <s v="Jan"/>
    <x v="0"/>
    <n v="8.9845020049853688E-2"/>
  </r>
  <r>
    <x v="17"/>
    <x v="10"/>
    <x v="11"/>
    <x v="0"/>
    <s v="Bhubaneswar"/>
    <x v="0"/>
    <x v="8"/>
    <x v="13"/>
    <n v="7"/>
    <n v="0.05"/>
    <n v="20494.53"/>
    <n v="2259.9499999999998"/>
    <n v="2025"/>
    <s v="Jan"/>
    <x v="0"/>
    <n v="0.11027088691470358"/>
  </r>
  <r>
    <x v="18"/>
    <x v="10"/>
    <x v="12"/>
    <x v="2"/>
    <s v="Pune"/>
    <x v="1"/>
    <x v="6"/>
    <x v="6"/>
    <n v="7"/>
    <n v="0"/>
    <n v="212336.95"/>
    <n v="39631.83"/>
    <n v="2025"/>
    <s v="Jan"/>
    <x v="0"/>
    <n v="0.18664594174494831"/>
  </r>
  <r>
    <x v="19"/>
    <x v="10"/>
    <x v="9"/>
    <x v="0"/>
    <s v="Bhubaneswar"/>
    <x v="0"/>
    <x v="0"/>
    <x v="14"/>
    <n v="5"/>
    <n v="0.15"/>
    <n v="12281.65"/>
    <n v="644.5"/>
    <n v="2025"/>
    <s v="Jan"/>
    <x v="0"/>
    <n v="5.247666233771521E-2"/>
  </r>
  <r>
    <x v="20"/>
    <x v="11"/>
    <x v="2"/>
    <x v="0"/>
    <s v="Ranchi"/>
    <x v="1"/>
    <x v="6"/>
    <x v="15"/>
    <n v="2"/>
    <n v="0"/>
    <n v="63934.26"/>
    <n v="6629.38"/>
    <n v="2025"/>
    <s v="Jan"/>
    <x v="0"/>
    <n v="0.10369057215959018"/>
  </r>
  <r>
    <x v="21"/>
    <x v="12"/>
    <x v="11"/>
    <x v="2"/>
    <s v="Pune"/>
    <x v="2"/>
    <x v="11"/>
    <x v="16"/>
    <n v="1"/>
    <n v="0.05"/>
    <n v="4719.87"/>
    <n v="646.11"/>
    <n v="2025"/>
    <s v="Jan"/>
    <x v="0"/>
    <n v="0.13689148218065328"/>
  </r>
  <r>
    <x v="22"/>
    <x v="13"/>
    <x v="13"/>
    <x v="1"/>
    <s v="Mysuru"/>
    <x v="0"/>
    <x v="4"/>
    <x v="4"/>
    <n v="7"/>
    <n v="0.1"/>
    <n v="27036.87"/>
    <n v="3969.11"/>
    <n v="2025"/>
    <s v="Jan"/>
    <x v="0"/>
    <n v="0.1468036055948784"/>
  </r>
  <r>
    <x v="23"/>
    <x v="13"/>
    <x v="4"/>
    <x v="0"/>
    <s v="Kolkata"/>
    <x v="2"/>
    <x v="2"/>
    <x v="17"/>
    <n v="6"/>
    <n v="0"/>
    <n v="3056.52"/>
    <n v="459.74"/>
    <n v="2025"/>
    <s v="Jan"/>
    <x v="0"/>
    <n v="0.15041288785939566"/>
  </r>
  <r>
    <x v="24"/>
    <x v="14"/>
    <x v="14"/>
    <x v="2"/>
    <s v="Nashik"/>
    <x v="1"/>
    <x v="6"/>
    <x v="18"/>
    <n v="7"/>
    <n v="0"/>
    <n v="233516.22"/>
    <n v="44414.81"/>
    <n v="2025"/>
    <s v="Jan"/>
    <x v="0"/>
    <n v="0.19020010687052058"/>
  </r>
  <r>
    <x v="25"/>
    <x v="15"/>
    <x v="10"/>
    <x v="1"/>
    <s v="Hyderabad"/>
    <x v="2"/>
    <x v="10"/>
    <x v="12"/>
    <n v="4"/>
    <n v="0.05"/>
    <n v="2650.8"/>
    <n v="511.66"/>
    <n v="2025"/>
    <s v="Jan"/>
    <x v="0"/>
    <n v="0.19302097480006036"/>
  </r>
  <r>
    <x v="26"/>
    <x v="15"/>
    <x v="15"/>
    <x v="1"/>
    <s v="Chennai"/>
    <x v="1"/>
    <x v="6"/>
    <x v="18"/>
    <n v="5"/>
    <n v="0"/>
    <n v="104715.25"/>
    <n v="16140.97"/>
    <n v="2025"/>
    <s v="Jan"/>
    <x v="0"/>
    <n v="0.15414154098853797"/>
  </r>
  <r>
    <x v="27"/>
    <x v="15"/>
    <x v="10"/>
    <x v="3"/>
    <s v="Delhi"/>
    <x v="0"/>
    <x v="8"/>
    <x v="8"/>
    <n v="7"/>
    <n v="0.2"/>
    <n v="73878.14"/>
    <n v="8805.93"/>
    <n v="2025"/>
    <s v="Jan"/>
    <x v="0"/>
    <n v="0.11919533978521929"/>
  </r>
  <r>
    <x v="28"/>
    <x v="15"/>
    <x v="14"/>
    <x v="1"/>
    <s v="Mysuru"/>
    <x v="2"/>
    <x v="2"/>
    <x v="2"/>
    <n v="3"/>
    <n v="0.1"/>
    <n v="12676.95"/>
    <n v="2717.64"/>
    <n v="2025"/>
    <s v="Jan"/>
    <x v="0"/>
    <n v="0.21437648645770471"/>
  </r>
  <r>
    <x v="29"/>
    <x v="16"/>
    <x v="16"/>
    <x v="1"/>
    <s v="Hyderabad"/>
    <x v="2"/>
    <x v="9"/>
    <x v="9"/>
    <n v="3"/>
    <n v="0.2"/>
    <n v="411.18"/>
    <n v="66.88"/>
    <n v="2025"/>
    <s v="Jan"/>
    <x v="1"/>
    <n v="0.16265382557517388"/>
  </r>
  <r>
    <x v="30"/>
    <x v="17"/>
    <x v="17"/>
    <x v="1"/>
    <s v="Hyderabad"/>
    <x v="2"/>
    <x v="9"/>
    <x v="9"/>
    <n v="3"/>
    <n v="0"/>
    <n v="5457.03"/>
    <n v="741.01"/>
    <n v="2025"/>
    <s v="Jan"/>
    <x v="0"/>
    <n v="0.13578998099698922"/>
  </r>
  <r>
    <x v="31"/>
    <x v="17"/>
    <x v="4"/>
    <x v="2"/>
    <s v="Nashik"/>
    <x v="2"/>
    <x v="2"/>
    <x v="17"/>
    <n v="3"/>
    <n v="0.05"/>
    <n v="13119.12"/>
    <n v="1119.77"/>
    <n v="2025"/>
    <s v="Jan"/>
    <x v="0"/>
    <n v="8.5354048137375058E-2"/>
  </r>
  <r>
    <x v="32"/>
    <x v="18"/>
    <x v="4"/>
    <x v="0"/>
    <s v="Patna"/>
    <x v="1"/>
    <x v="3"/>
    <x v="3"/>
    <n v="3"/>
    <n v="0.2"/>
    <n v="22742.67"/>
    <n v="234.69"/>
    <n v="2025"/>
    <s v="Jan"/>
    <x v="0"/>
    <n v="1.031936883400234E-2"/>
  </r>
  <r>
    <x v="33"/>
    <x v="19"/>
    <x v="14"/>
    <x v="2"/>
    <s v="Pune"/>
    <x v="1"/>
    <x v="6"/>
    <x v="11"/>
    <n v="6"/>
    <n v="0.05"/>
    <n v="107041.32"/>
    <n v="15439.88"/>
    <n v="2025"/>
    <s v="Jan"/>
    <x v="0"/>
    <n v="0.14424224215471182"/>
  </r>
  <r>
    <x v="34"/>
    <x v="19"/>
    <x v="13"/>
    <x v="1"/>
    <s v="Hyderabad"/>
    <x v="2"/>
    <x v="10"/>
    <x v="10"/>
    <n v="1"/>
    <n v="0"/>
    <n v="2448.84"/>
    <n v="580.04999999999995"/>
    <n v="2025"/>
    <s v="Jan"/>
    <x v="0"/>
    <n v="0.23686725143333168"/>
  </r>
  <r>
    <x v="35"/>
    <x v="19"/>
    <x v="12"/>
    <x v="1"/>
    <s v="Bengaluru"/>
    <x v="1"/>
    <x v="5"/>
    <x v="19"/>
    <n v="5"/>
    <n v="0.2"/>
    <n v="33953.449999999997"/>
    <n v="488.52"/>
    <n v="2025"/>
    <s v="Jan"/>
    <x v="0"/>
    <n v="1.4387934068555626E-2"/>
  </r>
  <r>
    <x v="36"/>
    <x v="19"/>
    <x v="12"/>
    <x v="3"/>
    <s v="Chandigarh"/>
    <x v="1"/>
    <x v="5"/>
    <x v="19"/>
    <n v="4"/>
    <n v="0.2"/>
    <n v="126689.36"/>
    <n v="13821.48"/>
    <n v="2025"/>
    <s v="Jan"/>
    <x v="0"/>
    <n v="0.10909740170760986"/>
  </r>
  <r>
    <x v="37"/>
    <x v="20"/>
    <x v="0"/>
    <x v="2"/>
    <s v="Nashik"/>
    <x v="2"/>
    <x v="9"/>
    <x v="20"/>
    <n v="2"/>
    <n v="0.1"/>
    <n v="3288.44"/>
    <n v="230.14"/>
    <n v="2025"/>
    <s v="Jan"/>
    <x v="0"/>
    <n v="6.9984551945603379E-2"/>
  </r>
  <r>
    <x v="38"/>
    <x v="21"/>
    <x v="4"/>
    <x v="0"/>
    <s v="Patna"/>
    <x v="2"/>
    <x v="2"/>
    <x v="2"/>
    <n v="5"/>
    <n v="0"/>
    <n v="14789.8"/>
    <n v="2563.4699999999998"/>
    <n v="2025"/>
    <s v="Jan"/>
    <x v="0"/>
    <n v="0.1733268874494584"/>
  </r>
  <r>
    <x v="39"/>
    <x v="21"/>
    <x v="3"/>
    <x v="1"/>
    <s v="Chennai"/>
    <x v="1"/>
    <x v="5"/>
    <x v="21"/>
    <n v="1"/>
    <n v="0.15"/>
    <n v="48191.24"/>
    <n v="7316.2"/>
    <n v="2025"/>
    <s v="Jan"/>
    <x v="0"/>
    <n v="0.15181597319346835"/>
  </r>
  <r>
    <x v="40"/>
    <x v="22"/>
    <x v="16"/>
    <x v="3"/>
    <s v="Lucknow"/>
    <x v="1"/>
    <x v="5"/>
    <x v="19"/>
    <n v="6"/>
    <n v="0.2"/>
    <n v="141340.26"/>
    <n v="2911.33"/>
    <n v="2025"/>
    <s v="Jan"/>
    <x v="0"/>
    <n v="2.0598023521394396E-2"/>
  </r>
  <r>
    <x v="41"/>
    <x v="22"/>
    <x v="8"/>
    <x v="3"/>
    <s v="Lucknow"/>
    <x v="0"/>
    <x v="0"/>
    <x v="0"/>
    <n v="7"/>
    <n v="0.05"/>
    <n v="29427.37"/>
    <n v="4517.3100000000004"/>
    <n v="2025"/>
    <s v="Jan"/>
    <x v="0"/>
    <n v="0.15350709220701683"/>
  </r>
  <r>
    <x v="42"/>
    <x v="22"/>
    <x v="13"/>
    <x v="3"/>
    <s v="Jaipur"/>
    <x v="1"/>
    <x v="1"/>
    <x v="22"/>
    <n v="3"/>
    <n v="0"/>
    <n v="99334.32"/>
    <n v="21008.26"/>
    <n v="2025"/>
    <s v="Jan"/>
    <x v="0"/>
    <n v="0.21149044962506411"/>
  </r>
  <r>
    <x v="43"/>
    <x v="23"/>
    <x v="10"/>
    <x v="0"/>
    <s v="Ranchi"/>
    <x v="2"/>
    <x v="9"/>
    <x v="20"/>
    <n v="5"/>
    <n v="0.15"/>
    <n v="1421.1"/>
    <n v="190.68"/>
    <n v="2025"/>
    <s v="Jan"/>
    <x v="0"/>
    <n v="0.13417774963056789"/>
  </r>
  <r>
    <x v="44"/>
    <x v="24"/>
    <x v="16"/>
    <x v="1"/>
    <s v="Mysuru"/>
    <x v="1"/>
    <x v="1"/>
    <x v="23"/>
    <n v="2"/>
    <n v="0.2"/>
    <n v="86456.58"/>
    <n v="12570.8"/>
    <n v="2025"/>
    <s v="Jan"/>
    <x v="0"/>
    <n v="0.14540015346431698"/>
  </r>
  <r>
    <x v="45"/>
    <x v="25"/>
    <x v="16"/>
    <x v="3"/>
    <s v="Delhi"/>
    <x v="2"/>
    <x v="2"/>
    <x v="2"/>
    <n v="2"/>
    <n v="0.1"/>
    <n v="1462.92"/>
    <n v="122.69"/>
    <n v="2025"/>
    <s v="Jan"/>
    <x v="0"/>
    <n v="8.3866513548245966E-2"/>
  </r>
  <r>
    <x v="46"/>
    <x v="25"/>
    <x v="18"/>
    <x v="2"/>
    <s v="Nashik"/>
    <x v="2"/>
    <x v="10"/>
    <x v="12"/>
    <n v="4"/>
    <n v="0.15"/>
    <n v="9014.44"/>
    <n v="1552.7"/>
    <n v="2025"/>
    <s v="Jan"/>
    <x v="0"/>
    <n v="0.17224586330376596"/>
  </r>
  <r>
    <x v="47"/>
    <x v="25"/>
    <x v="5"/>
    <x v="2"/>
    <s v="Pune"/>
    <x v="0"/>
    <x v="7"/>
    <x v="7"/>
    <n v="1"/>
    <n v="0.15"/>
    <n v="11501.07"/>
    <n v="403.47"/>
    <n v="2025"/>
    <s v="Jan"/>
    <x v="0"/>
    <n v="3.5081083760032765E-2"/>
  </r>
  <r>
    <x v="48"/>
    <x v="26"/>
    <x v="19"/>
    <x v="3"/>
    <s v="Chandigarh"/>
    <x v="2"/>
    <x v="11"/>
    <x v="16"/>
    <n v="5"/>
    <n v="0.15"/>
    <n v="4535.3"/>
    <n v="708.18"/>
    <n v="2025"/>
    <s v="Feb"/>
    <x v="0"/>
    <n v="0.15614843560514188"/>
  </r>
  <r>
    <x v="49"/>
    <x v="26"/>
    <x v="9"/>
    <x v="2"/>
    <s v="Mumbai"/>
    <x v="1"/>
    <x v="6"/>
    <x v="11"/>
    <n v="2"/>
    <n v="0.1"/>
    <n v="3180.48"/>
    <n v="596.75"/>
    <n v="2025"/>
    <s v="Feb"/>
    <x v="0"/>
    <n v="0.18762891135929169"/>
  </r>
  <r>
    <x v="50"/>
    <x v="27"/>
    <x v="4"/>
    <x v="2"/>
    <s v="Nashik"/>
    <x v="1"/>
    <x v="5"/>
    <x v="21"/>
    <n v="7"/>
    <n v="0.15"/>
    <n v="75712.350000000006"/>
    <n v="4324.1499999999996"/>
    <n v="2025"/>
    <s v="Feb"/>
    <x v="0"/>
    <n v="5.7112875244263311E-2"/>
  </r>
  <r>
    <x v="51"/>
    <x v="27"/>
    <x v="20"/>
    <x v="2"/>
    <s v="Kolhapur"/>
    <x v="2"/>
    <x v="2"/>
    <x v="17"/>
    <n v="6"/>
    <n v="0.2"/>
    <n v="2013.96"/>
    <n v="67.989999999999995"/>
    <n v="2025"/>
    <s v="Feb"/>
    <x v="0"/>
    <n v="3.3759359669506842E-2"/>
  </r>
  <r>
    <x v="52"/>
    <x v="28"/>
    <x v="15"/>
    <x v="3"/>
    <s v="Jaipur"/>
    <x v="1"/>
    <x v="5"/>
    <x v="19"/>
    <n v="5"/>
    <n v="0"/>
    <n v="160200.15"/>
    <n v="17458.810000000001"/>
    <n v="2025"/>
    <s v="Feb"/>
    <x v="0"/>
    <n v="0.10898123378785851"/>
  </r>
  <r>
    <x v="53"/>
    <x v="29"/>
    <x v="16"/>
    <x v="1"/>
    <s v="Bengaluru"/>
    <x v="0"/>
    <x v="7"/>
    <x v="7"/>
    <n v="1"/>
    <n v="0.1"/>
    <n v="3707.02"/>
    <n v="624.30999999999995"/>
    <n v="2025"/>
    <s v="Feb"/>
    <x v="0"/>
    <n v="0.16841290308657628"/>
  </r>
  <r>
    <x v="54"/>
    <x v="30"/>
    <x v="21"/>
    <x v="1"/>
    <s v="Hyderabad"/>
    <x v="1"/>
    <x v="1"/>
    <x v="1"/>
    <n v="5"/>
    <n v="0.05"/>
    <n v="21341"/>
    <n v="4753.29"/>
    <n v="2025"/>
    <s v="Feb"/>
    <x v="0"/>
    <n v="0.22273042500351437"/>
  </r>
  <r>
    <x v="55"/>
    <x v="31"/>
    <x v="3"/>
    <x v="1"/>
    <s v="Hyderabad"/>
    <x v="0"/>
    <x v="0"/>
    <x v="14"/>
    <n v="4"/>
    <n v="0.2"/>
    <n v="31342.36"/>
    <n v="5121.88"/>
    <n v="2025"/>
    <s v="Feb"/>
    <x v="0"/>
    <n v="0.16341717726425195"/>
  </r>
  <r>
    <x v="56"/>
    <x v="31"/>
    <x v="22"/>
    <x v="1"/>
    <s v="Bengaluru"/>
    <x v="2"/>
    <x v="9"/>
    <x v="9"/>
    <n v="7"/>
    <n v="0.1"/>
    <n v="29029.07"/>
    <n v="2395.79"/>
    <n v="2025"/>
    <s v="Feb"/>
    <x v="0"/>
    <n v="8.2530718345437862E-2"/>
  </r>
  <r>
    <x v="57"/>
    <x v="31"/>
    <x v="2"/>
    <x v="2"/>
    <s v="Mumbai"/>
    <x v="1"/>
    <x v="5"/>
    <x v="5"/>
    <n v="3"/>
    <n v="0.05"/>
    <n v="11122.26"/>
    <n v="1925.6"/>
    <n v="2025"/>
    <s v="Feb"/>
    <x v="0"/>
    <n v="0.17313028107596837"/>
  </r>
  <r>
    <x v="58"/>
    <x v="32"/>
    <x v="12"/>
    <x v="2"/>
    <s v="Kolhapur"/>
    <x v="0"/>
    <x v="0"/>
    <x v="24"/>
    <n v="6"/>
    <n v="0.05"/>
    <n v="43876.14"/>
    <n v="7003.69"/>
    <n v="2025"/>
    <s v="Feb"/>
    <x v="0"/>
    <n v="0.15962411460989959"/>
  </r>
  <r>
    <x v="59"/>
    <x v="33"/>
    <x v="16"/>
    <x v="0"/>
    <s v="Patna"/>
    <x v="1"/>
    <x v="3"/>
    <x v="25"/>
    <n v="3"/>
    <n v="0.05"/>
    <n v="88332.54"/>
    <n v="11077.69"/>
    <n v="2025"/>
    <s v="Feb"/>
    <x v="0"/>
    <n v="0.12540893763498709"/>
  </r>
  <r>
    <x v="60"/>
    <x v="33"/>
    <x v="10"/>
    <x v="1"/>
    <s v="Bengaluru"/>
    <x v="1"/>
    <x v="1"/>
    <x v="22"/>
    <n v="5"/>
    <n v="0"/>
    <n v="88924.9"/>
    <n v="7562.49"/>
    <n v="2025"/>
    <s v="Feb"/>
    <x v="0"/>
    <n v="8.5043559228067736E-2"/>
  </r>
  <r>
    <x v="61"/>
    <x v="34"/>
    <x v="1"/>
    <x v="3"/>
    <s v="Jaipur"/>
    <x v="1"/>
    <x v="6"/>
    <x v="11"/>
    <n v="3"/>
    <n v="0"/>
    <n v="86305.41"/>
    <n v="9997"/>
    <n v="2025"/>
    <s v="Feb"/>
    <x v="0"/>
    <n v="0.11583283133699265"/>
  </r>
  <r>
    <x v="62"/>
    <x v="35"/>
    <x v="8"/>
    <x v="1"/>
    <s v="Chennai"/>
    <x v="2"/>
    <x v="10"/>
    <x v="26"/>
    <n v="1"/>
    <n v="0.15"/>
    <n v="870.64"/>
    <n v="116.45"/>
    <n v="2025"/>
    <s v="Feb"/>
    <x v="2"/>
    <n v="0.13375218230267391"/>
  </r>
  <r>
    <x v="63"/>
    <x v="35"/>
    <x v="0"/>
    <x v="2"/>
    <s v="Nashik"/>
    <x v="0"/>
    <x v="7"/>
    <x v="7"/>
    <n v="1"/>
    <n v="0.15"/>
    <n v="3283.25"/>
    <n v="204.17"/>
    <n v="2025"/>
    <s v="Feb"/>
    <x v="0"/>
    <n v="6.2185334653163782E-2"/>
  </r>
  <r>
    <x v="64"/>
    <x v="35"/>
    <x v="20"/>
    <x v="2"/>
    <s v="Kolhapur"/>
    <x v="0"/>
    <x v="0"/>
    <x v="0"/>
    <n v="5"/>
    <n v="0.1"/>
    <n v="48622.5"/>
    <n v="2288.1"/>
    <n v="2025"/>
    <s v="Feb"/>
    <x v="0"/>
    <n v="4.7058460589233381E-2"/>
  </r>
  <r>
    <x v="65"/>
    <x v="36"/>
    <x v="22"/>
    <x v="3"/>
    <s v="Delhi"/>
    <x v="0"/>
    <x v="0"/>
    <x v="24"/>
    <n v="1"/>
    <n v="0"/>
    <n v="514.16999999999996"/>
    <n v="94.22"/>
    <n v="2025"/>
    <s v="Feb"/>
    <x v="2"/>
    <n v="0.18324678608242412"/>
  </r>
  <r>
    <x v="66"/>
    <x v="36"/>
    <x v="12"/>
    <x v="1"/>
    <s v="Bengaluru"/>
    <x v="0"/>
    <x v="0"/>
    <x v="24"/>
    <n v="5"/>
    <n v="0.05"/>
    <n v="54886.45"/>
    <n v="3610.74"/>
    <n v="2025"/>
    <s v="Feb"/>
    <x v="0"/>
    <n v="6.5785635616805241E-2"/>
  </r>
  <r>
    <x v="67"/>
    <x v="37"/>
    <x v="19"/>
    <x v="1"/>
    <s v="Mysuru"/>
    <x v="1"/>
    <x v="5"/>
    <x v="5"/>
    <n v="4"/>
    <n v="0.15"/>
    <n v="196467.36"/>
    <n v="27829.89"/>
    <n v="2025"/>
    <s v="Feb"/>
    <x v="0"/>
    <n v="0.14165146821334598"/>
  </r>
  <r>
    <x v="68"/>
    <x v="37"/>
    <x v="22"/>
    <x v="3"/>
    <s v="Lucknow"/>
    <x v="0"/>
    <x v="8"/>
    <x v="13"/>
    <n v="1"/>
    <n v="0.15"/>
    <n v="4419.38"/>
    <n v="454.64"/>
    <n v="2025"/>
    <s v="Feb"/>
    <x v="0"/>
    <n v="0.10287415881865782"/>
  </r>
  <r>
    <x v="69"/>
    <x v="37"/>
    <x v="4"/>
    <x v="3"/>
    <s v="Jaipur"/>
    <x v="0"/>
    <x v="7"/>
    <x v="27"/>
    <n v="4"/>
    <n v="0.2"/>
    <n v="47303.48"/>
    <n v="4835.37"/>
    <n v="2025"/>
    <s v="Feb"/>
    <x v="0"/>
    <n v="0.10222017492159138"/>
  </r>
  <r>
    <x v="70"/>
    <x v="37"/>
    <x v="20"/>
    <x v="3"/>
    <s v="Delhi"/>
    <x v="2"/>
    <x v="9"/>
    <x v="20"/>
    <n v="1"/>
    <n v="0.1"/>
    <n v="177.48"/>
    <n v="15.46"/>
    <n v="2025"/>
    <s v="Feb"/>
    <x v="1"/>
    <n v="8.7108406581023229E-2"/>
  </r>
  <r>
    <x v="71"/>
    <x v="38"/>
    <x v="13"/>
    <x v="1"/>
    <s v="Hyderabad"/>
    <x v="1"/>
    <x v="5"/>
    <x v="21"/>
    <n v="6"/>
    <n v="0"/>
    <n v="146277.6"/>
    <n v="30180.560000000001"/>
    <n v="2025"/>
    <s v="Feb"/>
    <x v="0"/>
    <n v="0.20632386640196448"/>
  </r>
  <r>
    <x v="72"/>
    <x v="38"/>
    <x v="0"/>
    <x v="3"/>
    <s v="Chandigarh"/>
    <x v="0"/>
    <x v="7"/>
    <x v="27"/>
    <n v="4"/>
    <n v="0.05"/>
    <n v="37259.68"/>
    <n v="5800.05"/>
    <n v="2025"/>
    <s v="Feb"/>
    <x v="0"/>
    <n v="0.15566558811025752"/>
  </r>
  <r>
    <x v="73"/>
    <x v="39"/>
    <x v="0"/>
    <x v="2"/>
    <s v="Nashik"/>
    <x v="0"/>
    <x v="0"/>
    <x v="24"/>
    <n v="7"/>
    <n v="0.15"/>
    <n v="69246.240000000005"/>
    <n v="6464.6"/>
    <n v="2025"/>
    <s v="Feb"/>
    <x v="0"/>
    <n v="9.3356693446460054E-2"/>
  </r>
  <r>
    <x v="74"/>
    <x v="39"/>
    <x v="9"/>
    <x v="0"/>
    <s v="Ranchi"/>
    <x v="0"/>
    <x v="0"/>
    <x v="24"/>
    <n v="6"/>
    <n v="0"/>
    <n v="20989.200000000001"/>
    <n v="3976.69"/>
    <n v="2025"/>
    <s v="Feb"/>
    <x v="0"/>
    <n v="0.18946362891391763"/>
  </r>
  <r>
    <x v="75"/>
    <x v="40"/>
    <x v="21"/>
    <x v="0"/>
    <s v="Bhubaneswar"/>
    <x v="1"/>
    <x v="6"/>
    <x v="11"/>
    <n v="7"/>
    <n v="0.15"/>
    <n v="232499.33"/>
    <n v="15098.11"/>
    <n v="2025"/>
    <s v="Feb"/>
    <x v="0"/>
    <n v="6.4938294660892154E-2"/>
  </r>
  <r>
    <x v="76"/>
    <x v="41"/>
    <x v="6"/>
    <x v="0"/>
    <s v="Ranchi"/>
    <x v="0"/>
    <x v="8"/>
    <x v="28"/>
    <n v="7"/>
    <n v="0"/>
    <n v="82650.12"/>
    <n v="7264.66"/>
    <n v="2025"/>
    <s v="Feb"/>
    <x v="0"/>
    <n v="8.7896545098785098E-2"/>
  </r>
  <r>
    <x v="77"/>
    <x v="42"/>
    <x v="9"/>
    <x v="2"/>
    <s v="Nashik"/>
    <x v="0"/>
    <x v="4"/>
    <x v="29"/>
    <n v="6"/>
    <n v="0.2"/>
    <n v="12613.86"/>
    <n v="1283.75"/>
    <n v="2025"/>
    <s v="Feb"/>
    <x v="0"/>
    <n v="0.10177297036751637"/>
  </r>
  <r>
    <x v="78"/>
    <x v="43"/>
    <x v="23"/>
    <x v="2"/>
    <s v="Mumbai"/>
    <x v="0"/>
    <x v="7"/>
    <x v="30"/>
    <n v="5"/>
    <n v="0.15"/>
    <n v="35688.15"/>
    <n v="1947.82"/>
    <n v="2025"/>
    <s v="Feb"/>
    <x v="0"/>
    <n v="5.4578900839634438E-2"/>
  </r>
  <r>
    <x v="79"/>
    <x v="44"/>
    <x v="4"/>
    <x v="2"/>
    <s v="Mumbai"/>
    <x v="1"/>
    <x v="6"/>
    <x v="15"/>
    <n v="3"/>
    <n v="0"/>
    <n v="135410.91"/>
    <n v="31901.89"/>
    <n v="2025"/>
    <s v="Feb"/>
    <x v="0"/>
    <n v="0.23559320294059022"/>
  </r>
  <r>
    <x v="80"/>
    <x v="44"/>
    <x v="5"/>
    <x v="0"/>
    <s v="Bhubaneswar"/>
    <x v="1"/>
    <x v="3"/>
    <x v="3"/>
    <n v="4"/>
    <n v="0.05"/>
    <n v="137539.07999999999"/>
    <n v="25289.58"/>
    <n v="2025"/>
    <s v="Feb"/>
    <x v="0"/>
    <n v="0.18387195842810641"/>
  </r>
  <r>
    <x v="81"/>
    <x v="45"/>
    <x v="17"/>
    <x v="1"/>
    <s v="Bengaluru"/>
    <x v="2"/>
    <x v="10"/>
    <x v="26"/>
    <n v="6"/>
    <n v="0.2"/>
    <n v="2545.2600000000002"/>
    <n v="349.72"/>
    <n v="2025"/>
    <s v="Feb"/>
    <x v="0"/>
    <n v="0.13740050132402976"/>
  </r>
  <r>
    <x v="82"/>
    <x v="46"/>
    <x v="18"/>
    <x v="3"/>
    <s v="Chandigarh"/>
    <x v="1"/>
    <x v="1"/>
    <x v="22"/>
    <n v="5"/>
    <n v="0.1"/>
    <n v="20814.900000000001"/>
    <n v="2195.87"/>
    <n v="2025"/>
    <s v="Feb"/>
    <x v="0"/>
    <n v="0.10549510206630826"/>
  </r>
  <r>
    <x v="83"/>
    <x v="47"/>
    <x v="12"/>
    <x v="0"/>
    <s v="Bhubaneswar"/>
    <x v="0"/>
    <x v="4"/>
    <x v="4"/>
    <n v="4"/>
    <n v="0"/>
    <n v="33193.24"/>
    <n v="6640.7"/>
    <n v="2025"/>
    <s v="Feb"/>
    <x v="0"/>
    <n v="0.20006181981632407"/>
  </r>
  <r>
    <x v="84"/>
    <x v="48"/>
    <x v="0"/>
    <x v="3"/>
    <s v="Delhi"/>
    <x v="1"/>
    <x v="6"/>
    <x v="15"/>
    <n v="1"/>
    <n v="0.1"/>
    <n v="4234.1899999999996"/>
    <n v="728.81"/>
    <n v="2025"/>
    <s v="Feb"/>
    <x v="0"/>
    <n v="0.17212501092298646"/>
  </r>
  <r>
    <x v="85"/>
    <x v="49"/>
    <x v="13"/>
    <x v="1"/>
    <s v="Hyderabad"/>
    <x v="0"/>
    <x v="0"/>
    <x v="14"/>
    <n v="3"/>
    <n v="0.2"/>
    <n v="32329.02"/>
    <n v="367.58"/>
    <n v="2025"/>
    <s v="Mar"/>
    <x v="0"/>
    <n v="1.1369970385740117E-2"/>
  </r>
  <r>
    <x v="86"/>
    <x v="49"/>
    <x v="22"/>
    <x v="1"/>
    <s v="Bengaluru"/>
    <x v="2"/>
    <x v="9"/>
    <x v="20"/>
    <n v="6"/>
    <n v="0.15"/>
    <n v="22758.720000000001"/>
    <n v="1298.1099999999999"/>
    <n v="2025"/>
    <s v="Mar"/>
    <x v="0"/>
    <n v="5.7037917773934556E-2"/>
  </r>
  <r>
    <x v="87"/>
    <x v="50"/>
    <x v="14"/>
    <x v="2"/>
    <s v="Mumbai"/>
    <x v="1"/>
    <x v="1"/>
    <x v="22"/>
    <n v="2"/>
    <n v="0.1"/>
    <n v="46832.66"/>
    <n v="8628.7999999999993"/>
    <n v="2025"/>
    <s v="Mar"/>
    <x v="0"/>
    <n v="0.18424748882510622"/>
  </r>
  <r>
    <x v="88"/>
    <x v="50"/>
    <x v="13"/>
    <x v="1"/>
    <s v="Chennai"/>
    <x v="1"/>
    <x v="3"/>
    <x v="25"/>
    <n v="4"/>
    <n v="0"/>
    <n v="145449.84"/>
    <n v="31211.94"/>
    <n v="2025"/>
    <s v="Mar"/>
    <x v="0"/>
    <n v="0.21458902945510286"/>
  </r>
  <r>
    <x v="89"/>
    <x v="50"/>
    <x v="5"/>
    <x v="3"/>
    <s v="Chandigarh"/>
    <x v="1"/>
    <x v="1"/>
    <x v="22"/>
    <n v="1"/>
    <n v="0.2"/>
    <n v="41543.35"/>
    <n v="2723.01"/>
    <n v="2025"/>
    <s v="Mar"/>
    <x v="0"/>
    <n v="6.5546230624155252E-2"/>
  </r>
  <r>
    <x v="90"/>
    <x v="51"/>
    <x v="12"/>
    <x v="0"/>
    <s v="Patna"/>
    <x v="1"/>
    <x v="3"/>
    <x v="25"/>
    <n v="7"/>
    <n v="0.2"/>
    <n v="47766.25"/>
    <n v="3100.6"/>
    <n v="2025"/>
    <s v="Mar"/>
    <x v="0"/>
    <n v="6.4911940962499665E-2"/>
  </r>
  <r>
    <x v="91"/>
    <x v="51"/>
    <x v="17"/>
    <x v="2"/>
    <s v="Mumbai"/>
    <x v="1"/>
    <x v="1"/>
    <x v="23"/>
    <n v="3"/>
    <n v="0.2"/>
    <n v="68571.899999999994"/>
    <n v="12011.1"/>
    <n v="2025"/>
    <s v="Mar"/>
    <x v="0"/>
    <n v="0.17516067077038847"/>
  </r>
  <r>
    <x v="92"/>
    <x v="52"/>
    <x v="12"/>
    <x v="1"/>
    <s v="Chennai"/>
    <x v="1"/>
    <x v="6"/>
    <x v="6"/>
    <n v="5"/>
    <n v="0.2"/>
    <n v="209238.65"/>
    <n v="36804.769999999997"/>
    <n v="2025"/>
    <s v="Mar"/>
    <x v="0"/>
    <n v="0.17589852543973114"/>
  </r>
  <r>
    <x v="93"/>
    <x v="53"/>
    <x v="3"/>
    <x v="3"/>
    <s v="Lucknow"/>
    <x v="0"/>
    <x v="0"/>
    <x v="24"/>
    <n v="4"/>
    <n v="0"/>
    <n v="33356.800000000003"/>
    <n v="6384.43"/>
    <n v="2025"/>
    <s v="Mar"/>
    <x v="0"/>
    <n v="0.19139815569838833"/>
  </r>
  <r>
    <x v="94"/>
    <x v="54"/>
    <x v="14"/>
    <x v="1"/>
    <s v="Bengaluru"/>
    <x v="0"/>
    <x v="7"/>
    <x v="27"/>
    <n v="5"/>
    <n v="0.1"/>
    <n v="24591.9"/>
    <n v="1979.82"/>
    <n v="2025"/>
    <s v="Mar"/>
    <x v="0"/>
    <n v="8.0506996206067841E-2"/>
  </r>
  <r>
    <x v="95"/>
    <x v="54"/>
    <x v="2"/>
    <x v="2"/>
    <s v="Mumbai"/>
    <x v="1"/>
    <x v="1"/>
    <x v="1"/>
    <n v="5"/>
    <n v="0.15"/>
    <n v="121977.2"/>
    <n v="14491.88"/>
    <n v="2025"/>
    <s v="Mar"/>
    <x v="0"/>
    <n v="0.11880810512128495"/>
  </r>
  <r>
    <x v="96"/>
    <x v="54"/>
    <x v="9"/>
    <x v="2"/>
    <s v="Kolhapur"/>
    <x v="0"/>
    <x v="7"/>
    <x v="27"/>
    <n v="2"/>
    <n v="0.2"/>
    <n v="12791.06"/>
    <n v="200.08"/>
    <n v="2025"/>
    <s v="Mar"/>
    <x v="0"/>
    <n v="1.5642175081658598E-2"/>
  </r>
  <r>
    <x v="97"/>
    <x v="55"/>
    <x v="15"/>
    <x v="2"/>
    <s v="Nashik"/>
    <x v="0"/>
    <x v="8"/>
    <x v="13"/>
    <n v="4"/>
    <n v="0.05"/>
    <n v="38921.599999999999"/>
    <n v="8634.76"/>
    <n v="2025"/>
    <s v="Mar"/>
    <x v="0"/>
    <n v="0.22185007810573051"/>
  </r>
  <r>
    <x v="98"/>
    <x v="55"/>
    <x v="3"/>
    <x v="0"/>
    <s v="Ranchi"/>
    <x v="1"/>
    <x v="6"/>
    <x v="11"/>
    <n v="4"/>
    <n v="0.1"/>
    <n v="67881.2"/>
    <n v="5509.49"/>
    <n v="2025"/>
    <s v="Mar"/>
    <x v="0"/>
    <n v="8.1163709539607429E-2"/>
  </r>
  <r>
    <x v="99"/>
    <x v="56"/>
    <x v="21"/>
    <x v="0"/>
    <s v="Ranchi"/>
    <x v="0"/>
    <x v="4"/>
    <x v="4"/>
    <n v="3"/>
    <n v="0.15"/>
    <n v="29939.279999999999"/>
    <n v="1021.72"/>
    <n v="2025"/>
    <s v="Mar"/>
    <x v="0"/>
    <n v="3.4126405177412417E-2"/>
  </r>
  <r>
    <x v="100"/>
    <x v="56"/>
    <x v="10"/>
    <x v="2"/>
    <s v="Mumbai"/>
    <x v="1"/>
    <x v="5"/>
    <x v="5"/>
    <n v="3"/>
    <n v="0.15"/>
    <n v="53168.160000000003"/>
    <n v="6717.31"/>
    <n v="2025"/>
    <s v="Mar"/>
    <x v="0"/>
    <n v="0.12634084008173313"/>
  </r>
  <r>
    <x v="101"/>
    <x v="57"/>
    <x v="16"/>
    <x v="0"/>
    <s v="Ranchi"/>
    <x v="2"/>
    <x v="11"/>
    <x v="31"/>
    <n v="1"/>
    <n v="0.05"/>
    <n v="2040.26"/>
    <n v="182.3"/>
    <n v="2025"/>
    <s v="Mar"/>
    <x v="0"/>
    <n v="8.935135717996727E-2"/>
  </r>
  <r>
    <x v="102"/>
    <x v="57"/>
    <x v="5"/>
    <x v="1"/>
    <s v="Bengaluru"/>
    <x v="2"/>
    <x v="10"/>
    <x v="26"/>
    <n v="5"/>
    <n v="0.2"/>
    <n v="16416.349999999999"/>
    <n v="2482.3000000000002"/>
    <n v="2025"/>
    <s v="Mar"/>
    <x v="0"/>
    <n v="0.15120900809254192"/>
  </r>
  <r>
    <x v="103"/>
    <x v="58"/>
    <x v="22"/>
    <x v="1"/>
    <s v="Chennai"/>
    <x v="2"/>
    <x v="10"/>
    <x v="10"/>
    <n v="5"/>
    <n v="0.1"/>
    <n v="1060.9000000000001"/>
    <n v="173.08"/>
    <n v="2025"/>
    <s v="Mar"/>
    <x v="0"/>
    <n v="0.1631444999528702"/>
  </r>
  <r>
    <x v="104"/>
    <x v="58"/>
    <x v="5"/>
    <x v="1"/>
    <s v="Chennai"/>
    <x v="0"/>
    <x v="8"/>
    <x v="13"/>
    <n v="2"/>
    <n v="0.2"/>
    <n v="5075.42"/>
    <n v="149.80000000000001"/>
    <n v="2025"/>
    <s v="Mar"/>
    <x v="0"/>
    <n v="2.9514798775273771E-2"/>
  </r>
  <r>
    <x v="105"/>
    <x v="58"/>
    <x v="12"/>
    <x v="2"/>
    <s v="Mumbai"/>
    <x v="1"/>
    <x v="1"/>
    <x v="1"/>
    <n v="6"/>
    <n v="0"/>
    <n v="60457.2"/>
    <n v="9955.2999999999993"/>
    <n v="2025"/>
    <s v="Mar"/>
    <x v="0"/>
    <n v="0.16466690485169674"/>
  </r>
  <r>
    <x v="106"/>
    <x v="58"/>
    <x v="21"/>
    <x v="3"/>
    <s v="Jaipur"/>
    <x v="1"/>
    <x v="1"/>
    <x v="23"/>
    <n v="6"/>
    <n v="0.15"/>
    <n v="237708.42"/>
    <n v="15681.02"/>
    <n v="2025"/>
    <s v="Mar"/>
    <x v="0"/>
    <n v="6.596745710564228E-2"/>
  </r>
  <r>
    <x v="107"/>
    <x v="59"/>
    <x v="14"/>
    <x v="0"/>
    <s v="Kolkata"/>
    <x v="1"/>
    <x v="6"/>
    <x v="18"/>
    <n v="1"/>
    <n v="0.1"/>
    <n v="12060.67"/>
    <n v="2323.2399999999998"/>
    <n v="2025"/>
    <s v="Mar"/>
    <x v="0"/>
    <n v="0.19262943103492591"/>
  </r>
  <r>
    <x v="108"/>
    <x v="60"/>
    <x v="2"/>
    <x v="3"/>
    <s v="Delhi"/>
    <x v="1"/>
    <x v="5"/>
    <x v="21"/>
    <n v="2"/>
    <n v="0"/>
    <n v="83957.24"/>
    <n v="8159.88"/>
    <n v="2025"/>
    <s v="Mar"/>
    <x v="0"/>
    <n v="9.719090336938184E-2"/>
  </r>
  <r>
    <x v="109"/>
    <x v="61"/>
    <x v="6"/>
    <x v="3"/>
    <s v="Lucknow"/>
    <x v="0"/>
    <x v="8"/>
    <x v="13"/>
    <n v="7"/>
    <n v="0.2"/>
    <n v="19047.21"/>
    <n v="2188.1"/>
    <n v="2025"/>
    <s v="Mar"/>
    <x v="0"/>
    <n v="0.11487771699897255"/>
  </r>
  <r>
    <x v="110"/>
    <x v="62"/>
    <x v="1"/>
    <x v="3"/>
    <s v="Delhi"/>
    <x v="0"/>
    <x v="8"/>
    <x v="28"/>
    <n v="3"/>
    <n v="0.05"/>
    <n v="25073.7"/>
    <n v="2244.59"/>
    <n v="2025"/>
    <s v="Mar"/>
    <x v="0"/>
    <n v="8.9519695936379554E-2"/>
  </r>
  <r>
    <x v="111"/>
    <x v="63"/>
    <x v="2"/>
    <x v="1"/>
    <s v="Chennai"/>
    <x v="1"/>
    <x v="3"/>
    <x v="3"/>
    <n v="6"/>
    <n v="0.1"/>
    <n v="161991.84"/>
    <n v="20673.41"/>
    <n v="2025"/>
    <s v="Mar"/>
    <x v="0"/>
    <n v="0.12762007024551361"/>
  </r>
  <r>
    <x v="112"/>
    <x v="64"/>
    <x v="5"/>
    <x v="3"/>
    <s v="Chandigarh"/>
    <x v="0"/>
    <x v="4"/>
    <x v="29"/>
    <n v="7"/>
    <n v="0.1"/>
    <n v="40139.050000000003"/>
    <n v="7462.48"/>
    <n v="2025"/>
    <s v="Mar"/>
    <x v="0"/>
    <n v="0.18591571051133496"/>
  </r>
  <r>
    <x v="113"/>
    <x v="64"/>
    <x v="12"/>
    <x v="1"/>
    <s v="Mysuru"/>
    <x v="2"/>
    <x v="2"/>
    <x v="17"/>
    <n v="3"/>
    <n v="0.05"/>
    <n v="10212.27"/>
    <n v="2145.29"/>
    <n v="2025"/>
    <s v="Mar"/>
    <x v="0"/>
    <n v="0.21006984735029527"/>
  </r>
  <r>
    <x v="114"/>
    <x v="64"/>
    <x v="17"/>
    <x v="3"/>
    <s v="Delhi"/>
    <x v="1"/>
    <x v="6"/>
    <x v="11"/>
    <n v="2"/>
    <n v="0.2"/>
    <n v="65881.08"/>
    <n v="11817.54"/>
    <n v="2025"/>
    <s v="Mar"/>
    <x v="0"/>
    <n v="0.17937684081681721"/>
  </r>
  <r>
    <x v="115"/>
    <x v="64"/>
    <x v="12"/>
    <x v="2"/>
    <s v="Kolhapur"/>
    <x v="1"/>
    <x v="6"/>
    <x v="15"/>
    <n v="1"/>
    <n v="0.15"/>
    <n v="25034.400000000001"/>
    <n v="3612.38"/>
    <n v="2025"/>
    <s v="Mar"/>
    <x v="0"/>
    <n v="0.14429664781260984"/>
  </r>
  <r>
    <x v="116"/>
    <x v="64"/>
    <x v="13"/>
    <x v="3"/>
    <s v="Chandigarh"/>
    <x v="1"/>
    <x v="1"/>
    <x v="22"/>
    <n v="5"/>
    <n v="0.15"/>
    <n v="201738.4"/>
    <n v="39746.699999999997"/>
    <n v="2025"/>
    <s v="Mar"/>
    <x v="0"/>
    <n v="0.1970209935242869"/>
  </r>
  <r>
    <x v="117"/>
    <x v="64"/>
    <x v="1"/>
    <x v="2"/>
    <s v="Mumbai"/>
    <x v="2"/>
    <x v="11"/>
    <x v="16"/>
    <n v="5"/>
    <n v="0.05"/>
    <n v="15528.65"/>
    <n v="1188.99"/>
    <n v="2025"/>
    <s v="Mar"/>
    <x v="0"/>
    <n v="7.6567505868185587E-2"/>
  </r>
  <r>
    <x v="118"/>
    <x v="65"/>
    <x v="10"/>
    <x v="0"/>
    <s v="Ranchi"/>
    <x v="2"/>
    <x v="9"/>
    <x v="9"/>
    <n v="6"/>
    <n v="0.15"/>
    <n v="11693.16"/>
    <n v="1663.63"/>
    <n v="2025"/>
    <s v="Mar"/>
    <x v="0"/>
    <n v="0.14227377372754671"/>
  </r>
  <r>
    <x v="119"/>
    <x v="65"/>
    <x v="17"/>
    <x v="2"/>
    <s v="Mumbai"/>
    <x v="1"/>
    <x v="1"/>
    <x v="22"/>
    <n v="2"/>
    <n v="0.05"/>
    <n v="9163.2199999999993"/>
    <n v="1810.36"/>
    <n v="2025"/>
    <s v="Mar"/>
    <x v="0"/>
    <n v="0.19756810378884279"/>
  </r>
  <r>
    <x v="120"/>
    <x v="65"/>
    <x v="2"/>
    <x v="1"/>
    <s v="Chennai"/>
    <x v="2"/>
    <x v="9"/>
    <x v="20"/>
    <n v="3"/>
    <n v="0.15"/>
    <n v="1397.07"/>
    <n v="110.45"/>
    <n v="2025"/>
    <s v="Mar"/>
    <x v="0"/>
    <n v="7.9058314901901849E-2"/>
  </r>
  <r>
    <x v="121"/>
    <x v="65"/>
    <x v="8"/>
    <x v="1"/>
    <s v="Chennai"/>
    <x v="2"/>
    <x v="11"/>
    <x v="16"/>
    <n v="1"/>
    <n v="0.15"/>
    <n v="1753.49"/>
    <n v="240.76"/>
    <n v="2025"/>
    <s v="Mar"/>
    <x v="0"/>
    <n v="0.13730332080593557"/>
  </r>
  <r>
    <x v="122"/>
    <x v="65"/>
    <x v="3"/>
    <x v="1"/>
    <s v="Chennai"/>
    <x v="2"/>
    <x v="9"/>
    <x v="20"/>
    <n v="4"/>
    <n v="0.15"/>
    <n v="6068.08"/>
    <n v="1120.6199999999999"/>
    <n v="2025"/>
    <s v="Mar"/>
    <x v="0"/>
    <n v="0.18467455933342999"/>
  </r>
  <r>
    <x v="123"/>
    <x v="66"/>
    <x v="10"/>
    <x v="1"/>
    <s v="Chennai"/>
    <x v="1"/>
    <x v="6"/>
    <x v="6"/>
    <n v="1"/>
    <n v="0.05"/>
    <n v="21535.05"/>
    <n v="4883.32"/>
    <n v="2025"/>
    <s v="Mar"/>
    <x v="0"/>
    <n v="0.22676148882867697"/>
  </r>
  <r>
    <x v="124"/>
    <x v="66"/>
    <x v="3"/>
    <x v="1"/>
    <s v="Mysuru"/>
    <x v="0"/>
    <x v="8"/>
    <x v="28"/>
    <n v="7"/>
    <n v="0.2"/>
    <n v="48047.02"/>
    <n v="603.89"/>
    <n v="2025"/>
    <s v="Mar"/>
    <x v="0"/>
    <n v="1.2568729548679606E-2"/>
  </r>
  <r>
    <x v="125"/>
    <x v="66"/>
    <x v="24"/>
    <x v="1"/>
    <s v="Mysuru"/>
    <x v="0"/>
    <x v="7"/>
    <x v="27"/>
    <n v="2"/>
    <n v="0.2"/>
    <n v="13925.84"/>
    <n v="1399.71"/>
    <n v="2025"/>
    <s v="Mar"/>
    <x v="0"/>
    <n v="0.10051171060417181"/>
  </r>
  <r>
    <x v="126"/>
    <x v="67"/>
    <x v="5"/>
    <x v="2"/>
    <s v="Mumbai"/>
    <x v="2"/>
    <x v="9"/>
    <x v="9"/>
    <n v="3"/>
    <n v="0.15"/>
    <n v="13276.2"/>
    <n v="2547.2199999999998"/>
    <n v="2025"/>
    <s v="Mar"/>
    <x v="0"/>
    <n v="0.19186363567888398"/>
  </r>
  <r>
    <x v="127"/>
    <x v="68"/>
    <x v="6"/>
    <x v="3"/>
    <s v="Chandigarh"/>
    <x v="1"/>
    <x v="5"/>
    <x v="5"/>
    <n v="1"/>
    <n v="0.15"/>
    <n v="41902.07"/>
    <n v="3695.55"/>
    <n v="2025"/>
    <s v="Mar"/>
    <x v="0"/>
    <n v="8.8194926885473687E-2"/>
  </r>
  <r>
    <x v="128"/>
    <x v="68"/>
    <x v="22"/>
    <x v="3"/>
    <s v="Chandigarh"/>
    <x v="0"/>
    <x v="8"/>
    <x v="8"/>
    <n v="2"/>
    <n v="0.05"/>
    <n v="16217.54"/>
    <n v="2045.53"/>
    <n v="2025"/>
    <s v="Mar"/>
    <x v="0"/>
    <n v="0.12613072019554136"/>
  </r>
  <r>
    <x v="129"/>
    <x v="68"/>
    <x v="0"/>
    <x v="3"/>
    <s v="Lucknow"/>
    <x v="0"/>
    <x v="7"/>
    <x v="27"/>
    <n v="5"/>
    <n v="0.2"/>
    <n v="9174.2000000000007"/>
    <n v="238.59"/>
    <n v="2025"/>
    <s v="Mar"/>
    <x v="0"/>
    <n v="2.6006627280852825E-2"/>
  </r>
  <r>
    <x v="130"/>
    <x v="68"/>
    <x v="15"/>
    <x v="3"/>
    <s v="Chandigarh"/>
    <x v="1"/>
    <x v="6"/>
    <x v="15"/>
    <n v="6"/>
    <n v="0.1"/>
    <n v="78180.899999999994"/>
    <n v="9081.39"/>
    <n v="2025"/>
    <s v="Mar"/>
    <x v="0"/>
    <n v="0.11615867814261539"/>
  </r>
  <r>
    <x v="131"/>
    <x v="69"/>
    <x v="12"/>
    <x v="3"/>
    <s v="Jaipur"/>
    <x v="0"/>
    <x v="4"/>
    <x v="29"/>
    <n v="6"/>
    <n v="0.2"/>
    <n v="29551.439999999999"/>
    <n v="1125.8599999999999"/>
    <n v="2025"/>
    <s v="Mar"/>
    <x v="0"/>
    <n v="3.8098312637218357E-2"/>
  </r>
  <r>
    <x v="132"/>
    <x v="69"/>
    <x v="8"/>
    <x v="3"/>
    <s v="Jaipur"/>
    <x v="2"/>
    <x v="10"/>
    <x v="10"/>
    <n v="4"/>
    <n v="0.05"/>
    <n v="7707.84"/>
    <n v="718.88"/>
    <n v="2025"/>
    <s v="Mar"/>
    <x v="0"/>
    <n v="9.3266077137044878E-2"/>
  </r>
  <r>
    <x v="133"/>
    <x v="69"/>
    <x v="10"/>
    <x v="3"/>
    <s v="Jaipur"/>
    <x v="1"/>
    <x v="1"/>
    <x v="1"/>
    <n v="4"/>
    <n v="0.1"/>
    <n v="172204.79999999999"/>
    <n v="19884.099999999999"/>
    <n v="2025"/>
    <s v="Mar"/>
    <x v="0"/>
    <n v="0.11546774538224254"/>
  </r>
  <r>
    <x v="134"/>
    <x v="70"/>
    <x v="23"/>
    <x v="0"/>
    <s v="Bhubaneswar"/>
    <x v="1"/>
    <x v="1"/>
    <x v="22"/>
    <n v="5"/>
    <n v="0.2"/>
    <n v="196466.85"/>
    <n v="11606.58"/>
    <n v="2025"/>
    <s v="Mar"/>
    <x v="0"/>
    <n v="5.9076531231604716E-2"/>
  </r>
  <r>
    <x v="135"/>
    <x v="70"/>
    <x v="18"/>
    <x v="3"/>
    <s v="Lucknow"/>
    <x v="0"/>
    <x v="4"/>
    <x v="4"/>
    <n v="2"/>
    <n v="0.05"/>
    <n v="9864.58"/>
    <n v="780.33"/>
    <n v="2025"/>
    <s v="Mar"/>
    <x v="0"/>
    <n v="7.9104229475558008E-2"/>
  </r>
  <r>
    <x v="136"/>
    <x v="71"/>
    <x v="10"/>
    <x v="2"/>
    <s v="Nashik"/>
    <x v="1"/>
    <x v="5"/>
    <x v="21"/>
    <n v="5"/>
    <n v="0.15"/>
    <n v="208332.35"/>
    <n v="20197.43"/>
    <n v="2025"/>
    <s v="Apr"/>
    <x v="0"/>
    <n v="9.6948121595133926E-2"/>
  </r>
  <r>
    <x v="137"/>
    <x v="72"/>
    <x v="1"/>
    <x v="2"/>
    <s v="Nashik"/>
    <x v="1"/>
    <x v="1"/>
    <x v="1"/>
    <n v="3"/>
    <n v="0.05"/>
    <n v="85869.03"/>
    <n v="9042.51"/>
    <n v="2025"/>
    <s v="Apr"/>
    <x v="0"/>
    <n v="0.10530583610878101"/>
  </r>
  <r>
    <x v="138"/>
    <x v="73"/>
    <x v="11"/>
    <x v="2"/>
    <s v="Kolhapur"/>
    <x v="0"/>
    <x v="8"/>
    <x v="28"/>
    <n v="6"/>
    <n v="0.1"/>
    <n v="44620.62"/>
    <n v="9310.11"/>
    <n v="2025"/>
    <s v="Apr"/>
    <x v="0"/>
    <n v="0.20865039526568657"/>
  </r>
  <r>
    <x v="139"/>
    <x v="74"/>
    <x v="10"/>
    <x v="1"/>
    <s v="Bengaluru"/>
    <x v="1"/>
    <x v="6"/>
    <x v="11"/>
    <n v="5"/>
    <n v="0.1"/>
    <n v="226275.4"/>
    <n v="42066.43"/>
    <n v="2025"/>
    <s v="Apr"/>
    <x v="0"/>
    <n v="0.1859081013667416"/>
  </r>
  <r>
    <x v="140"/>
    <x v="75"/>
    <x v="17"/>
    <x v="0"/>
    <s v="Patna"/>
    <x v="0"/>
    <x v="8"/>
    <x v="8"/>
    <n v="6"/>
    <n v="0"/>
    <n v="39968.46"/>
    <n v="4221.55"/>
    <n v="2025"/>
    <s v="Apr"/>
    <x v="0"/>
    <n v="0.10562203297299921"/>
  </r>
  <r>
    <x v="141"/>
    <x v="75"/>
    <x v="20"/>
    <x v="2"/>
    <s v="Mumbai"/>
    <x v="1"/>
    <x v="5"/>
    <x v="19"/>
    <n v="2"/>
    <n v="0.05"/>
    <n v="17912.22"/>
    <n v="3142.02"/>
    <n v="2025"/>
    <s v="Apr"/>
    <x v="0"/>
    <n v="0.17541209297340027"/>
  </r>
  <r>
    <x v="142"/>
    <x v="75"/>
    <x v="13"/>
    <x v="0"/>
    <s v="Ranchi"/>
    <x v="0"/>
    <x v="0"/>
    <x v="14"/>
    <n v="4"/>
    <n v="0.15"/>
    <n v="23776.44"/>
    <n v="2568.9899999999998"/>
    <n v="2025"/>
    <s v="Apr"/>
    <x v="0"/>
    <n v="0.10804771446019673"/>
  </r>
  <r>
    <x v="143"/>
    <x v="76"/>
    <x v="6"/>
    <x v="0"/>
    <s v="Patna"/>
    <x v="1"/>
    <x v="3"/>
    <x v="25"/>
    <n v="6"/>
    <n v="0"/>
    <n v="266705.21999999997"/>
    <n v="38698.28"/>
    <n v="2025"/>
    <s v="Apr"/>
    <x v="0"/>
    <n v="0.14509757251845315"/>
  </r>
  <r>
    <x v="144"/>
    <x v="77"/>
    <x v="13"/>
    <x v="2"/>
    <s v="Nashik"/>
    <x v="0"/>
    <x v="8"/>
    <x v="8"/>
    <n v="4"/>
    <n v="0.05"/>
    <n v="19232.2"/>
    <n v="4253.8599999999997"/>
    <n v="2025"/>
    <s v="Apr"/>
    <x v="0"/>
    <n v="0.22118426389076651"/>
  </r>
  <r>
    <x v="145"/>
    <x v="78"/>
    <x v="4"/>
    <x v="3"/>
    <s v="Lucknow"/>
    <x v="1"/>
    <x v="5"/>
    <x v="5"/>
    <n v="7"/>
    <n v="0"/>
    <n v="177938.18"/>
    <n v="28632.84"/>
    <n v="2025"/>
    <s v="Apr"/>
    <x v="0"/>
    <n v="0.16091453784679602"/>
  </r>
  <r>
    <x v="146"/>
    <x v="78"/>
    <x v="10"/>
    <x v="0"/>
    <s v="Bhubaneswar"/>
    <x v="1"/>
    <x v="6"/>
    <x v="15"/>
    <n v="1"/>
    <n v="0.05"/>
    <n v="13925.63"/>
    <n v="2060.37"/>
    <n v="2025"/>
    <s v="Apr"/>
    <x v="0"/>
    <n v="0.14795524511278843"/>
  </r>
  <r>
    <x v="147"/>
    <x v="79"/>
    <x v="13"/>
    <x v="2"/>
    <s v="Mumbai"/>
    <x v="0"/>
    <x v="0"/>
    <x v="24"/>
    <n v="6"/>
    <n v="0.05"/>
    <n v="42160.32"/>
    <n v="8373.0300000000007"/>
    <n v="2025"/>
    <s v="Apr"/>
    <x v="0"/>
    <n v="0.19859977343625476"/>
  </r>
  <r>
    <x v="148"/>
    <x v="79"/>
    <x v="8"/>
    <x v="1"/>
    <s v="Mysuru"/>
    <x v="0"/>
    <x v="7"/>
    <x v="27"/>
    <n v="5"/>
    <n v="0.1"/>
    <n v="38714.699999999997"/>
    <n v="2343.54"/>
    <n v="2025"/>
    <s v="Apr"/>
    <x v="0"/>
    <n v="6.0533595765949369E-2"/>
  </r>
  <r>
    <x v="149"/>
    <x v="80"/>
    <x v="18"/>
    <x v="2"/>
    <s v="Mumbai"/>
    <x v="1"/>
    <x v="5"/>
    <x v="21"/>
    <n v="3"/>
    <n v="0"/>
    <n v="94517.4"/>
    <n v="19573.95"/>
    <n v="2025"/>
    <s v="Apr"/>
    <x v="0"/>
    <n v="0.20709361450907454"/>
  </r>
  <r>
    <x v="150"/>
    <x v="80"/>
    <x v="3"/>
    <x v="2"/>
    <s v="Kolhapur"/>
    <x v="2"/>
    <x v="11"/>
    <x v="16"/>
    <n v="2"/>
    <n v="0"/>
    <n v="6644.1"/>
    <n v="1158.49"/>
    <n v="2025"/>
    <s v="Apr"/>
    <x v="0"/>
    <n v="0.17436372119624929"/>
  </r>
  <r>
    <x v="151"/>
    <x v="81"/>
    <x v="21"/>
    <x v="3"/>
    <s v="Chandigarh"/>
    <x v="2"/>
    <x v="9"/>
    <x v="20"/>
    <n v="4"/>
    <n v="0.05"/>
    <n v="8459.48"/>
    <n v="1759.93"/>
    <n v="2025"/>
    <s v="Apr"/>
    <x v="0"/>
    <n v="0.20804233829975366"/>
  </r>
  <r>
    <x v="152"/>
    <x v="82"/>
    <x v="10"/>
    <x v="0"/>
    <s v="Kolkata"/>
    <x v="2"/>
    <x v="10"/>
    <x v="26"/>
    <n v="4"/>
    <n v="0"/>
    <n v="7738.92"/>
    <n v="1177.1099999999999"/>
    <n v="2025"/>
    <s v="Apr"/>
    <x v="0"/>
    <n v="0.15210261897008884"/>
  </r>
  <r>
    <x v="153"/>
    <x v="82"/>
    <x v="22"/>
    <x v="1"/>
    <s v="Chennai"/>
    <x v="2"/>
    <x v="11"/>
    <x v="31"/>
    <n v="7"/>
    <n v="0.2"/>
    <n v="19154.169999999998"/>
    <n v="3413.4"/>
    <n v="2025"/>
    <s v="Apr"/>
    <x v="0"/>
    <n v="0.17820662550243629"/>
  </r>
  <r>
    <x v="154"/>
    <x v="83"/>
    <x v="0"/>
    <x v="3"/>
    <s v="Jaipur"/>
    <x v="1"/>
    <x v="1"/>
    <x v="22"/>
    <n v="7"/>
    <n v="0.15"/>
    <n v="98193.13"/>
    <n v="17978.55"/>
    <n v="2025"/>
    <s v="Apr"/>
    <x v="0"/>
    <n v="0.1830937663357915"/>
  </r>
  <r>
    <x v="155"/>
    <x v="84"/>
    <x v="13"/>
    <x v="3"/>
    <s v="Jaipur"/>
    <x v="2"/>
    <x v="2"/>
    <x v="2"/>
    <n v="7"/>
    <n v="0.05"/>
    <n v="24133.200000000001"/>
    <n v="3681.34"/>
    <n v="2025"/>
    <s v="Apr"/>
    <x v="0"/>
    <n v="0.15254255548373197"/>
  </r>
  <r>
    <x v="156"/>
    <x v="85"/>
    <x v="12"/>
    <x v="1"/>
    <s v="Bengaluru"/>
    <x v="1"/>
    <x v="1"/>
    <x v="22"/>
    <n v="3"/>
    <n v="0.05"/>
    <n v="90266.76"/>
    <n v="15799.82"/>
    <n v="2025"/>
    <s v="Apr"/>
    <x v="0"/>
    <n v="0.17503475254900033"/>
  </r>
  <r>
    <x v="157"/>
    <x v="85"/>
    <x v="4"/>
    <x v="0"/>
    <s v="Ranchi"/>
    <x v="2"/>
    <x v="11"/>
    <x v="31"/>
    <n v="1"/>
    <n v="0.2"/>
    <n v="4946.24"/>
    <n v="754.23"/>
    <n v="2025"/>
    <s v="Apr"/>
    <x v="0"/>
    <n v="0.15248552435789611"/>
  </r>
  <r>
    <x v="158"/>
    <x v="86"/>
    <x v="7"/>
    <x v="2"/>
    <s v="Kolhapur"/>
    <x v="1"/>
    <x v="1"/>
    <x v="22"/>
    <n v="4"/>
    <n v="0.15"/>
    <n v="119895.08"/>
    <n v="14815.75"/>
    <n v="2025"/>
    <s v="Apr"/>
    <x v="0"/>
    <n v="0.12357262700020719"/>
  </r>
  <r>
    <x v="159"/>
    <x v="86"/>
    <x v="17"/>
    <x v="0"/>
    <s v="Bhubaneswar"/>
    <x v="1"/>
    <x v="1"/>
    <x v="23"/>
    <n v="1"/>
    <n v="0.15"/>
    <n v="45378.44"/>
    <n v="1324.46"/>
    <n v="2025"/>
    <s v="Apr"/>
    <x v="0"/>
    <n v="2.918698835834815E-2"/>
  </r>
  <r>
    <x v="160"/>
    <x v="86"/>
    <x v="0"/>
    <x v="1"/>
    <s v="Chennai"/>
    <x v="1"/>
    <x v="6"/>
    <x v="18"/>
    <n v="7"/>
    <n v="0.1"/>
    <n v="49699.02"/>
    <n v="3409.38"/>
    <n v="2025"/>
    <s v="Apr"/>
    <x v="0"/>
    <n v="6.860054785788533E-2"/>
  </r>
  <r>
    <x v="161"/>
    <x v="87"/>
    <x v="16"/>
    <x v="1"/>
    <s v="Bengaluru"/>
    <x v="1"/>
    <x v="5"/>
    <x v="5"/>
    <n v="1"/>
    <n v="0.15"/>
    <n v="25920.57"/>
    <n v="3665.31"/>
    <n v="2025"/>
    <s v="Apr"/>
    <x v="0"/>
    <n v="0.1414054552041101"/>
  </r>
  <r>
    <x v="162"/>
    <x v="87"/>
    <x v="12"/>
    <x v="0"/>
    <s v="Bhubaneswar"/>
    <x v="1"/>
    <x v="6"/>
    <x v="6"/>
    <n v="1"/>
    <n v="0.05"/>
    <n v="28067.94"/>
    <n v="5385.35"/>
    <n v="2025"/>
    <s v="Apr"/>
    <x v="0"/>
    <n v="0.19186837366760798"/>
  </r>
  <r>
    <x v="163"/>
    <x v="88"/>
    <x v="4"/>
    <x v="2"/>
    <s v="Pune"/>
    <x v="1"/>
    <x v="1"/>
    <x v="23"/>
    <n v="5"/>
    <n v="0.1"/>
    <n v="175626.95"/>
    <n v="16822.14"/>
    <n v="2025"/>
    <s v="Apr"/>
    <x v="0"/>
    <n v="9.5783363544148542E-2"/>
  </r>
  <r>
    <x v="164"/>
    <x v="88"/>
    <x v="24"/>
    <x v="1"/>
    <s v="Chennai"/>
    <x v="1"/>
    <x v="5"/>
    <x v="19"/>
    <n v="6"/>
    <n v="0.15"/>
    <n v="170005.8"/>
    <n v="9933.06"/>
    <n v="2025"/>
    <s v="Apr"/>
    <x v="0"/>
    <n v="5.8427771287803125E-2"/>
  </r>
  <r>
    <x v="165"/>
    <x v="89"/>
    <x v="4"/>
    <x v="2"/>
    <s v="Kolhapur"/>
    <x v="1"/>
    <x v="3"/>
    <x v="3"/>
    <n v="4"/>
    <n v="0.2"/>
    <n v="50568.32"/>
    <n v="6316.84"/>
    <n v="2025"/>
    <s v="Apr"/>
    <x v="0"/>
    <n v="0.12491694404718211"/>
  </r>
  <r>
    <x v="166"/>
    <x v="90"/>
    <x v="9"/>
    <x v="0"/>
    <s v="Bhubaneswar"/>
    <x v="2"/>
    <x v="2"/>
    <x v="17"/>
    <n v="2"/>
    <n v="0.15"/>
    <n v="5288.4"/>
    <n v="425.03"/>
    <n v="2025"/>
    <s v="Apr"/>
    <x v="0"/>
    <n v="8.0370244308297409E-2"/>
  </r>
  <r>
    <x v="167"/>
    <x v="90"/>
    <x v="2"/>
    <x v="1"/>
    <s v="Mysuru"/>
    <x v="1"/>
    <x v="5"/>
    <x v="19"/>
    <n v="7"/>
    <n v="0.2"/>
    <n v="46295.97"/>
    <n v="3204.48"/>
    <n v="2025"/>
    <s v="Apr"/>
    <x v="0"/>
    <n v="6.921725584321918E-2"/>
  </r>
  <r>
    <x v="168"/>
    <x v="91"/>
    <x v="12"/>
    <x v="2"/>
    <s v="Mumbai"/>
    <x v="0"/>
    <x v="8"/>
    <x v="8"/>
    <n v="1"/>
    <n v="0.1"/>
    <n v="4004.98"/>
    <n v="464.42"/>
    <n v="2025"/>
    <s v="Apr"/>
    <x v="0"/>
    <n v="0.115960629016874"/>
  </r>
  <r>
    <x v="169"/>
    <x v="91"/>
    <x v="14"/>
    <x v="3"/>
    <s v="Chandigarh"/>
    <x v="2"/>
    <x v="10"/>
    <x v="12"/>
    <n v="1"/>
    <n v="0.15"/>
    <n v="891.98"/>
    <n v="112.58"/>
    <n v="2025"/>
    <s v="Apr"/>
    <x v="2"/>
    <n v="0.12621359223300971"/>
  </r>
  <r>
    <x v="170"/>
    <x v="91"/>
    <x v="12"/>
    <x v="0"/>
    <s v="Patna"/>
    <x v="1"/>
    <x v="6"/>
    <x v="6"/>
    <n v="5"/>
    <n v="0.1"/>
    <n v="66806.05"/>
    <n v="9750.1"/>
    <n v="2025"/>
    <s v="Apr"/>
    <x v="0"/>
    <n v="0.14594636264230559"/>
  </r>
  <r>
    <x v="171"/>
    <x v="91"/>
    <x v="16"/>
    <x v="2"/>
    <s v="Pune"/>
    <x v="2"/>
    <x v="2"/>
    <x v="2"/>
    <n v="2"/>
    <n v="0"/>
    <n v="8430.2000000000007"/>
    <n v="730.21"/>
    <n v="2025"/>
    <s v="Apr"/>
    <x v="0"/>
    <n v="8.6618348319138339E-2"/>
  </r>
  <r>
    <x v="172"/>
    <x v="92"/>
    <x v="13"/>
    <x v="0"/>
    <s v="Bhubaneswar"/>
    <x v="0"/>
    <x v="7"/>
    <x v="27"/>
    <n v="3"/>
    <n v="0.15"/>
    <n v="13694.4"/>
    <n v="465.02"/>
    <n v="2025"/>
    <s v="Apr"/>
    <x v="0"/>
    <n v="3.3956945904895432E-2"/>
  </r>
  <r>
    <x v="173"/>
    <x v="92"/>
    <x v="13"/>
    <x v="1"/>
    <s v="Bengaluru"/>
    <x v="1"/>
    <x v="1"/>
    <x v="1"/>
    <n v="4"/>
    <n v="0.05"/>
    <n v="175089.68"/>
    <n v="34545.64"/>
    <n v="2025"/>
    <s v="Apr"/>
    <x v="0"/>
    <n v="0.1973025480428087"/>
  </r>
  <r>
    <x v="174"/>
    <x v="92"/>
    <x v="17"/>
    <x v="3"/>
    <s v="Chandigarh"/>
    <x v="0"/>
    <x v="7"/>
    <x v="7"/>
    <n v="2"/>
    <n v="0.2"/>
    <n v="1279.56"/>
    <n v="22.18"/>
    <n v="2025"/>
    <s v="Apr"/>
    <x v="0"/>
    <n v="1.7334083591234489E-2"/>
  </r>
  <r>
    <x v="175"/>
    <x v="93"/>
    <x v="12"/>
    <x v="0"/>
    <s v="Patna"/>
    <x v="2"/>
    <x v="11"/>
    <x v="16"/>
    <n v="1"/>
    <n v="0.15"/>
    <n v="2164.12"/>
    <n v="242.05"/>
    <n v="2025"/>
    <s v="Apr"/>
    <x v="0"/>
    <n v="0.11184684767942629"/>
  </r>
  <r>
    <x v="176"/>
    <x v="93"/>
    <x v="22"/>
    <x v="3"/>
    <s v="Lucknow"/>
    <x v="0"/>
    <x v="4"/>
    <x v="29"/>
    <n v="6"/>
    <n v="0.1"/>
    <n v="69230.52"/>
    <n v="9669.3799999999992"/>
    <n v="2025"/>
    <s v="Apr"/>
    <x v="0"/>
    <n v="0.13966932503179233"/>
  </r>
  <r>
    <x v="177"/>
    <x v="94"/>
    <x v="17"/>
    <x v="3"/>
    <s v="Delhi"/>
    <x v="0"/>
    <x v="4"/>
    <x v="4"/>
    <n v="5"/>
    <n v="0"/>
    <n v="33590.15"/>
    <n v="4068.5"/>
    <n v="2025"/>
    <s v="Apr"/>
    <x v="0"/>
    <n v="0.12112181696122226"/>
  </r>
  <r>
    <x v="178"/>
    <x v="94"/>
    <x v="21"/>
    <x v="2"/>
    <s v="Mumbai"/>
    <x v="1"/>
    <x v="5"/>
    <x v="21"/>
    <n v="6"/>
    <n v="0.1"/>
    <n v="256977.78"/>
    <n v="19551.490000000002"/>
    <n v="2025"/>
    <s v="Apr"/>
    <x v="0"/>
    <n v="7.608241459631257E-2"/>
  </r>
  <r>
    <x v="179"/>
    <x v="94"/>
    <x v="6"/>
    <x v="3"/>
    <s v="Delhi"/>
    <x v="1"/>
    <x v="1"/>
    <x v="22"/>
    <n v="4"/>
    <n v="0.15"/>
    <n v="173277.76"/>
    <n v="20669.259999999998"/>
    <n v="2025"/>
    <s v="Apr"/>
    <x v="0"/>
    <n v="0.11928397504676883"/>
  </r>
  <r>
    <x v="180"/>
    <x v="94"/>
    <x v="11"/>
    <x v="0"/>
    <s v="Ranchi"/>
    <x v="0"/>
    <x v="7"/>
    <x v="7"/>
    <n v="1"/>
    <n v="0"/>
    <n v="5848.14"/>
    <n v="950.12"/>
    <n v="2025"/>
    <s v="Apr"/>
    <x v="0"/>
    <n v="0.16246533085733242"/>
  </r>
  <r>
    <x v="181"/>
    <x v="95"/>
    <x v="20"/>
    <x v="0"/>
    <s v="Kolkata"/>
    <x v="0"/>
    <x v="7"/>
    <x v="27"/>
    <n v="3"/>
    <n v="0.1"/>
    <n v="10828.56"/>
    <n v="2082.4699999999998"/>
    <n v="2025"/>
    <s v="May"/>
    <x v="0"/>
    <n v="0.19231273595011708"/>
  </r>
  <r>
    <x v="182"/>
    <x v="96"/>
    <x v="16"/>
    <x v="3"/>
    <s v="Jaipur"/>
    <x v="0"/>
    <x v="0"/>
    <x v="0"/>
    <n v="7"/>
    <n v="0"/>
    <n v="71644.37"/>
    <n v="12357.42"/>
    <n v="2025"/>
    <s v="May"/>
    <x v="0"/>
    <n v="0.17248277847931387"/>
  </r>
  <r>
    <x v="183"/>
    <x v="96"/>
    <x v="18"/>
    <x v="2"/>
    <s v="Mumbai"/>
    <x v="1"/>
    <x v="3"/>
    <x v="3"/>
    <n v="2"/>
    <n v="0.1"/>
    <n v="17962.28"/>
    <n v="1371.3"/>
    <n v="2025"/>
    <s v="May"/>
    <x v="0"/>
    <n v="7.6343314991192651E-2"/>
  </r>
  <r>
    <x v="184"/>
    <x v="97"/>
    <x v="14"/>
    <x v="3"/>
    <s v="Lucknow"/>
    <x v="1"/>
    <x v="6"/>
    <x v="6"/>
    <n v="7"/>
    <n v="0.2"/>
    <n v="202552.84"/>
    <n v="8377.7800000000007"/>
    <n v="2025"/>
    <s v="May"/>
    <x v="0"/>
    <n v="4.136096042889352E-2"/>
  </r>
  <r>
    <x v="185"/>
    <x v="98"/>
    <x v="6"/>
    <x v="3"/>
    <s v="Jaipur"/>
    <x v="2"/>
    <x v="2"/>
    <x v="17"/>
    <n v="3"/>
    <n v="0.2"/>
    <n v="9457.6200000000008"/>
    <n v="1273.27"/>
    <n v="2025"/>
    <s v="May"/>
    <x v="0"/>
    <n v="0.13462900814369788"/>
  </r>
  <r>
    <x v="186"/>
    <x v="98"/>
    <x v="19"/>
    <x v="2"/>
    <s v="Pune"/>
    <x v="0"/>
    <x v="7"/>
    <x v="27"/>
    <n v="6"/>
    <n v="0.15"/>
    <n v="23050.560000000001"/>
    <n v="2028.81"/>
    <n v="2025"/>
    <s v="May"/>
    <x v="0"/>
    <n v="8.8015649077506142E-2"/>
  </r>
  <r>
    <x v="187"/>
    <x v="99"/>
    <x v="13"/>
    <x v="1"/>
    <s v="Chennai"/>
    <x v="0"/>
    <x v="0"/>
    <x v="14"/>
    <n v="5"/>
    <n v="0.15"/>
    <n v="30643.55"/>
    <n v="1263.9000000000001"/>
    <n v="2025"/>
    <s v="May"/>
    <x v="0"/>
    <n v="4.1245221261896878E-2"/>
  </r>
  <r>
    <x v="188"/>
    <x v="100"/>
    <x v="14"/>
    <x v="3"/>
    <s v="Jaipur"/>
    <x v="2"/>
    <x v="10"/>
    <x v="10"/>
    <n v="1"/>
    <n v="0"/>
    <n v="3768.36"/>
    <n v="301.56"/>
    <n v="2025"/>
    <s v="May"/>
    <x v="0"/>
    <n v="8.002420150940992E-2"/>
  </r>
  <r>
    <x v="189"/>
    <x v="100"/>
    <x v="18"/>
    <x v="0"/>
    <s v="Patna"/>
    <x v="0"/>
    <x v="4"/>
    <x v="29"/>
    <n v="5"/>
    <n v="0.15"/>
    <n v="25188.1"/>
    <n v="3817.92"/>
    <n v="2025"/>
    <s v="May"/>
    <x v="0"/>
    <n v="0.15157633962069392"/>
  </r>
  <r>
    <x v="190"/>
    <x v="101"/>
    <x v="15"/>
    <x v="0"/>
    <s v="Bhubaneswar"/>
    <x v="2"/>
    <x v="9"/>
    <x v="9"/>
    <n v="1"/>
    <n v="0.15"/>
    <n v="555.85"/>
    <n v="83.26"/>
    <n v="2025"/>
    <s v="May"/>
    <x v="2"/>
    <n v="0.14978861203562113"/>
  </r>
  <r>
    <x v="191"/>
    <x v="101"/>
    <x v="2"/>
    <x v="2"/>
    <s v="Mumbai"/>
    <x v="2"/>
    <x v="11"/>
    <x v="16"/>
    <n v="7"/>
    <n v="0.1"/>
    <n v="31035.759999999998"/>
    <n v="4634.03"/>
    <n v="2025"/>
    <s v="May"/>
    <x v="0"/>
    <n v="0.14931259940146463"/>
  </r>
  <r>
    <x v="192"/>
    <x v="102"/>
    <x v="16"/>
    <x v="0"/>
    <s v="Kolkata"/>
    <x v="1"/>
    <x v="5"/>
    <x v="19"/>
    <n v="4"/>
    <n v="0"/>
    <n v="133449.96"/>
    <n v="33259.96"/>
    <n v="2025"/>
    <s v="May"/>
    <x v="0"/>
    <n v="0.24923169703460385"/>
  </r>
  <r>
    <x v="193"/>
    <x v="103"/>
    <x v="17"/>
    <x v="3"/>
    <s v="Chandigarh"/>
    <x v="1"/>
    <x v="5"/>
    <x v="19"/>
    <n v="3"/>
    <n v="0.05"/>
    <n v="121638.06"/>
    <n v="25755.82"/>
    <n v="2025"/>
    <s v="May"/>
    <x v="0"/>
    <n v="0.21174145658028418"/>
  </r>
  <r>
    <x v="194"/>
    <x v="104"/>
    <x v="11"/>
    <x v="1"/>
    <s v="Mysuru"/>
    <x v="2"/>
    <x v="11"/>
    <x v="31"/>
    <n v="4"/>
    <n v="0.15"/>
    <n v="11071.84"/>
    <n v="1766.82"/>
    <n v="2025"/>
    <s v="May"/>
    <x v="0"/>
    <n v="0.15957781181808986"/>
  </r>
  <r>
    <x v="195"/>
    <x v="105"/>
    <x v="7"/>
    <x v="2"/>
    <s v="Kolhapur"/>
    <x v="0"/>
    <x v="8"/>
    <x v="13"/>
    <n v="7"/>
    <n v="0.1"/>
    <n v="40691.49"/>
    <n v="2891.93"/>
    <n v="2025"/>
    <s v="May"/>
    <x v="0"/>
    <n v="7.1069651172763648E-2"/>
  </r>
  <r>
    <x v="196"/>
    <x v="105"/>
    <x v="9"/>
    <x v="2"/>
    <s v="Pune"/>
    <x v="1"/>
    <x v="6"/>
    <x v="18"/>
    <n v="2"/>
    <n v="0"/>
    <n v="82948"/>
    <n v="7879.59"/>
    <n v="2025"/>
    <s v="May"/>
    <x v="0"/>
    <n v="9.4994333799488836E-2"/>
  </r>
  <r>
    <x v="197"/>
    <x v="106"/>
    <x v="3"/>
    <x v="0"/>
    <s v="Bhubaneswar"/>
    <x v="2"/>
    <x v="9"/>
    <x v="20"/>
    <n v="1"/>
    <n v="0.2"/>
    <n v="1774.73"/>
    <n v="241.15"/>
    <n v="2025"/>
    <s v="May"/>
    <x v="0"/>
    <n v="0.1358798239732241"/>
  </r>
  <r>
    <x v="198"/>
    <x v="107"/>
    <x v="22"/>
    <x v="0"/>
    <s v="Kolkata"/>
    <x v="2"/>
    <x v="10"/>
    <x v="10"/>
    <n v="4"/>
    <n v="0.2"/>
    <n v="5749.8"/>
    <n v="494.15"/>
    <n v="2025"/>
    <s v="May"/>
    <x v="0"/>
    <n v="8.5942119725903501E-2"/>
  </r>
  <r>
    <x v="199"/>
    <x v="108"/>
    <x v="6"/>
    <x v="2"/>
    <s v="Nashik"/>
    <x v="2"/>
    <x v="2"/>
    <x v="17"/>
    <n v="3"/>
    <n v="0"/>
    <n v="3062.43"/>
    <n v="549.38"/>
    <n v="2025"/>
    <s v="May"/>
    <x v="0"/>
    <n v="0.17939348817768896"/>
  </r>
  <r>
    <x v="200"/>
    <x v="109"/>
    <x v="11"/>
    <x v="3"/>
    <s v="Jaipur"/>
    <x v="0"/>
    <x v="0"/>
    <x v="0"/>
    <n v="1"/>
    <n v="0.05"/>
    <n v="4320.3599999999997"/>
    <n v="760.55"/>
    <n v="2025"/>
    <s v="May"/>
    <x v="0"/>
    <n v="0.17603857085983576"/>
  </r>
  <r>
    <x v="201"/>
    <x v="109"/>
    <x v="9"/>
    <x v="0"/>
    <s v="Kolkata"/>
    <x v="1"/>
    <x v="6"/>
    <x v="6"/>
    <n v="3"/>
    <n v="0.1"/>
    <n v="117880.53"/>
    <n v="22945.86"/>
    <n v="2025"/>
    <s v="May"/>
    <x v="0"/>
    <n v="0.19465351911804266"/>
  </r>
  <r>
    <x v="202"/>
    <x v="110"/>
    <x v="20"/>
    <x v="3"/>
    <s v="Jaipur"/>
    <x v="0"/>
    <x v="7"/>
    <x v="27"/>
    <n v="5"/>
    <n v="0"/>
    <n v="8916.6"/>
    <n v="1000.03"/>
    <n v="2025"/>
    <s v="May"/>
    <x v="0"/>
    <n v="0.11215373572886525"/>
  </r>
  <r>
    <x v="203"/>
    <x v="111"/>
    <x v="3"/>
    <x v="3"/>
    <s v="Delhi"/>
    <x v="0"/>
    <x v="7"/>
    <x v="7"/>
    <n v="4"/>
    <n v="0.1"/>
    <n v="11484.56"/>
    <n v="969.65"/>
    <n v="2025"/>
    <s v="May"/>
    <x v="0"/>
    <n v="8.443074876181586E-2"/>
  </r>
  <r>
    <x v="204"/>
    <x v="112"/>
    <x v="19"/>
    <x v="0"/>
    <s v="Ranchi"/>
    <x v="1"/>
    <x v="5"/>
    <x v="5"/>
    <n v="3"/>
    <n v="0.1"/>
    <n v="144429.78"/>
    <n v="15213.17"/>
    <n v="2025"/>
    <s v="May"/>
    <x v="0"/>
    <n v="0.1053326398475439"/>
  </r>
  <r>
    <x v="205"/>
    <x v="112"/>
    <x v="2"/>
    <x v="0"/>
    <s v="Kolkata"/>
    <x v="2"/>
    <x v="10"/>
    <x v="26"/>
    <n v="1"/>
    <n v="0.2"/>
    <n v="2114.91"/>
    <n v="267.33"/>
    <n v="2025"/>
    <s v="May"/>
    <x v="0"/>
    <n v="0.12640254195213982"/>
  </r>
  <r>
    <x v="206"/>
    <x v="113"/>
    <x v="0"/>
    <x v="3"/>
    <s v="Chandigarh"/>
    <x v="2"/>
    <x v="10"/>
    <x v="10"/>
    <n v="5"/>
    <n v="0"/>
    <n v="24607.45"/>
    <n v="3310.35"/>
    <n v="2025"/>
    <s v="May"/>
    <x v="0"/>
    <n v="0.13452633247248291"/>
  </r>
  <r>
    <x v="207"/>
    <x v="113"/>
    <x v="22"/>
    <x v="1"/>
    <s v="Bengaluru"/>
    <x v="1"/>
    <x v="5"/>
    <x v="5"/>
    <n v="4"/>
    <n v="0"/>
    <n v="111358.08"/>
    <n v="10252.879999999999"/>
    <n v="2025"/>
    <s v="May"/>
    <x v="0"/>
    <n v="9.2071271343758795E-2"/>
  </r>
  <r>
    <x v="208"/>
    <x v="113"/>
    <x v="11"/>
    <x v="3"/>
    <s v="Lucknow"/>
    <x v="0"/>
    <x v="0"/>
    <x v="24"/>
    <n v="6"/>
    <n v="0.2"/>
    <n v="23400.18"/>
    <n v="3753.98"/>
    <n v="2025"/>
    <s v="May"/>
    <x v="0"/>
    <n v="0.16042526168602123"/>
  </r>
  <r>
    <x v="209"/>
    <x v="114"/>
    <x v="9"/>
    <x v="1"/>
    <s v="Chennai"/>
    <x v="0"/>
    <x v="8"/>
    <x v="13"/>
    <n v="4"/>
    <n v="0.05"/>
    <n v="23819.48"/>
    <n v="3925.92"/>
    <n v="2025"/>
    <s v="May"/>
    <x v="0"/>
    <n v="0.16481971898630868"/>
  </r>
  <r>
    <x v="210"/>
    <x v="114"/>
    <x v="22"/>
    <x v="2"/>
    <s v="Mumbai"/>
    <x v="2"/>
    <x v="9"/>
    <x v="9"/>
    <n v="1"/>
    <n v="0.05"/>
    <n v="3746.82"/>
    <n v="745.56"/>
    <n v="2025"/>
    <s v="May"/>
    <x v="0"/>
    <n v="0.19898473905872177"/>
  </r>
  <r>
    <x v="211"/>
    <x v="115"/>
    <x v="24"/>
    <x v="0"/>
    <s v="Kolkata"/>
    <x v="1"/>
    <x v="6"/>
    <x v="18"/>
    <n v="5"/>
    <n v="0"/>
    <n v="130732.75"/>
    <n v="31817.99"/>
    <n v="2025"/>
    <s v="May"/>
    <x v="0"/>
    <n v="0.24338193757876278"/>
  </r>
  <r>
    <x v="212"/>
    <x v="116"/>
    <x v="16"/>
    <x v="0"/>
    <s v="Ranchi"/>
    <x v="1"/>
    <x v="6"/>
    <x v="11"/>
    <n v="6"/>
    <n v="0.15"/>
    <n v="170663.04000000001"/>
    <n v="17139.52"/>
    <n v="2025"/>
    <s v="Jun"/>
    <x v="0"/>
    <n v="0.10042900911644372"/>
  </r>
  <r>
    <x v="213"/>
    <x v="116"/>
    <x v="3"/>
    <x v="1"/>
    <s v="Bengaluru"/>
    <x v="1"/>
    <x v="5"/>
    <x v="5"/>
    <n v="6"/>
    <n v="0.1"/>
    <n v="287438.64"/>
    <n v="61692.82"/>
    <n v="2025"/>
    <s v="Jun"/>
    <x v="0"/>
    <n v="0.21462952927970991"/>
  </r>
  <r>
    <x v="214"/>
    <x v="116"/>
    <x v="12"/>
    <x v="0"/>
    <s v="Patna"/>
    <x v="1"/>
    <x v="5"/>
    <x v="21"/>
    <n v="4"/>
    <n v="0.2"/>
    <n v="157667.72"/>
    <n v="22714.33"/>
    <n v="2025"/>
    <s v="Jun"/>
    <x v="0"/>
    <n v="0.14406455550952346"/>
  </r>
  <r>
    <x v="215"/>
    <x v="116"/>
    <x v="4"/>
    <x v="0"/>
    <s v="Patna"/>
    <x v="2"/>
    <x v="9"/>
    <x v="9"/>
    <n v="6"/>
    <n v="0"/>
    <n v="22137.599999999999"/>
    <n v="2786.79"/>
    <n v="2025"/>
    <s v="Jun"/>
    <x v="0"/>
    <n v="0.12588491977450131"/>
  </r>
  <r>
    <x v="216"/>
    <x v="117"/>
    <x v="21"/>
    <x v="1"/>
    <s v="Hyderabad"/>
    <x v="0"/>
    <x v="7"/>
    <x v="27"/>
    <n v="5"/>
    <n v="0"/>
    <n v="8394.65"/>
    <n v="1682.65"/>
    <n v="2025"/>
    <s v="Jun"/>
    <x v="0"/>
    <n v="0.20044313938043876"/>
  </r>
  <r>
    <x v="217"/>
    <x v="118"/>
    <x v="13"/>
    <x v="0"/>
    <s v="Bhubaneswar"/>
    <x v="1"/>
    <x v="3"/>
    <x v="25"/>
    <n v="6"/>
    <n v="0.1"/>
    <n v="232788.36"/>
    <n v="22655.46"/>
    <n v="2025"/>
    <s v="Jun"/>
    <x v="0"/>
    <n v="9.7322134147944508E-2"/>
  </r>
  <r>
    <x v="218"/>
    <x v="118"/>
    <x v="15"/>
    <x v="2"/>
    <s v="Mumbai"/>
    <x v="2"/>
    <x v="10"/>
    <x v="12"/>
    <n v="4"/>
    <n v="0.1"/>
    <n v="5786.2"/>
    <n v="1097.6400000000001"/>
    <n v="2025"/>
    <s v="Jun"/>
    <x v="0"/>
    <n v="0.18969963015450558"/>
  </r>
  <r>
    <x v="219"/>
    <x v="119"/>
    <x v="6"/>
    <x v="0"/>
    <s v="Patna"/>
    <x v="2"/>
    <x v="9"/>
    <x v="9"/>
    <n v="6"/>
    <n v="0.15"/>
    <n v="3801.48"/>
    <n v="719.4"/>
    <n v="2025"/>
    <s v="Jun"/>
    <x v="0"/>
    <n v="0.18924208466176332"/>
  </r>
  <r>
    <x v="220"/>
    <x v="119"/>
    <x v="3"/>
    <x v="2"/>
    <s v="Kolhapur"/>
    <x v="1"/>
    <x v="1"/>
    <x v="23"/>
    <n v="2"/>
    <n v="0.05"/>
    <n v="61656.84"/>
    <n v="8045.22"/>
    <n v="2025"/>
    <s v="Jun"/>
    <x v="0"/>
    <n v="0.13048381980004167"/>
  </r>
  <r>
    <x v="221"/>
    <x v="120"/>
    <x v="20"/>
    <x v="0"/>
    <s v="Bhubaneswar"/>
    <x v="0"/>
    <x v="4"/>
    <x v="29"/>
    <n v="4"/>
    <n v="0.1"/>
    <n v="36107.199999999997"/>
    <n v="6465.41"/>
    <n v="2025"/>
    <s v="Jun"/>
    <x v="0"/>
    <n v="0.1790615168165906"/>
  </r>
  <r>
    <x v="222"/>
    <x v="120"/>
    <x v="1"/>
    <x v="0"/>
    <s v="Kolkata"/>
    <x v="1"/>
    <x v="3"/>
    <x v="25"/>
    <n v="4"/>
    <n v="0.15"/>
    <n v="136320.72"/>
    <n v="6164.18"/>
    <n v="2025"/>
    <s v="Jun"/>
    <x v="0"/>
    <n v="4.5218217744155111E-2"/>
  </r>
  <r>
    <x v="223"/>
    <x v="121"/>
    <x v="10"/>
    <x v="3"/>
    <s v="Lucknow"/>
    <x v="2"/>
    <x v="2"/>
    <x v="17"/>
    <n v="5"/>
    <n v="0.1"/>
    <n v="9754.2999999999993"/>
    <n v="547.9"/>
    <n v="2025"/>
    <s v="Jun"/>
    <x v="0"/>
    <n v="5.6170099340803546E-2"/>
  </r>
  <r>
    <x v="224"/>
    <x v="121"/>
    <x v="1"/>
    <x v="0"/>
    <s v="Ranchi"/>
    <x v="2"/>
    <x v="10"/>
    <x v="10"/>
    <n v="1"/>
    <n v="0.1"/>
    <n v="2054.2199999999998"/>
    <n v="245.74"/>
    <n v="2025"/>
    <s v="Jun"/>
    <x v="0"/>
    <n v="0.11962691435191948"/>
  </r>
  <r>
    <x v="225"/>
    <x v="122"/>
    <x v="11"/>
    <x v="2"/>
    <s v="Nashik"/>
    <x v="1"/>
    <x v="6"/>
    <x v="18"/>
    <n v="3"/>
    <n v="0.2"/>
    <n v="144597.03"/>
    <n v="2730.55"/>
    <n v="2025"/>
    <s v="Jun"/>
    <x v="0"/>
    <n v="1.8883859509424228E-2"/>
  </r>
  <r>
    <x v="226"/>
    <x v="122"/>
    <x v="14"/>
    <x v="2"/>
    <s v="Nashik"/>
    <x v="2"/>
    <x v="9"/>
    <x v="9"/>
    <n v="1"/>
    <n v="0.2"/>
    <n v="3070.12"/>
    <n v="238.43"/>
    <n v="2025"/>
    <s v="Jun"/>
    <x v="0"/>
    <n v="7.7661459486925599E-2"/>
  </r>
  <r>
    <x v="227"/>
    <x v="123"/>
    <x v="8"/>
    <x v="3"/>
    <s v="Chandigarh"/>
    <x v="1"/>
    <x v="3"/>
    <x v="3"/>
    <n v="2"/>
    <n v="0.05"/>
    <n v="33723.800000000003"/>
    <n v="5170.57"/>
    <n v="2025"/>
    <s v="Jun"/>
    <x v="0"/>
    <n v="0.15332109667356583"/>
  </r>
  <r>
    <x v="228"/>
    <x v="123"/>
    <x v="24"/>
    <x v="2"/>
    <s v="Nashik"/>
    <x v="1"/>
    <x v="1"/>
    <x v="22"/>
    <n v="5"/>
    <n v="0.05"/>
    <n v="59427.95"/>
    <n v="4611.78"/>
    <n v="2025"/>
    <s v="Jun"/>
    <x v="0"/>
    <n v="7.7602878780102622E-2"/>
  </r>
  <r>
    <x v="229"/>
    <x v="124"/>
    <x v="20"/>
    <x v="2"/>
    <s v="Nashik"/>
    <x v="2"/>
    <x v="10"/>
    <x v="10"/>
    <n v="7"/>
    <n v="0.05"/>
    <n v="34277.32"/>
    <n v="7194.43"/>
    <n v="2025"/>
    <s v="Jun"/>
    <x v="0"/>
    <n v="0.2098889294728993"/>
  </r>
  <r>
    <x v="230"/>
    <x v="124"/>
    <x v="16"/>
    <x v="1"/>
    <s v="Mysuru"/>
    <x v="1"/>
    <x v="5"/>
    <x v="19"/>
    <n v="1"/>
    <n v="0"/>
    <n v="25708.29"/>
    <n v="2069.4299999999998"/>
    <n v="2025"/>
    <s v="Jun"/>
    <x v="0"/>
    <n v="8.0496602457806404E-2"/>
  </r>
  <r>
    <x v="231"/>
    <x v="125"/>
    <x v="17"/>
    <x v="2"/>
    <s v="Nashik"/>
    <x v="2"/>
    <x v="9"/>
    <x v="9"/>
    <n v="5"/>
    <n v="0"/>
    <n v="23376.85"/>
    <n v="3542.28"/>
    <n v="2025"/>
    <s v="Jun"/>
    <x v="0"/>
    <n v="0.15152939767333923"/>
  </r>
  <r>
    <x v="232"/>
    <x v="126"/>
    <x v="3"/>
    <x v="2"/>
    <s v="Pune"/>
    <x v="0"/>
    <x v="0"/>
    <x v="14"/>
    <n v="1"/>
    <n v="0.1"/>
    <n v="4218.7700000000004"/>
    <n v="436.24"/>
    <n v="2025"/>
    <s v="Jun"/>
    <x v="0"/>
    <n v="0.10340454682288913"/>
  </r>
  <r>
    <x v="233"/>
    <x v="127"/>
    <x v="19"/>
    <x v="0"/>
    <s v="Bhubaneswar"/>
    <x v="1"/>
    <x v="5"/>
    <x v="21"/>
    <n v="5"/>
    <n v="0.2"/>
    <n v="40404.1"/>
    <n v="3670.42"/>
    <n v="2025"/>
    <s v="Jun"/>
    <x v="0"/>
    <n v="9.0842761006927522E-2"/>
  </r>
  <r>
    <x v="234"/>
    <x v="127"/>
    <x v="0"/>
    <x v="1"/>
    <s v="Mysuru"/>
    <x v="1"/>
    <x v="5"/>
    <x v="5"/>
    <n v="6"/>
    <n v="0.2"/>
    <n v="249739.8"/>
    <n v="2964.23"/>
    <n v="2025"/>
    <s v="Jun"/>
    <x v="0"/>
    <n v="1.1869273539900329E-2"/>
  </r>
  <r>
    <x v="235"/>
    <x v="128"/>
    <x v="4"/>
    <x v="2"/>
    <s v="Nashik"/>
    <x v="0"/>
    <x v="7"/>
    <x v="30"/>
    <n v="2"/>
    <n v="0.1"/>
    <n v="14883.66"/>
    <n v="861.01"/>
    <n v="2025"/>
    <s v="Jun"/>
    <x v="0"/>
    <n v="5.7849346195760987E-2"/>
  </r>
  <r>
    <x v="236"/>
    <x v="129"/>
    <x v="13"/>
    <x v="2"/>
    <s v="Nashik"/>
    <x v="1"/>
    <x v="5"/>
    <x v="5"/>
    <n v="4"/>
    <n v="0.2"/>
    <n v="53313.279999999999"/>
    <n v="557.70000000000005"/>
    <n v="2025"/>
    <s v="Jun"/>
    <x v="0"/>
    <n v="1.046080826390723E-2"/>
  </r>
  <r>
    <x v="237"/>
    <x v="129"/>
    <x v="13"/>
    <x v="2"/>
    <s v="Nashik"/>
    <x v="2"/>
    <x v="2"/>
    <x v="2"/>
    <n v="4"/>
    <n v="0.2"/>
    <n v="12808.72"/>
    <n v="509.96"/>
    <n v="2025"/>
    <s v="Jun"/>
    <x v="0"/>
    <n v="3.9813502051727262E-2"/>
  </r>
  <r>
    <x v="238"/>
    <x v="130"/>
    <x v="4"/>
    <x v="3"/>
    <s v="Lucknow"/>
    <x v="2"/>
    <x v="2"/>
    <x v="17"/>
    <n v="5"/>
    <n v="0.2"/>
    <n v="13943.55"/>
    <n v="1231.67"/>
    <n v="2025"/>
    <s v="Jun"/>
    <x v="0"/>
    <n v="8.8332598226420117E-2"/>
  </r>
  <r>
    <x v="239"/>
    <x v="130"/>
    <x v="13"/>
    <x v="1"/>
    <s v="Mysuru"/>
    <x v="0"/>
    <x v="4"/>
    <x v="29"/>
    <n v="6"/>
    <n v="0.2"/>
    <n v="3016.38"/>
    <n v="301.39"/>
    <n v="2025"/>
    <s v="Jun"/>
    <x v="0"/>
    <n v="9.991778224229042E-2"/>
  </r>
  <r>
    <x v="240"/>
    <x v="131"/>
    <x v="8"/>
    <x v="3"/>
    <s v="Delhi"/>
    <x v="1"/>
    <x v="3"/>
    <x v="25"/>
    <n v="4"/>
    <n v="0.1"/>
    <n v="60052.56"/>
    <n v="12450.34"/>
    <n v="2025"/>
    <s v="Jun"/>
    <x v="0"/>
    <n v="0.20732405079816749"/>
  </r>
  <r>
    <x v="241"/>
    <x v="131"/>
    <x v="5"/>
    <x v="3"/>
    <s v="Lucknow"/>
    <x v="0"/>
    <x v="0"/>
    <x v="24"/>
    <n v="5"/>
    <n v="0.1"/>
    <n v="34934.25"/>
    <n v="4040.24"/>
    <n v="2025"/>
    <s v="Jun"/>
    <x v="0"/>
    <n v="0.1156526904112726"/>
  </r>
  <r>
    <x v="242"/>
    <x v="132"/>
    <x v="3"/>
    <x v="3"/>
    <s v="Lucknow"/>
    <x v="1"/>
    <x v="6"/>
    <x v="15"/>
    <n v="2"/>
    <n v="0.1"/>
    <n v="52139.32"/>
    <n v="6968.23"/>
    <n v="2025"/>
    <s v="Jun"/>
    <x v="0"/>
    <n v="0.13364635365401772"/>
  </r>
  <r>
    <x v="243"/>
    <x v="133"/>
    <x v="6"/>
    <x v="0"/>
    <s v="Patna"/>
    <x v="2"/>
    <x v="2"/>
    <x v="17"/>
    <n v="4"/>
    <n v="0.15"/>
    <n v="13092.44"/>
    <n v="2047.72"/>
    <n v="2025"/>
    <s v="Jun"/>
    <x v="0"/>
    <n v="0.15640476488721736"/>
  </r>
  <r>
    <x v="244"/>
    <x v="134"/>
    <x v="4"/>
    <x v="3"/>
    <s v="Jaipur"/>
    <x v="2"/>
    <x v="11"/>
    <x v="31"/>
    <n v="1"/>
    <n v="0.1"/>
    <n v="4223.09"/>
    <n v="795.78"/>
    <n v="2025"/>
    <s v="Jun"/>
    <x v="0"/>
    <n v="0.1884354820759207"/>
  </r>
  <r>
    <x v="245"/>
    <x v="134"/>
    <x v="14"/>
    <x v="3"/>
    <s v="Chandigarh"/>
    <x v="1"/>
    <x v="3"/>
    <x v="3"/>
    <n v="5"/>
    <n v="0.1"/>
    <n v="112319.55"/>
    <n v="21903.52"/>
    <n v="2025"/>
    <s v="Jun"/>
    <x v="0"/>
    <n v="0.19501075280305166"/>
  </r>
  <r>
    <x v="246"/>
    <x v="134"/>
    <x v="5"/>
    <x v="2"/>
    <s v="Mumbai"/>
    <x v="1"/>
    <x v="1"/>
    <x v="1"/>
    <n v="4"/>
    <n v="0.15"/>
    <n v="113346.68"/>
    <n v="6341.88"/>
    <n v="2025"/>
    <s v="Jun"/>
    <x v="0"/>
    <n v="5.595117563214027E-2"/>
  </r>
  <r>
    <x v="247"/>
    <x v="134"/>
    <x v="16"/>
    <x v="1"/>
    <s v="Mysuru"/>
    <x v="2"/>
    <x v="10"/>
    <x v="26"/>
    <n v="1"/>
    <n v="0.05"/>
    <n v="2256.2800000000002"/>
    <n v="211.84"/>
    <n v="2025"/>
    <s v="Jun"/>
    <x v="0"/>
    <n v="9.3889056322796816E-2"/>
  </r>
  <r>
    <x v="248"/>
    <x v="135"/>
    <x v="12"/>
    <x v="1"/>
    <s v="Chennai"/>
    <x v="1"/>
    <x v="3"/>
    <x v="3"/>
    <n v="5"/>
    <n v="0"/>
    <n v="5354.45"/>
    <n v="627.76"/>
    <n v="2025"/>
    <s v="Jun"/>
    <x v="0"/>
    <n v="0.11724079970865355"/>
  </r>
  <r>
    <x v="249"/>
    <x v="135"/>
    <x v="12"/>
    <x v="1"/>
    <s v="Chennai"/>
    <x v="1"/>
    <x v="6"/>
    <x v="18"/>
    <n v="1"/>
    <n v="0.1"/>
    <n v="23859.7"/>
    <n v="1616.61"/>
    <n v="2025"/>
    <s v="Jun"/>
    <x v="0"/>
    <n v="6.7754833463958053E-2"/>
  </r>
  <r>
    <x v="250"/>
    <x v="136"/>
    <x v="24"/>
    <x v="0"/>
    <s v="Bhubaneswar"/>
    <x v="1"/>
    <x v="6"/>
    <x v="6"/>
    <n v="6"/>
    <n v="0.1"/>
    <n v="298918.32"/>
    <n v="54908.79"/>
    <n v="2025"/>
    <s v="Jun"/>
    <x v="0"/>
    <n v="0.18369161849966237"/>
  </r>
  <r>
    <x v="251"/>
    <x v="137"/>
    <x v="14"/>
    <x v="0"/>
    <s v="Bhubaneswar"/>
    <x v="1"/>
    <x v="1"/>
    <x v="22"/>
    <n v="5"/>
    <n v="0"/>
    <n v="157981.15"/>
    <n v="38452.99"/>
    <n v="2025"/>
    <s v="Jun"/>
    <x v="0"/>
    <n v="0.24340239326020857"/>
  </r>
  <r>
    <x v="252"/>
    <x v="138"/>
    <x v="20"/>
    <x v="0"/>
    <s v="Bhubaneswar"/>
    <x v="2"/>
    <x v="11"/>
    <x v="31"/>
    <n v="1"/>
    <n v="0"/>
    <n v="2247.08"/>
    <n v="483.84"/>
    <n v="2025"/>
    <s v="Jun"/>
    <x v="0"/>
    <n v="0.21531943678017693"/>
  </r>
  <r>
    <x v="253"/>
    <x v="139"/>
    <x v="11"/>
    <x v="3"/>
    <s v="Lucknow"/>
    <x v="1"/>
    <x v="6"/>
    <x v="6"/>
    <n v="2"/>
    <n v="0.2"/>
    <n v="46709.66"/>
    <n v="3222.99"/>
    <n v="2025"/>
    <s v="Jun"/>
    <x v="0"/>
    <n v="6.9000502251568507E-2"/>
  </r>
  <r>
    <x v="254"/>
    <x v="139"/>
    <x v="16"/>
    <x v="2"/>
    <s v="Nashik"/>
    <x v="2"/>
    <x v="10"/>
    <x v="26"/>
    <n v="7"/>
    <n v="0.1"/>
    <n v="4995.0600000000004"/>
    <n v="250.27"/>
    <n v="2025"/>
    <s v="Jun"/>
    <x v="0"/>
    <n v="5.0103502260233107E-2"/>
  </r>
  <r>
    <x v="255"/>
    <x v="139"/>
    <x v="8"/>
    <x v="2"/>
    <s v="Nashik"/>
    <x v="2"/>
    <x v="9"/>
    <x v="9"/>
    <n v="2"/>
    <n v="0.05"/>
    <n v="764.08"/>
    <n v="105.11"/>
    <n v="2025"/>
    <s v="Jun"/>
    <x v="2"/>
    <n v="0.13756412941053292"/>
  </r>
  <r>
    <x v="256"/>
    <x v="140"/>
    <x v="18"/>
    <x v="3"/>
    <s v="Jaipur"/>
    <x v="1"/>
    <x v="6"/>
    <x v="18"/>
    <n v="3"/>
    <n v="0.15"/>
    <n v="106699.23"/>
    <n v="11354.99"/>
    <n v="2025"/>
    <s v="Jul"/>
    <x v="0"/>
    <n v="0.10642054305359093"/>
  </r>
  <r>
    <x v="257"/>
    <x v="141"/>
    <x v="10"/>
    <x v="0"/>
    <s v="Patna"/>
    <x v="1"/>
    <x v="3"/>
    <x v="3"/>
    <n v="7"/>
    <n v="0.15"/>
    <n v="86829.33"/>
    <n v="3310.99"/>
    <n v="2025"/>
    <s v="Jul"/>
    <x v="0"/>
    <n v="3.8132161102705731E-2"/>
  </r>
  <r>
    <x v="258"/>
    <x v="142"/>
    <x v="5"/>
    <x v="1"/>
    <s v="Chennai"/>
    <x v="1"/>
    <x v="1"/>
    <x v="22"/>
    <n v="1"/>
    <n v="0.15"/>
    <n v="43952.86"/>
    <n v="8453.6"/>
    <n v="2025"/>
    <s v="Jul"/>
    <x v="0"/>
    <n v="0.19233333166487915"/>
  </r>
  <r>
    <x v="259"/>
    <x v="143"/>
    <x v="19"/>
    <x v="3"/>
    <s v="Jaipur"/>
    <x v="2"/>
    <x v="2"/>
    <x v="2"/>
    <n v="7"/>
    <n v="0.1"/>
    <n v="9419.9"/>
    <n v="1206.73"/>
    <n v="2025"/>
    <s v="Jul"/>
    <x v="0"/>
    <n v="0.12810433231775284"/>
  </r>
  <r>
    <x v="260"/>
    <x v="144"/>
    <x v="11"/>
    <x v="1"/>
    <s v="Mysuru"/>
    <x v="1"/>
    <x v="3"/>
    <x v="3"/>
    <n v="7"/>
    <n v="0.2"/>
    <n v="315890.96000000002"/>
    <n v="47484.94"/>
    <n v="2025"/>
    <s v="Jul"/>
    <x v="0"/>
    <n v="0.15032066761264709"/>
  </r>
  <r>
    <x v="261"/>
    <x v="144"/>
    <x v="22"/>
    <x v="1"/>
    <s v="Mysuru"/>
    <x v="0"/>
    <x v="0"/>
    <x v="24"/>
    <n v="6"/>
    <n v="0.2"/>
    <n v="28373.64"/>
    <n v="1564.78"/>
    <n v="2025"/>
    <s v="Jul"/>
    <x v="0"/>
    <n v="5.5149074986501553E-2"/>
  </r>
  <r>
    <x v="262"/>
    <x v="144"/>
    <x v="12"/>
    <x v="1"/>
    <s v="Mysuru"/>
    <x v="0"/>
    <x v="8"/>
    <x v="28"/>
    <n v="7"/>
    <n v="0.15"/>
    <n v="4018"/>
    <n v="630.01"/>
    <n v="2025"/>
    <s v="Jul"/>
    <x v="0"/>
    <n v="0.15679691388750622"/>
  </r>
  <r>
    <x v="263"/>
    <x v="145"/>
    <x v="24"/>
    <x v="3"/>
    <s v="Chandigarh"/>
    <x v="0"/>
    <x v="7"/>
    <x v="7"/>
    <n v="2"/>
    <n v="0.2"/>
    <n v="21944.36"/>
    <n v="1494.61"/>
    <n v="2025"/>
    <s v="Jul"/>
    <x v="0"/>
    <n v="6.8109072217189287E-2"/>
  </r>
  <r>
    <x v="264"/>
    <x v="145"/>
    <x v="12"/>
    <x v="2"/>
    <s v="Pune"/>
    <x v="1"/>
    <x v="6"/>
    <x v="11"/>
    <n v="2"/>
    <n v="0.1"/>
    <n v="88683.839999999997"/>
    <n v="9114.81"/>
    <n v="2025"/>
    <s v="Jul"/>
    <x v="0"/>
    <n v="0.10277870241072105"/>
  </r>
  <r>
    <x v="265"/>
    <x v="145"/>
    <x v="11"/>
    <x v="2"/>
    <s v="Mumbai"/>
    <x v="1"/>
    <x v="6"/>
    <x v="6"/>
    <n v="5"/>
    <n v="0.1"/>
    <n v="195841.95"/>
    <n v="34149.89"/>
    <n v="2025"/>
    <s v="Jul"/>
    <x v="0"/>
    <n v="0.17437474453251714"/>
  </r>
  <r>
    <x v="266"/>
    <x v="145"/>
    <x v="18"/>
    <x v="2"/>
    <s v="Mumbai"/>
    <x v="1"/>
    <x v="1"/>
    <x v="22"/>
    <n v="7"/>
    <n v="0.15"/>
    <n v="144315.99"/>
    <n v="17527.55"/>
    <n v="2025"/>
    <s v="Jul"/>
    <x v="0"/>
    <n v="0.12145258470665656"/>
  </r>
  <r>
    <x v="267"/>
    <x v="145"/>
    <x v="14"/>
    <x v="1"/>
    <s v="Bengaluru"/>
    <x v="2"/>
    <x v="10"/>
    <x v="12"/>
    <n v="7"/>
    <n v="0.2"/>
    <n v="17827.18"/>
    <n v="1657.95"/>
    <n v="2025"/>
    <s v="Jul"/>
    <x v="0"/>
    <n v="9.3001248655143434E-2"/>
  </r>
  <r>
    <x v="268"/>
    <x v="146"/>
    <x v="2"/>
    <x v="1"/>
    <s v="Hyderabad"/>
    <x v="0"/>
    <x v="0"/>
    <x v="0"/>
    <n v="4"/>
    <n v="0.1"/>
    <n v="44237.56"/>
    <n v="7703.04"/>
    <n v="2025"/>
    <s v="Jul"/>
    <x v="0"/>
    <n v="0.17412895286268049"/>
  </r>
  <r>
    <x v="269"/>
    <x v="146"/>
    <x v="16"/>
    <x v="0"/>
    <s v="Bhubaneswar"/>
    <x v="2"/>
    <x v="2"/>
    <x v="17"/>
    <n v="4"/>
    <n v="0.2"/>
    <n v="11356.04"/>
    <n v="1691.05"/>
    <n v="2025"/>
    <s v="Jul"/>
    <x v="0"/>
    <n v="0.14891194465676413"/>
  </r>
  <r>
    <x v="270"/>
    <x v="146"/>
    <x v="21"/>
    <x v="3"/>
    <s v="Chandigarh"/>
    <x v="2"/>
    <x v="9"/>
    <x v="20"/>
    <n v="7"/>
    <n v="0.1"/>
    <n v="15992.06"/>
    <n v="1968.18"/>
    <n v="2025"/>
    <s v="Jul"/>
    <x v="0"/>
    <n v="0.12307232464110315"/>
  </r>
  <r>
    <x v="271"/>
    <x v="146"/>
    <x v="7"/>
    <x v="2"/>
    <s v="Kolhapur"/>
    <x v="1"/>
    <x v="3"/>
    <x v="25"/>
    <n v="1"/>
    <n v="0.2"/>
    <n v="15540.12"/>
    <n v="1205.04"/>
    <n v="2025"/>
    <s v="Jul"/>
    <x v="0"/>
    <n v="7.7543802750557903E-2"/>
  </r>
  <r>
    <x v="272"/>
    <x v="147"/>
    <x v="20"/>
    <x v="1"/>
    <s v="Mysuru"/>
    <x v="2"/>
    <x v="10"/>
    <x v="10"/>
    <n v="5"/>
    <n v="0.05"/>
    <n v="10792.9"/>
    <n v="1312.96"/>
    <n v="2025"/>
    <s v="Jul"/>
    <x v="0"/>
    <n v="0.12165034420776623"/>
  </r>
  <r>
    <x v="273"/>
    <x v="148"/>
    <x v="9"/>
    <x v="0"/>
    <s v="Kolkata"/>
    <x v="2"/>
    <x v="2"/>
    <x v="17"/>
    <n v="5"/>
    <n v="0.05"/>
    <n v="22961.4"/>
    <n v="3002.11"/>
    <n v="2025"/>
    <s v="Jul"/>
    <x v="0"/>
    <n v="0.13074594754675237"/>
  </r>
  <r>
    <x v="274"/>
    <x v="148"/>
    <x v="15"/>
    <x v="3"/>
    <s v="Jaipur"/>
    <x v="1"/>
    <x v="3"/>
    <x v="25"/>
    <n v="3"/>
    <n v="0.05"/>
    <n v="67795.56"/>
    <n v="11722.97"/>
    <n v="2025"/>
    <s v="Jul"/>
    <x v="0"/>
    <n v="0.17291648597636777"/>
  </r>
  <r>
    <x v="275"/>
    <x v="148"/>
    <x v="21"/>
    <x v="2"/>
    <s v="Nashik"/>
    <x v="2"/>
    <x v="11"/>
    <x v="16"/>
    <n v="7"/>
    <n v="0.1"/>
    <n v="9908.7099999999991"/>
    <n v="731.4"/>
    <n v="2025"/>
    <s v="Jul"/>
    <x v="0"/>
    <n v="7.3813846605663105E-2"/>
  </r>
  <r>
    <x v="276"/>
    <x v="149"/>
    <x v="3"/>
    <x v="2"/>
    <s v="Kolhapur"/>
    <x v="2"/>
    <x v="10"/>
    <x v="26"/>
    <n v="2"/>
    <n v="0.15"/>
    <n v="5693.68"/>
    <n v="167.04"/>
    <n v="2025"/>
    <s v="Jul"/>
    <x v="0"/>
    <n v="2.9337792078234108E-2"/>
  </r>
  <r>
    <x v="277"/>
    <x v="150"/>
    <x v="15"/>
    <x v="2"/>
    <s v="Mumbai"/>
    <x v="2"/>
    <x v="9"/>
    <x v="9"/>
    <n v="3"/>
    <n v="0.2"/>
    <n v="7389.3"/>
    <n v="1281.73"/>
    <n v="2025"/>
    <s v="Jul"/>
    <x v="0"/>
    <n v="0.17345756702258672"/>
  </r>
  <r>
    <x v="278"/>
    <x v="151"/>
    <x v="7"/>
    <x v="3"/>
    <s v="Chandigarh"/>
    <x v="2"/>
    <x v="9"/>
    <x v="20"/>
    <n v="7"/>
    <n v="0.1"/>
    <n v="25201.4"/>
    <n v="4576.53"/>
    <n v="2025"/>
    <s v="Jul"/>
    <x v="0"/>
    <n v="0.18159824454196988"/>
  </r>
  <r>
    <x v="279"/>
    <x v="152"/>
    <x v="10"/>
    <x v="2"/>
    <s v="Kolhapur"/>
    <x v="0"/>
    <x v="0"/>
    <x v="0"/>
    <n v="1"/>
    <n v="0.1"/>
    <n v="6739.21"/>
    <n v="724.54"/>
    <n v="2025"/>
    <s v="Jul"/>
    <x v="0"/>
    <n v="0.10751111777196436"/>
  </r>
  <r>
    <x v="280"/>
    <x v="152"/>
    <x v="3"/>
    <x v="0"/>
    <s v="Ranchi"/>
    <x v="0"/>
    <x v="7"/>
    <x v="7"/>
    <n v="3"/>
    <n v="0.05"/>
    <n v="24530.73"/>
    <n v="4043.38"/>
    <n v="2025"/>
    <s v="Jul"/>
    <x v="0"/>
    <n v="0.1648291754872358"/>
  </r>
  <r>
    <x v="281"/>
    <x v="153"/>
    <x v="1"/>
    <x v="3"/>
    <s v="Chandigarh"/>
    <x v="1"/>
    <x v="6"/>
    <x v="6"/>
    <n v="3"/>
    <n v="0.05"/>
    <n v="32475.93"/>
    <n v="2548.91"/>
    <n v="2025"/>
    <s v="Jul"/>
    <x v="0"/>
    <n v="7.8486128033900801E-2"/>
  </r>
  <r>
    <x v="282"/>
    <x v="153"/>
    <x v="15"/>
    <x v="2"/>
    <s v="Kolhapur"/>
    <x v="0"/>
    <x v="7"/>
    <x v="7"/>
    <n v="6"/>
    <n v="0.2"/>
    <n v="66008.460000000006"/>
    <n v="8808.2000000000007"/>
    <n v="2025"/>
    <s v="Jul"/>
    <x v="0"/>
    <n v="0.13344047111536914"/>
  </r>
  <r>
    <x v="283"/>
    <x v="154"/>
    <x v="24"/>
    <x v="1"/>
    <s v="Hyderabad"/>
    <x v="2"/>
    <x v="2"/>
    <x v="17"/>
    <n v="2"/>
    <n v="0"/>
    <n v="3454.68"/>
    <n v="696.15"/>
    <n v="2025"/>
    <s v="Jul"/>
    <x v="0"/>
    <n v="0.20150925700788497"/>
  </r>
  <r>
    <x v="284"/>
    <x v="155"/>
    <x v="22"/>
    <x v="0"/>
    <s v="Bhubaneswar"/>
    <x v="2"/>
    <x v="11"/>
    <x v="16"/>
    <n v="7"/>
    <n v="0.2"/>
    <n v="33163.480000000003"/>
    <n v="2696.4"/>
    <n v="2025"/>
    <s v="Jul"/>
    <x v="0"/>
    <n v="8.1306304404724708E-2"/>
  </r>
  <r>
    <x v="285"/>
    <x v="156"/>
    <x v="0"/>
    <x v="2"/>
    <s v="Mumbai"/>
    <x v="1"/>
    <x v="5"/>
    <x v="19"/>
    <n v="2"/>
    <n v="0.1"/>
    <n v="49759.42"/>
    <n v="10593.96"/>
    <n v="2025"/>
    <s v="Jul"/>
    <x v="0"/>
    <n v="0.21290360699541916"/>
  </r>
  <r>
    <x v="286"/>
    <x v="156"/>
    <x v="16"/>
    <x v="1"/>
    <s v="Mysuru"/>
    <x v="0"/>
    <x v="0"/>
    <x v="24"/>
    <n v="6"/>
    <n v="0.1"/>
    <n v="12867.06"/>
    <n v="2632.76"/>
    <n v="2025"/>
    <s v="Jul"/>
    <x v="0"/>
    <n v="0.20461239785934007"/>
  </r>
  <r>
    <x v="287"/>
    <x v="157"/>
    <x v="13"/>
    <x v="0"/>
    <s v="Kolkata"/>
    <x v="1"/>
    <x v="6"/>
    <x v="18"/>
    <n v="7"/>
    <n v="0"/>
    <n v="183860.18"/>
    <n v="44471.68"/>
    <n v="2025"/>
    <s v="Jul"/>
    <x v="0"/>
    <n v="0.24187771381492176"/>
  </r>
  <r>
    <x v="288"/>
    <x v="157"/>
    <x v="10"/>
    <x v="2"/>
    <s v="Mumbai"/>
    <x v="0"/>
    <x v="8"/>
    <x v="8"/>
    <n v="2"/>
    <n v="0.2"/>
    <n v="23325.56"/>
    <n v="4115.16"/>
    <n v="2025"/>
    <s v="Jul"/>
    <x v="0"/>
    <n v="0.17642277398699108"/>
  </r>
  <r>
    <x v="289"/>
    <x v="157"/>
    <x v="24"/>
    <x v="2"/>
    <s v="Mumbai"/>
    <x v="2"/>
    <x v="9"/>
    <x v="9"/>
    <n v="4"/>
    <n v="0.1"/>
    <n v="531.52"/>
    <n v="60.93"/>
    <n v="2025"/>
    <s v="Jul"/>
    <x v="2"/>
    <n v="0.11463350391330523"/>
  </r>
  <r>
    <x v="290"/>
    <x v="158"/>
    <x v="21"/>
    <x v="0"/>
    <s v="Kolkata"/>
    <x v="1"/>
    <x v="1"/>
    <x v="1"/>
    <n v="3"/>
    <n v="0"/>
    <n v="35809.47"/>
    <n v="3157.83"/>
    <n v="2025"/>
    <s v="Jul"/>
    <x v="0"/>
    <n v="8.8184214957663432E-2"/>
  </r>
  <r>
    <x v="291"/>
    <x v="158"/>
    <x v="14"/>
    <x v="2"/>
    <s v="Pune"/>
    <x v="2"/>
    <x v="11"/>
    <x v="16"/>
    <n v="5"/>
    <n v="0.05"/>
    <n v="17032.25"/>
    <n v="1383.2"/>
    <n v="2025"/>
    <s v="Jul"/>
    <x v="0"/>
    <n v="8.1210644512615782E-2"/>
  </r>
  <r>
    <x v="292"/>
    <x v="158"/>
    <x v="0"/>
    <x v="2"/>
    <s v="Pune"/>
    <x v="2"/>
    <x v="9"/>
    <x v="9"/>
    <n v="3"/>
    <n v="0.1"/>
    <n v="8786.01"/>
    <n v="1731.34"/>
    <n v="2025"/>
    <s v="Jul"/>
    <x v="0"/>
    <n v="0.19705645679893374"/>
  </r>
  <r>
    <x v="293"/>
    <x v="158"/>
    <x v="7"/>
    <x v="1"/>
    <s v="Chennai"/>
    <x v="2"/>
    <x v="2"/>
    <x v="2"/>
    <n v="2"/>
    <n v="0.15"/>
    <n v="2943.8"/>
    <n v="183.58"/>
    <n v="2025"/>
    <s v="Jul"/>
    <x v="0"/>
    <n v="6.2361573476459001E-2"/>
  </r>
  <r>
    <x v="294"/>
    <x v="159"/>
    <x v="6"/>
    <x v="2"/>
    <s v="Nashik"/>
    <x v="1"/>
    <x v="1"/>
    <x v="23"/>
    <n v="2"/>
    <n v="0.05"/>
    <n v="40702.1"/>
    <n v="9221.8799999999992"/>
    <n v="2025"/>
    <s v="Jul"/>
    <x v="0"/>
    <n v="0.22657012783124211"/>
  </r>
  <r>
    <x v="295"/>
    <x v="160"/>
    <x v="3"/>
    <x v="0"/>
    <s v="Kolkata"/>
    <x v="1"/>
    <x v="3"/>
    <x v="3"/>
    <n v="5"/>
    <n v="0.15"/>
    <n v="54981.599999999999"/>
    <n v="8449.74"/>
    <n v="2025"/>
    <s v="Jul"/>
    <x v="0"/>
    <n v="0.15368305032956481"/>
  </r>
  <r>
    <x v="296"/>
    <x v="161"/>
    <x v="15"/>
    <x v="2"/>
    <s v="Mumbai"/>
    <x v="0"/>
    <x v="8"/>
    <x v="28"/>
    <n v="5"/>
    <n v="0.05"/>
    <n v="16052.3"/>
    <n v="3480.74"/>
    <n v="2025"/>
    <s v="Aug"/>
    <x v="0"/>
    <n v="0.2168374625443083"/>
  </r>
  <r>
    <x v="297"/>
    <x v="161"/>
    <x v="11"/>
    <x v="2"/>
    <s v="Nashik"/>
    <x v="2"/>
    <x v="10"/>
    <x v="12"/>
    <n v="2"/>
    <n v="0.15"/>
    <n v="8228.7000000000007"/>
    <n v="695.2"/>
    <n v="2025"/>
    <s v="Aug"/>
    <x v="0"/>
    <n v="8.4484791036251172E-2"/>
  </r>
  <r>
    <x v="298"/>
    <x v="162"/>
    <x v="2"/>
    <x v="3"/>
    <s v="Delhi"/>
    <x v="1"/>
    <x v="5"/>
    <x v="5"/>
    <n v="2"/>
    <n v="0.05"/>
    <n v="22465.22"/>
    <n v="2071.5500000000002"/>
    <n v="2025"/>
    <s v="Aug"/>
    <x v="0"/>
    <n v="9.221142726401077E-2"/>
  </r>
  <r>
    <x v="299"/>
    <x v="162"/>
    <x v="1"/>
    <x v="2"/>
    <s v="Kolhapur"/>
    <x v="2"/>
    <x v="10"/>
    <x v="26"/>
    <n v="1"/>
    <n v="0"/>
    <n v="1286.02"/>
    <n v="227.69"/>
    <n v="2025"/>
    <s v="Aug"/>
    <x v="0"/>
    <n v="0.17705012363726846"/>
  </r>
  <r>
    <x v="300"/>
    <x v="162"/>
    <x v="24"/>
    <x v="3"/>
    <s v="Chandigarh"/>
    <x v="1"/>
    <x v="3"/>
    <x v="3"/>
    <n v="7"/>
    <n v="0.05"/>
    <n v="161582.54"/>
    <n v="10624.8"/>
    <n v="2025"/>
    <s v="Aug"/>
    <x v="0"/>
    <n v="6.5754629182088603E-2"/>
  </r>
  <r>
    <x v="301"/>
    <x v="162"/>
    <x v="5"/>
    <x v="1"/>
    <s v="Chennai"/>
    <x v="0"/>
    <x v="0"/>
    <x v="0"/>
    <n v="4"/>
    <n v="0.2"/>
    <n v="13752.68"/>
    <n v="1192.5"/>
    <n v="2025"/>
    <s v="Aug"/>
    <x v="0"/>
    <n v="8.671037208747677E-2"/>
  </r>
  <r>
    <x v="302"/>
    <x v="163"/>
    <x v="10"/>
    <x v="0"/>
    <s v="Kolkata"/>
    <x v="1"/>
    <x v="6"/>
    <x v="6"/>
    <n v="7"/>
    <n v="0.05"/>
    <n v="305778.27"/>
    <n v="25062.47"/>
    <n v="2025"/>
    <s v="Aug"/>
    <x v="0"/>
    <n v="8.1962887683287633E-2"/>
  </r>
  <r>
    <x v="303"/>
    <x v="163"/>
    <x v="3"/>
    <x v="3"/>
    <s v="Chandigarh"/>
    <x v="0"/>
    <x v="7"/>
    <x v="30"/>
    <n v="5"/>
    <n v="0.15"/>
    <n v="40112.65"/>
    <n v="6917"/>
    <n v="2025"/>
    <s v="Aug"/>
    <x v="0"/>
    <n v="0.17243936763090945"/>
  </r>
  <r>
    <x v="304"/>
    <x v="164"/>
    <x v="8"/>
    <x v="0"/>
    <s v="Ranchi"/>
    <x v="0"/>
    <x v="4"/>
    <x v="29"/>
    <n v="4"/>
    <n v="0.1"/>
    <n v="10182.84"/>
    <n v="897.61"/>
    <n v="2025"/>
    <s v="Aug"/>
    <x v="0"/>
    <n v="8.8149278590255759E-2"/>
  </r>
  <r>
    <x v="305"/>
    <x v="164"/>
    <x v="8"/>
    <x v="1"/>
    <s v="Hyderabad"/>
    <x v="1"/>
    <x v="5"/>
    <x v="19"/>
    <n v="4"/>
    <n v="0.15"/>
    <n v="89488.28"/>
    <n v="17264.349999999999"/>
    <n v="2025"/>
    <s v="Aug"/>
    <x v="0"/>
    <n v="0.1929230285798319"/>
  </r>
  <r>
    <x v="306"/>
    <x v="165"/>
    <x v="23"/>
    <x v="1"/>
    <s v="Hyderabad"/>
    <x v="2"/>
    <x v="11"/>
    <x v="16"/>
    <n v="5"/>
    <n v="0"/>
    <n v="12100.05"/>
    <n v="1923.84"/>
    <n v="2025"/>
    <s v="Aug"/>
    <x v="0"/>
    <n v="0.15899438432072596"/>
  </r>
  <r>
    <x v="307"/>
    <x v="166"/>
    <x v="10"/>
    <x v="2"/>
    <s v="Mumbai"/>
    <x v="0"/>
    <x v="7"/>
    <x v="7"/>
    <n v="4"/>
    <n v="0.1"/>
    <n v="5405.96"/>
    <n v="431.97"/>
    <n v="2025"/>
    <s v="Aug"/>
    <x v="0"/>
    <n v="7.9906251618583932E-2"/>
  </r>
  <r>
    <x v="308"/>
    <x v="167"/>
    <x v="2"/>
    <x v="1"/>
    <s v="Bengaluru"/>
    <x v="1"/>
    <x v="6"/>
    <x v="11"/>
    <n v="7"/>
    <n v="0.2"/>
    <n v="339572.8"/>
    <n v="17254.38"/>
    <n v="2025"/>
    <s v="Aug"/>
    <x v="0"/>
    <n v="5.0812020279598372E-2"/>
  </r>
  <r>
    <x v="309"/>
    <x v="168"/>
    <x v="9"/>
    <x v="1"/>
    <s v="Bengaluru"/>
    <x v="0"/>
    <x v="8"/>
    <x v="8"/>
    <n v="5"/>
    <n v="0.1"/>
    <n v="43851.7"/>
    <n v="5160.26"/>
    <n v="2025"/>
    <s v="Aug"/>
    <x v="0"/>
    <n v="0.11767525546330018"/>
  </r>
  <r>
    <x v="310"/>
    <x v="169"/>
    <x v="23"/>
    <x v="3"/>
    <s v="Lucknow"/>
    <x v="0"/>
    <x v="0"/>
    <x v="14"/>
    <n v="6"/>
    <n v="0.2"/>
    <n v="40357.14"/>
    <n v="3682.16"/>
    <n v="2025"/>
    <s v="Aug"/>
    <x v="0"/>
    <n v="9.1239369291282776E-2"/>
  </r>
  <r>
    <x v="311"/>
    <x v="170"/>
    <x v="6"/>
    <x v="3"/>
    <s v="Lucknow"/>
    <x v="0"/>
    <x v="0"/>
    <x v="0"/>
    <n v="2"/>
    <n v="0"/>
    <n v="19618.86"/>
    <n v="3406.73"/>
    <n v="2025"/>
    <s v="Aug"/>
    <x v="0"/>
    <n v="0.17364566544641227"/>
  </r>
  <r>
    <x v="312"/>
    <x v="171"/>
    <x v="12"/>
    <x v="2"/>
    <s v="Pune"/>
    <x v="2"/>
    <x v="9"/>
    <x v="9"/>
    <n v="4"/>
    <n v="0.2"/>
    <n v="8186.84"/>
    <n v="833.23"/>
    <n v="2025"/>
    <s v="Aug"/>
    <x v="0"/>
    <n v="0.10177675391237645"/>
  </r>
  <r>
    <x v="313"/>
    <x v="171"/>
    <x v="14"/>
    <x v="2"/>
    <s v="Kolhapur"/>
    <x v="2"/>
    <x v="2"/>
    <x v="2"/>
    <n v="4"/>
    <n v="0.1"/>
    <n v="15583.2"/>
    <n v="1191.8499999999999"/>
    <n v="2025"/>
    <s v="Aug"/>
    <x v="0"/>
    <n v="7.6483007341239279E-2"/>
  </r>
  <r>
    <x v="314"/>
    <x v="172"/>
    <x v="0"/>
    <x v="1"/>
    <s v="Chennai"/>
    <x v="1"/>
    <x v="1"/>
    <x v="1"/>
    <n v="1"/>
    <n v="0.2"/>
    <n v="1170.69"/>
    <n v="42.13"/>
    <n v="2025"/>
    <s v="Aug"/>
    <x v="0"/>
    <n v="3.5987323715074016E-2"/>
  </r>
  <r>
    <x v="315"/>
    <x v="172"/>
    <x v="9"/>
    <x v="2"/>
    <s v="Kolhapur"/>
    <x v="1"/>
    <x v="6"/>
    <x v="11"/>
    <n v="3"/>
    <n v="0"/>
    <n v="105042.69"/>
    <n v="17744.509999999998"/>
    <n v="2025"/>
    <s v="Aug"/>
    <x v="0"/>
    <n v="0.1689266525828689"/>
  </r>
  <r>
    <x v="316"/>
    <x v="173"/>
    <x v="13"/>
    <x v="1"/>
    <s v="Hyderabad"/>
    <x v="2"/>
    <x v="2"/>
    <x v="2"/>
    <n v="4"/>
    <n v="0.1"/>
    <n v="1939.72"/>
    <n v="282.77999999999997"/>
    <n v="2025"/>
    <s v="Aug"/>
    <x v="0"/>
    <n v="0.14578392757717606"/>
  </r>
  <r>
    <x v="317"/>
    <x v="173"/>
    <x v="20"/>
    <x v="3"/>
    <s v="Delhi"/>
    <x v="2"/>
    <x v="10"/>
    <x v="10"/>
    <n v="4"/>
    <n v="0"/>
    <n v="9316.4"/>
    <n v="1570.93"/>
    <n v="2025"/>
    <s v="Aug"/>
    <x v="0"/>
    <n v="0.16861985316216566"/>
  </r>
  <r>
    <x v="318"/>
    <x v="174"/>
    <x v="2"/>
    <x v="0"/>
    <s v="Patna"/>
    <x v="2"/>
    <x v="9"/>
    <x v="9"/>
    <n v="4"/>
    <n v="0.15"/>
    <n v="17316.84"/>
    <n v="1450.33"/>
    <n v="2025"/>
    <s v="Aug"/>
    <x v="0"/>
    <n v="8.3752578414999501E-2"/>
  </r>
  <r>
    <x v="319"/>
    <x v="174"/>
    <x v="24"/>
    <x v="0"/>
    <s v="Kolkata"/>
    <x v="1"/>
    <x v="3"/>
    <x v="3"/>
    <n v="7"/>
    <n v="0.2"/>
    <n v="278397.07"/>
    <n v="19549.09"/>
    <n v="2025"/>
    <s v="Aug"/>
    <x v="0"/>
    <n v="7.0220171498212969E-2"/>
  </r>
  <r>
    <x v="320"/>
    <x v="175"/>
    <x v="21"/>
    <x v="2"/>
    <s v="Mumbai"/>
    <x v="2"/>
    <x v="2"/>
    <x v="17"/>
    <n v="4"/>
    <n v="0.05"/>
    <n v="12889.16"/>
    <n v="1652.12"/>
    <n v="2025"/>
    <s v="Aug"/>
    <x v="0"/>
    <n v="0.12817902795837743"/>
  </r>
  <r>
    <x v="321"/>
    <x v="175"/>
    <x v="3"/>
    <x v="0"/>
    <s v="Bhubaneswar"/>
    <x v="1"/>
    <x v="3"/>
    <x v="3"/>
    <n v="1"/>
    <n v="0.2"/>
    <n v="31012.799999999999"/>
    <n v="2732.41"/>
    <n v="2025"/>
    <s v="Aug"/>
    <x v="0"/>
    <n v="8.8105878862921108E-2"/>
  </r>
  <r>
    <x v="322"/>
    <x v="175"/>
    <x v="10"/>
    <x v="1"/>
    <s v="Hyderabad"/>
    <x v="0"/>
    <x v="8"/>
    <x v="28"/>
    <n v="4"/>
    <n v="0"/>
    <n v="7203.04"/>
    <n v="1420.58"/>
    <n v="2025"/>
    <s v="Aug"/>
    <x v="0"/>
    <n v="0.1972195073191319"/>
  </r>
  <r>
    <x v="323"/>
    <x v="176"/>
    <x v="1"/>
    <x v="3"/>
    <s v="Lucknow"/>
    <x v="1"/>
    <x v="3"/>
    <x v="25"/>
    <n v="4"/>
    <n v="0.15"/>
    <n v="73045.36"/>
    <n v="13806.34"/>
    <n v="2025"/>
    <s v="Aug"/>
    <x v="0"/>
    <n v="0.18901049977712478"/>
  </r>
  <r>
    <x v="324"/>
    <x v="177"/>
    <x v="0"/>
    <x v="2"/>
    <s v="Mumbai"/>
    <x v="1"/>
    <x v="5"/>
    <x v="5"/>
    <n v="1"/>
    <n v="0.05"/>
    <n v="26618.91"/>
    <n v="1874.85"/>
    <n v="2025"/>
    <s v="Aug"/>
    <x v="0"/>
    <n v="7.0433011719863811E-2"/>
  </r>
  <r>
    <x v="325"/>
    <x v="178"/>
    <x v="21"/>
    <x v="3"/>
    <s v="Jaipur"/>
    <x v="0"/>
    <x v="8"/>
    <x v="8"/>
    <n v="1"/>
    <n v="0.2"/>
    <n v="11480.95"/>
    <n v="1308.74"/>
    <n v="2025"/>
    <s v="Aug"/>
    <x v="0"/>
    <n v="0.11399230899881978"/>
  </r>
  <r>
    <x v="326"/>
    <x v="178"/>
    <x v="21"/>
    <x v="3"/>
    <s v="Lucknow"/>
    <x v="2"/>
    <x v="11"/>
    <x v="16"/>
    <n v="7"/>
    <n v="0.1"/>
    <n v="13100.85"/>
    <n v="2773.41"/>
    <n v="2025"/>
    <s v="Aug"/>
    <x v="0"/>
    <n v="0.21169695096119714"/>
  </r>
  <r>
    <x v="327"/>
    <x v="179"/>
    <x v="14"/>
    <x v="3"/>
    <s v="Chandigarh"/>
    <x v="0"/>
    <x v="4"/>
    <x v="29"/>
    <n v="7"/>
    <n v="0.05"/>
    <n v="5953.01"/>
    <n v="824.85"/>
    <n v="2025"/>
    <s v="Aug"/>
    <x v="0"/>
    <n v="0.1385601569626122"/>
  </r>
  <r>
    <x v="328"/>
    <x v="180"/>
    <x v="9"/>
    <x v="3"/>
    <s v="Jaipur"/>
    <x v="1"/>
    <x v="6"/>
    <x v="18"/>
    <n v="7"/>
    <n v="0"/>
    <n v="334862.64"/>
    <n v="30174.53"/>
    <n v="2025"/>
    <s v="Aug"/>
    <x v="0"/>
    <n v="9.0110171740866635E-2"/>
  </r>
  <r>
    <x v="329"/>
    <x v="180"/>
    <x v="9"/>
    <x v="2"/>
    <s v="Pune"/>
    <x v="1"/>
    <x v="5"/>
    <x v="5"/>
    <n v="3"/>
    <n v="0.15"/>
    <n v="6703.32"/>
    <n v="662.03"/>
    <n v="2025"/>
    <s v="Aug"/>
    <x v="0"/>
    <n v="9.8761509222295818E-2"/>
  </r>
  <r>
    <x v="330"/>
    <x v="180"/>
    <x v="12"/>
    <x v="3"/>
    <s v="Delhi"/>
    <x v="2"/>
    <x v="2"/>
    <x v="2"/>
    <n v="1"/>
    <n v="0.2"/>
    <n v="2528.9499999999998"/>
    <n v="170.26"/>
    <n v="2025"/>
    <s v="Aug"/>
    <x v="0"/>
    <n v="6.7324383637478002E-2"/>
  </r>
  <r>
    <x v="331"/>
    <x v="181"/>
    <x v="20"/>
    <x v="0"/>
    <s v="Ranchi"/>
    <x v="1"/>
    <x v="1"/>
    <x v="22"/>
    <n v="5"/>
    <n v="0.15"/>
    <n v="180733.6"/>
    <n v="30201.25"/>
    <n v="2025"/>
    <s v="Aug"/>
    <x v="0"/>
    <n v="0.16710368188316949"/>
  </r>
  <r>
    <x v="332"/>
    <x v="182"/>
    <x v="3"/>
    <x v="1"/>
    <s v="Hyderabad"/>
    <x v="0"/>
    <x v="0"/>
    <x v="24"/>
    <n v="6"/>
    <n v="0"/>
    <n v="58253.1"/>
    <n v="9792.59"/>
    <n v="2025"/>
    <s v="Aug"/>
    <x v="0"/>
    <n v="0.1681041867299766"/>
  </r>
  <r>
    <x v="333"/>
    <x v="183"/>
    <x v="15"/>
    <x v="3"/>
    <s v="Jaipur"/>
    <x v="2"/>
    <x v="9"/>
    <x v="20"/>
    <n v="7"/>
    <n v="0.15"/>
    <n v="8768.5499999999993"/>
    <n v="1527.27"/>
    <n v="2025"/>
    <s v="Aug"/>
    <x v="0"/>
    <n v="0.17417588997040562"/>
  </r>
  <r>
    <x v="334"/>
    <x v="184"/>
    <x v="4"/>
    <x v="2"/>
    <s v="Kolhapur"/>
    <x v="2"/>
    <x v="9"/>
    <x v="9"/>
    <n v="4"/>
    <n v="0.2"/>
    <n v="18622.080000000002"/>
    <n v="1122.1199999999999"/>
    <n v="2025"/>
    <s v="Aug"/>
    <x v="0"/>
    <n v="6.0257500773275581E-2"/>
  </r>
  <r>
    <x v="335"/>
    <x v="184"/>
    <x v="1"/>
    <x v="0"/>
    <s v="Patna"/>
    <x v="1"/>
    <x v="1"/>
    <x v="22"/>
    <n v="7"/>
    <n v="0.2"/>
    <n v="167530.85999999999"/>
    <n v="6862.07"/>
    <n v="2025"/>
    <s v="Aug"/>
    <x v="0"/>
    <n v="4.0960035661489473E-2"/>
  </r>
  <r>
    <x v="336"/>
    <x v="185"/>
    <x v="7"/>
    <x v="0"/>
    <s v="Ranchi"/>
    <x v="2"/>
    <x v="9"/>
    <x v="9"/>
    <n v="7"/>
    <n v="0"/>
    <n v="25789.96"/>
    <n v="3435.7"/>
    <n v="2025"/>
    <s v="Sep"/>
    <x v="0"/>
    <n v="0.13321850828772128"/>
  </r>
  <r>
    <x v="337"/>
    <x v="186"/>
    <x v="3"/>
    <x v="1"/>
    <s v="Mysuru"/>
    <x v="2"/>
    <x v="9"/>
    <x v="20"/>
    <n v="4"/>
    <n v="0.15"/>
    <n v="10958.56"/>
    <n v="1788.64"/>
    <n v="2025"/>
    <s v="Sep"/>
    <x v="0"/>
    <n v="0.16321852506168696"/>
  </r>
  <r>
    <x v="338"/>
    <x v="187"/>
    <x v="9"/>
    <x v="3"/>
    <s v="Delhi"/>
    <x v="0"/>
    <x v="0"/>
    <x v="14"/>
    <n v="2"/>
    <n v="0.1"/>
    <n v="10739.84"/>
    <n v="2291.73"/>
    <n v="2025"/>
    <s v="Sep"/>
    <x v="0"/>
    <n v="0.21338586049699065"/>
  </r>
  <r>
    <x v="339"/>
    <x v="188"/>
    <x v="0"/>
    <x v="2"/>
    <s v="Pune"/>
    <x v="2"/>
    <x v="2"/>
    <x v="17"/>
    <n v="1"/>
    <n v="0.2"/>
    <n v="756.67"/>
    <n v="87.36"/>
    <n v="2025"/>
    <s v="Sep"/>
    <x v="2"/>
    <n v="0.11545323588882869"/>
  </r>
  <r>
    <x v="340"/>
    <x v="188"/>
    <x v="3"/>
    <x v="2"/>
    <s v="Mumbai"/>
    <x v="1"/>
    <x v="6"/>
    <x v="15"/>
    <n v="7"/>
    <n v="0.1"/>
    <n v="310607.43"/>
    <n v="50339.33"/>
    <n v="2025"/>
    <s v="Sep"/>
    <x v="0"/>
    <n v="0.16206737230979956"/>
  </r>
  <r>
    <x v="341"/>
    <x v="188"/>
    <x v="1"/>
    <x v="3"/>
    <s v="Delhi"/>
    <x v="1"/>
    <x v="6"/>
    <x v="11"/>
    <n v="6"/>
    <n v="0.15"/>
    <n v="56869.440000000002"/>
    <n v="5614"/>
    <n v="2025"/>
    <s v="Sep"/>
    <x v="0"/>
    <n v="9.8717342741549766E-2"/>
  </r>
  <r>
    <x v="342"/>
    <x v="189"/>
    <x v="9"/>
    <x v="3"/>
    <s v="Jaipur"/>
    <x v="1"/>
    <x v="6"/>
    <x v="11"/>
    <n v="3"/>
    <n v="0.1"/>
    <n v="107365.68"/>
    <n v="11195.36"/>
    <n v="2025"/>
    <s v="Sep"/>
    <x v="0"/>
    <n v="0.1042731718366614"/>
  </r>
  <r>
    <x v="343"/>
    <x v="189"/>
    <x v="23"/>
    <x v="3"/>
    <s v="Lucknow"/>
    <x v="2"/>
    <x v="9"/>
    <x v="9"/>
    <n v="2"/>
    <n v="0.15"/>
    <n v="9825.24"/>
    <n v="1154.8599999999999"/>
    <n v="2025"/>
    <s v="Sep"/>
    <x v="0"/>
    <n v="0.1175401313352142"/>
  </r>
  <r>
    <x v="344"/>
    <x v="189"/>
    <x v="14"/>
    <x v="0"/>
    <s v="Ranchi"/>
    <x v="1"/>
    <x v="1"/>
    <x v="22"/>
    <n v="3"/>
    <n v="0"/>
    <n v="100829.52"/>
    <n v="9977.7900000000009"/>
    <n v="2025"/>
    <s v="Sep"/>
    <x v="0"/>
    <n v="9.8957031631212763E-2"/>
  </r>
  <r>
    <x v="345"/>
    <x v="190"/>
    <x v="11"/>
    <x v="0"/>
    <s v="Kolkata"/>
    <x v="1"/>
    <x v="6"/>
    <x v="11"/>
    <n v="2"/>
    <n v="0.1"/>
    <n v="60577.9"/>
    <n v="5504.68"/>
    <n v="2025"/>
    <s v="Sep"/>
    <x v="0"/>
    <n v="9.0869442486451332E-2"/>
  </r>
  <r>
    <x v="346"/>
    <x v="191"/>
    <x v="18"/>
    <x v="3"/>
    <s v="Jaipur"/>
    <x v="2"/>
    <x v="11"/>
    <x v="16"/>
    <n v="7"/>
    <n v="0.05"/>
    <n v="2086.84"/>
    <n v="139.44999999999999"/>
    <n v="2025"/>
    <s v="Sep"/>
    <x v="0"/>
    <n v="6.6823522646681094E-2"/>
  </r>
  <r>
    <x v="347"/>
    <x v="191"/>
    <x v="7"/>
    <x v="0"/>
    <s v="Kolkata"/>
    <x v="1"/>
    <x v="6"/>
    <x v="11"/>
    <n v="6"/>
    <n v="0.2"/>
    <n v="104952.9"/>
    <n v="4235.12"/>
    <n v="2025"/>
    <s v="Sep"/>
    <x v="0"/>
    <n v="4.0352577203678984E-2"/>
  </r>
  <r>
    <x v="348"/>
    <x v="192"/>
    <x v="17"/>
    <x v="1"/>
    <s v="Mysuru"/>
    <x v="0"/>
    <x v="8"/>
    <x v="8"/>
    <n v="3"/>
    <n v="0.1"/>
    <n v="35961.81"/>
    <n v="7325.68"/>
    <n v="2025"/>
    <s v="Sep"/>
    <x v="0"/>
    <n v="0.20370721051026078"/>
  </r>
  <r>
    <x v="349"/>
    <x v="193"/>
    <x v="18"/>
    <x v="2"/>
    <s v="Pune"/>
    <x v="2"/>
    <x v="2"/>
    <x v="2"/>
    <n v="5"/>
    <n v="0.15"/>
    <n v="24628.6"/>
    <n v="1199.23"/>
    <n v="2025"/>
    <s v="Sep"/>
    <x v="0"/>
    <n v="4.8692576922764595E-2"/>
  </r>
  <r>
    <x v="350"/>
    <x v="194"/>
    <x v="14"/>
    <x v="2"/>
    <s v="Mumbai"/>
    <x v="0"/>
    <x v="4"/>
    <x v="29"/>
    <n v="3"/>
    <n v="0.05"/>
    <n v="25838.400000000001"/>
    <n v="3808.67"/>
    <n v="2025"/>
    <s v="Sep"/>
    <x v="0"/>
    <n v="0.14740347699547959"/>
  </r>
  <r>
    <x v="351"/>
    <x v="194"/>
    <x v="3"/>
    <x v="1"/>
    <s v="Bengaluru"/>
    <x v="1"/>
    <x v="5"/>
    <x v="5"/>
    <n v="7"/>
    <n v="0.1"/>
    <n v="245007.77"/>
    <n v="29465.1"/>
    <n v="2025"/>
    <s v="Sep"/>
    <x v="0"/>
    <n v="0.12026190026544872"/>
  </r>
  <r>
    <x v="352"/>
    <x v="194"/>
    <x v="10"/>
    <x v="0"/>
    <s v="Kolkata"/>
    <x v="1"/>
    <x v="1"/>
    <x v="23"/>
    <n v="4"/>
    <n v="0.1"/>
    <n v="118480.64"/>
    <n v="21464.12"/>
    <n v="2025"/>
    <s v="Sep"/>
    <x v="0"/>
    <n v="0.1811614116871752"/>
  </r>
  <r>
    <x v="353"/>
    <x v="195"/>
    <x v="9"/>
    <x v="3"/>
    <s v="Lucknow"/>
    <x v="1"/>
    <x v="3"/>
    <x v="25"/>
    <n v="7"/>
    <n v="0.2"/>
    <n v="84431.27"/>
    <n v="9674.75"/>
    <n v="2025"/>
    <s v="Sep"/>
    <x v="0"/>
    <n v="0.11458728501892722"/>
  </r>
  <r>
    <x v="354"/>
    <x v="195"/>
    <x v="4"/>
    <x v="0"/>
    <s v="Bhubaneswar"/>
    <x v="1"/>
    <x v="5"/>
    <x v="19"/>
    <n v="5"/>
    <n v="0.05"/>
    <n v="242517.8"/>
    <n v="33699.839999999997"/>
    <n v="2025"/>
    <s v="Sep"/>
    <x v="0"/>
    <n v="0.13895821255182092"/>
  </r>
  <r>
    <x v="355"/>
    <x v="195"/>
    <x v="17"/>
    <x v="0"/>
    <s v="Patna"/>
    <x v="1"/>
    <x v="5"/>
    <x v="19"/>
    <n v="3"/>
    <n v="0.1"/>
    <n v="53885.91"/>
    <n v="8215.19"/>
    <n v="2025"/>
    <s v="Sep"/>
    <x v="0"/>
    <n v="0.15245525221713802"/>
  </r>
  <r>
    <x v="356"/>
    <x v="196"/>
    <x v="22"/>
    <x v="3"/>
    <s v="Chandigarh"/>
    <x v="1"/>
    <x v="6"/>
    <x v="6"/>
    <n v="5"/>
    <n v="0.2"/>
    <n v="75154.2"/>
    <n v="11425.82"/>
    <n v="2025"/>
    <s v="Sep"/>
    <x v="0"/>
    <n v="0.1520316895130279"/>
  </r>
  <r>
    <x v="357"/>
    <x v="196"/>
    <x v="12"/>
    <x v="0"/>
    <s v="Ranchi"/>
    <x v="2"/>
    <x v="9"/>
    <x v="20"/>
    <n v="4"/>
    <n v="0.1"/>
    <n v="8462.52"/>
    <n v="1297.8399999999999"/>
    <n v="2025"/>
    <s v="Sep"/>
    <x v="0"/>
    <n v="0.153363300766202"/>
  </r>
  <r>
    <x v="358"/>
    <x v="196"/>
    <x v="3"/>
    <x v="1"/>
    <s v="Bengaluru"/>
    <x v="0"/>
    <x v="0"/>
    <x v="24"/>
    <n v="6"/>
    <n v="0.2"/>
    <n v="15604.38"/>
    <n v="1685.28"/>
    <n v="2025"/>
    <s v="Sep"/>
    <x v="0"/>
    <n v="0.10800044602861504"/>
  </r>
  <r>
    <x v="359"/>
    <x v="197"/>
    <x v="4"/>
    <x v="1"/>
    <s v="Mysuru"/>
    <x v="2"/>
    <x v="10"/>
    <x v="10"/>
    <n v="1"/>
    <n v="0.2"/>
    <n v="1930.2"/>
    <n v="227.06"/>
    <n v="2025"/>
    <s v="Sep"/>
    <x v="0"/>
    <n v="0.11763547818878872"/>
  </r>
  <r>
    <x v="360"/>
    <x v="197"/>
    <x v="6"/>
    <x v="2"/>
    <s v="Kolhapur"/>
    <x v="2"/>
    <x v="2"/>
    <x v="2"/>
    <n v="2"/>
    <n v="0"/>
    <n v="8037.86"/>
    <n v="1418.22"/>
    <n v="2025"/>
    <s v="Sep"/>
    <x v="0"/>
    <n v="0.17644248593531114"/>
  </r>
  <r>
    <x v="361"/>
    <x v="198"/>
    <x v="22"/>
    <x v="0"/>
    <s v="Ranchi"/>
    <x v="1"/>
    <x v="6"/>
    <x v="11"/>
    <n v="3"/>
    <n v="0.15"/>
    <n v="136615.67999999999"/>
    <n v="7989.3"/>
    <n v="2025"/>
    <s v="Sep"/>
    <x v="0"/>
    <n v="5.8480110043005316E-2"/>
  </r>
  <r>
    <x v="362"/>
    <x v="198"/>
    <x v="22"/>
    <x v="1"/>
    <s v="Bengaluru"/>
    <x v="1"/>
    <x v="6"/>
    <x v="15"/>
    <n v="7"/>
    <n v="0.15"/>
    <n v="272823.95"/>
    <n v="23620.06"/>
    <n v="2025"/>
    <s v="Sep"/>
    <x v="0"/>
    <n v="8.6576196847820724E-2"/>
  </r>
  <r>
    <x v="363"/>
    <x v="199"/>
    <x v="3"/>
    <x v="0"/>
    <s v="Bhubaneswar"/>
    <x v="1"/>
    <x v="5"/>
    <x v="19"/>
    <n v="5"/>
    <n v="0.05"/>
    <n v="216380.1"/>
    <n v="31150.28"/>
    <n v="2025"/>
    <s v="Sep"/>
    <x v="0"/>
    <n v="0.14396092801509935"/>
  </r>
  <r>
    <x v="364"/>
    <x v="200"/>
    <x v="21"/>
    <x v="1"/>
    <s v="Bengaluru"/>
    <x v="0"/>
    <x v="4"/>
    <x v="4"/>
    <n v="7"/>
    <n v="0.1"/>
    <n v="20653.36"/>
    <n v="4029.66"/>
    <n v="2025"/>
    <s v="Sep"/>
    <x v="0"/>
    <n v="0.19510917351946608"/>
  </r>
  <r>
    <x v="365"/>
    <x v="201"/>
    <x v="7"/>
    <x v="2"/>
    <s v="Kolhapur"/>
    <x v="2"/>
    <x v="11"/>
    <x v="31"/>
    <n v="3"/>
    <n v="0"/>
    <n v="5528.4"/>
    <n v="1120.3900000000001"/>
    <n v="2025"/>
    <s v="Sep"/>
    <x v="0"/>
    <n v="0.20266080601982495"/>
  </r>
  <r>
    <x v="366"/>
    <x v="202"/>
    <x v="7"/>
    <x v="0"/>
    <s v="Kolkata"/>
    <x v="1"/>
    <x v="6"/>
    <x v="18"/>
    <n v="6"/>
    <n v="0.1"/>
    <n v="207218.82"/>
    <n v="31836.16"/>
    <n v="2025"/>
    <s v="Sep"/>
    <x v="0"/>
    <n v="0.15363546612223736"/>
  </r>
  <r>
    <x v="367"/>
    <x v="203"/>
    <x v="24"/>
    <x v="1"/>
    <s v="Chennai"/>
    <x v="0"/>
    <x v="7"/>
    <x v="7"/>
    <n v="2"/>
    <n v="0.15"/>
    <n v="4029.76"/>
    <n v="671.05"/>
    <n v="2025"/>
    <s v="Sep"/>
    <x v="0"/>
    <n v="0.16652356467878979"/>
  </r>
  <r>
    <x v="368"/>
    <x v="203"/>
    <x v="14"/>
    <x v="2"/>
    <s v="Pune"/>
    <x v="2"/>
    <x v="10"/>
    <x v="10"/>
    <n v="6"/>
    <n v="0.1"/>
    <n v="11954.64"/>
    <n v="914.69"/>
    <n v="2025"/>
    <s v="Sep"/>
    <x v="0"/>
    <n v="7.6513387270549349E-2"/>
  </r>
  <r>
    <x v="369"/>
    <x v="204"/>
    <x v="11"/>
    <x v="1"/>
    <s v="Mysuru"/>
    <x v="0"/>
    <x v="4"/>
    <x v="4"/>
    <n v="2"/>
    <n v="0.05"/>
    <n v="7254.84"/>
    <n v="1495.33"/>
    <n v="2025"/>
    <s v="Sep"/>
    <x v="0"/>
    <n v="0.20611481438598231"/>
  </r>
  <r>
    <x v="370"/>
    <x v="205"/>
    <x v="7"/>
    <x v="1"/>
    <s v="Hyderabad"/>
    <x v="2"/>
    <x v="9"/>
    <x v="20"/>
    <n v="6"/>
    <n v="0"/>
    <n v="6361.92"/>
    <n v="1548.49"/>
    <n v="2025"/>
    <s v="Sep"/>
    <x v="0"/>
    <n v="0.243399791257985"/>
  </r>
  <r>
    <x v="371"/>
    <x v="205"/>
    <x v="3"/>
    <x v="1"/>
    <s v="Mysuru"/>
    <x v="1"/>
    <x v="6"/>
    <x v="11"/>
    <n v="5"/>
    <n v="0.1"/>
    <n v="117160.6"/>
    <n v="21919.62"/>
    <n v="2025"/>
    <s v="Sep"/>
    <x v="0"/>
    <n v="0.1870903699707922"/>
  </r>
  <r>
    <x v="372"/>
    <x v="205"/>
    <x v="4"/>
    <x v="1"/>
    <s v="Hyderabad"/>
    <x v="0"/>
    <x v="8"/>
    <x v="13"/>
    <n v="3"/>
    <n v="0"/>
    <n v="5883.6"/>
    <n v="1298.73"/>
    <n v="2025"/>
    <s v="Sep"/>
    <x v="0"/>
    <n v="0.22073730369161737"/>
  </r>
  <r>
    <x v="373"/>
    <x v="206"/>
    <x v="6"/>
    <x v="1"/>
    <s v="Hyderabad"/>
    <x v="2"/>
    <x v="10"/>
    <x v="12"/>
    <n v="6"/>
    <n v="0.2"/>
    <n v="5283.54"/>
    <n v="85.31"/>
    <n v="2025"/>
    <s v="Sep"/>
    <x v="0"/>
    <n v="1.6146371561490971E-2"/>
  </r>
  <r>
    <x v="374"/>
    <x v="207"/>
    <x v="11"/>
    <x v="2"/>
    <s v="Mumbai"/>
    <x v="0"/>
    <x v="0"/>
    <x v="14"/>
    <n v="2"/>
    <n v="0.1"/>
    <n v="6452.94"/>
    <n v="334.33"/>
    <n v="2025"/>
    <s v="Sep"/>
    <x v="0"/>
    <n v="5.181049258167595E-2"/>
  </r>
  <r>
    <x v="375"/>
    <x v="207"/>
    <x v="10"/>
    <x v="2"/>
    <s v="Nashik"/>
    <x v="2"/>
    <x v="11"/>
    <x v="16"/>
    <n v="6"/>
    <n v="0"/>
    <n v="15198.9"/>
    <n v="2042.86"/>
    <n v="2025"/>
    <s v="Sep"/>
    <x v="0"/>
    <n v="0.13440841113501634"/>
  </r>
  <r>
    <x v="376"/>
    <x v="207"/>
    <x v="9"/>
    <x v="2"/>
    <s v="Mumbai"/>
    <x v="2"/>
    <x v="10"/>
    <x v="26"/>
    <n v="7"/>
    <n v="0"/>
    <n v="33078.57"/>
    <n v="3238.79"/>
    <n v="2025"/>
    <s v="Sep"/>
    <x v="0"/>
    <n v="9.7912031868366736E-2"/>
  </r>
  <r>
    <x v="377"/>
    <x v="208"/>
    <x v="24"/>
    <x v="3"/>
    <s v="Chandigarh"/>
    <x v="1"/>
    <x v="3"/>
    <x v="25"/>
    <n v="6"/>
    <n v="0.1"/>
    <n v="292531.38"/>
    <n v="47725.59"/>
    <n v="2025"/>
    <s v="Oct"/>
    <x v="0"/>
    <n v="0.16314690752151101"/>
  </r>
  <r>
    <x v="378"/>
    <x v="209"/>
    <x v="2"/>
    <x v="1"/>
    <s v="Mysuru"/>
    <x v="2"/>
    <x v="2"/>
    <x v="2"/>
    <n v="4"/>
    <n v="0"/>
    <n v="752.92"/>
    <n v="99.24"/>
    <n v="2025"/>
    <s v="Oct"/>
    <x v="2"/>
    <n v="0.13180683206715188"/>
  </r>
  <r>
    <x v="379"/>
    <x v="209"/>
    <x v="0"/>
    <x v="1"/>
    <s v="Bengaluru"/>
    <x v="0"/>
    <x v="4"/>
    <x v="29"/>
    <n v="1"/>
    <n v="0"/>
    <n v="1913.59"/>
    <n v="387.24"/>
    <n v="2025"/>
    <s v="Oct"/>
    <x v="0"/>
    <n v="0.20236309763324434"/>
  </r>
  <r>
    <x v="380"/>
    <x v="210"/>
    <x v="12"/>
    <x v="2"/>
    <s v="Kolhapur"/>
    <x v="2"/>
    <x v="9"/>
    <x v="20"/>
    <n v="6"/>
    <n v="0.2"/>
    <n v="6320.04"/>
    <n v="726.49"/>
    <n v="2025"/>
    <s v="Oct"/>
    <x v="0"/>
    <n v="0.11495022183403902"/>
  </r>
  <r>
    <x v="381"/>
    <x v="210"/>
    <x v="18"/>
    <x v="3"/>
    <s v="Jaipur"/>
    <x v="0"/>
    <x v="0"/>
    <x v="24"/>
    <n v="5"/>
    <n v="0.05"/>
    <n v="38202.25"/>
    <n v="5939.16"/>
    <n v="2025"/>
    <s v="Oct"/>
    <x v="0"/>
    <n v="0.15546623562748266"/>
  </r>
  <r>
    <x v="382"/>
    <x v="211"/>
    <x v="7"/>
    <x v="1"/>
    <s v="Chennai"/>
    <x v="0"/>
    <x v="0"/>
    <x v="14"/>
    <n v="5"/>
    <n v="0"/>
    <n v="37803.300000000003"/>
    <n v="3910.39"/>
    <n v="2025"/>
    <s v="Oct"/>
    <x v="0"/>
    <n v="0.10344044038483412"/>
  </r>
  <r>
    <x v="383"/>
    <x v="211"/>
    <x v="14"/>
    <x v="3"/>
    <s v="Lucknow"/>
    <x v="1"/>
    <x v="3"/>
    <x v="3"/>
    <n v="5"/>
    <n v="0.1"/>
    <n v="149225.54999999999"/>
    <n v="14263.46"/>
    <n v="2025"/>
    <s v="Oct"/>
    <x v="0"/>
    <n v="9.5583229547487006E-2"/>
  </r>
  <r>
    <x v="384"/>
    <x v="211"/>
    <x v="13"/>
    <x v="0"/>
    <s v="Bhubaneswar"/>
    <x v="2"/>
    <x v="9"/>
    <x v="20"/>
    <n v="7"/>
    <n v="0.15"/>
    <n v="11073.02"/>
    <n v="1466.37"/>
    <n v="2025"/>
    <s v="Oct"/>
    <x v="0"/>
    <n v="0.13242728722606839"/>
  </r>
  <r>
    <x v="385"/>
    <x v="212"/>
    <x v="2"/>
    <x v="3"/>
    <s v="Jaipur"/>
    <x v="0"/>
    <x v="0"/>
    <x v="24"/>
    <n v="4"/>
    <n v="0.05"/>
    <n v="20811.84"/>
    <n v="4538.78"/>
    <n v="2025"/>
    <s v="Oct"/>
    <x v="0"/>
    <n v="0.21808643541368758"/>
  </r>
  <r>
    <x v="386"/>
    <x v="213"/>
    <x v="10"/>
    <x v="0"/>
    <s v="Patna"/>
    <x v="2"/>
    <x v="2"/>
    <x v="17"/>
    <n v="2"/>
    <n v="0.1"/>
    <n v="5744.62"/>
    <n v="1132.1099999999999"/>
    <n v="2025"/>
    <s v="Oct"/>
    <x v="0"/>
    <n v="0.197073087514927"/>
  </r>
  <r>
    <x v="387"/>
    <x v="213"/>
    <x v="18"/>
    <x v="2"/>
    <s v="Nashik"/>
    <x v="2"/>
    <x v="9"/>
    <x v="9"/>
    <n v="3"/>
    <n v="0.05"/>
    <n v="9167.34"/>
    <n v="1984.17"/>
    <n v="2025"/>
    <s v="Oct"/>
    <x v="0"/>
    <n v="0.2164390106617623"/>
  </r>
  <r>
    <x v="388"/>
    <x v="213"/>
    <x v="0"/>
    <x v="2"/>
    <s v="Kolhapur"/>
    <x v="2"/>
    <x v="9"/>
    <x v="9"/>
    <n v="4"/>
    <n v="0.2"/>
    <n v="12297.88"/>
    <n v="417.6"/>
    <n v="2025"/>
    <s v="Oct"/>
    <x v="0"/>
    <n v="3.3957072275871941E-2"/>
  </r>
  <r>
    <x v="389"/>
    <x v="214"/>
    <x v="11"/>
    <x v="1"/>
    <s v="Chennai"/>
    <x v="2"/>
    <x v="9"/>
    <x v="20"/>
    <n v="4"/>
    <n v="0.15"/>
    <n v="11429.92"/>
    <n v="1233.81"/>
    <n v="2025"/>
    <s v="Oct"/>
    <x v="0"/>
    <n v="0.10794563741478505"/>
  </r>
  <r>
    <x v="390"/>
    <x v="214"/>
    <x v="15"/>
    <x v="3"/>
    <s v="Lucknow"/>
    <x v="1"/>
    <x v="6"/>
    <x v="11"/>
    <n v="7"/>
    <n v="0.05"/>
    <n v="60996.11"/>
    <n v="3909.02"/>
    <n v="2025"/>
    <s v="Oct"/>
    <x v="0"/>
    <n v="6.4086381902058995E-2"/>
  </r>
  <r>
    <x v="391"/>
    <x v="215"/>
    <x v="21"/>
    <x v="2"/>
    <s v="Pune"/>
    <x v="0"/>
    <x v="8"/>
    <x v="28"/>
    <n v="6"/>
    <n v="0.2"/>
    <n v="66168.72"/>
    <n v="8884.74"/>
    <n v="2025"/>
    <s v="Oct"/>
    <x v="0"/>
    <n v="0.13427401950649792"/>
  </r>
  <r>
    <x v="392"/>
    <x v="216"/>
    <x v="13"/>
    <x v="3"/>
    <s v="Jaipur"/>
    <x v="2"/>
    <x v="2"/>
    <x v="2"/>
    <n v="5"/>
    <n v="0.1"/>
    <n v="13076.5"/>
    <n v="1880.69"/>
    <n v="2025"/>
    <s v="Oct"/>
    <x v="0"/>
    <n v="0.14382212365694186"/>
  </r>
  <r>
    <x v="393"/>
    <x v="217"/>
    <x v="2"/>
    <x v="1"/>
    <s v="Chennai"/>
    <x v="1"/>
    <x v="6"/>
    <x v="6"/>
    <n v="2"/>
    <n v="0.1"/>
    <n v="37212.92"/>
    <n v="5462.03"/>
    <n v="2025"/>
    <s v="Oct"/>
    <x v="0"/>
    <n v="0.14677778577977757"/>
  </r>
  <r>
    <x v="394"/>
    <x v="217"/>
    <x v="13"/>
    <x v="1"/>
    <s v="Hyderabad"/>
    <x v="0"/>
    <x v="8"/>
    <x v="28"/>
    <n v="1"/>
    <n v="0.2"/>
    <n v="11541.56"/>
    <n v="1985.06"/>
    <n v="2025"/>
    <s v="Oct"/>
    <x v="0"/>
    <n v="0.17199234765490973"/>
  </r>
  <r>
    <x v="395"/>
    <x v="218"/>
    <x v="19"/>
    <x v="0"/>
    <s v="Patna"/>
    <x v="1"/>
    <x v="5"/>
    <x v="21"/>
    <n v="5"/>
    <n v="0.2"/>
    <n v="193284.45"/>
    <n v="25200.560000000001"/>
    <n v="2025"/>
    <s v="Oct"/>
    <x v="0"/>
    <n v="0.13038069022107054"/>
  </r>
  <r>
    <x v="396"/>
    <x v="219"/>
    <x v="1"/>
    <x v="0"/>
    <s v="Kolkata"/>
    <x v="0"/>
    <x v="8"/>
    <x v="28"/>
    <n v="5"/>
    <n v="0.05"/>
    <n v="47393.8"/>
    <n v="4668.21"/>
    <n v="2025"/>
    <s v="Oct"/>
    <x v="0"/>
    <n v="9.8498326785360107E-2"/>
  </r>
  <r>
    <x v="397"/>
    <x v="220"/>
    <x v="17"/>
    <x v="0"/>
    <s v="Bhubaneswar"/>
    <x v="1"/>
    <x v="1"/>
    <x v="22"/>
    <n v="3"/>
    <n v="0.15"/>
    <n v="130540.53"/>
    <n v="22465.88"/>
    <n v="2025"/>
    <s v="Oct"/>
    <x v="0"/>
    <n v="0.17209888760218761"/>
  </r>
  <r>
    <x v="398"/>
    <x v="220"/>
    <x v="9"/>
    <x v="1"/>
    <s v="Bengaluru"/>
    <x v="1"/>
    <x v="1"/>
    <x v="23"/>
    <n v="6"/>
    <n v="0.2"/>
    <n v="215591.7"/>
    <n v="34289.89"/>
    <n v="2025"/>
    <s v="Oct"/>
    <x v="0"/>
    <n v="0.15905013968534037"/>
  </r>
  <r>
    <x v="399"/>
    <x v="220"/>
    <x v="4"/>
    <x v="1"/>
    <s v="Hyderabad"/>
    <x v="1"/>
    <x v="1"/>
    <x v="23"/>
    <n v="1"/>
    <n v="0"/>
    <n v="24434.21"/>
    <n v="3519.64"/>
    <n v="2025"/>
    <s v="Oct"/>
    <x v="0"/>
    <n v="0.14404558199344281"/>
  </r>
  <r>
    <x v="400"/>
    <x v="221"/>
    <x v="11"/>
    <x v="1"/>
    <s v="Mysuru"/>
    <x v="1"/>
    <x v="3"/>
    <x v="25"/>
    <n v="4"/>
    <n v="0.15"/>
    <n v="87928.16"/>
    <n v="3087.36"/>
    <n v="2025"/>
    <s v="Oct"/>
    <x v="0"/>
    <n v="3.5112300769173377E-2"/>
  </r>
  <r>
    <x v="401"/>
    <x v="222"/>
    <x v="24"/>
    <x v="2"/>
    <s v="Pune"/>
    <x v="1"/>
    <x v="3"/>
    <x v="25"/>
    <n v="3"/>
    <n v="0.15"/>
    <n v="48986.61"/>
    <n v="1781.83"/>
    <n v="2025"/>
    <s v="Oct"/>
    <x v="0"/>
    <n v="3.637381725332698E-2"/>
  </r>
  <r>
    <x v="402"/>
    <x v="223"/>
    <x v="15"/>
    <x v="2"/>
    <s v="Kolhapur"/>
    <x v="0"/>
    <x v="4"/>
    <x v="4"/>
    <n v="3"/>
    <n v="0.1"/>
    <n v="21805.11"/>
    <n v="4331.22"/>
    <n v="2025"/>
    <s v="Oct"/>
    <x v="0"/>
    <n v="0.19863325614959063"/>
  </r>
  <r>
    <x v="403"/>
    <x v="223"/>
    <x v="9"/>
    <x v="2"/>
    <s v="Nashik"/>
    <x v="1"/>
    <x v="3"/>
    <x v="3"/>
    <n v="4"/>
    <n v="0.15"/>
    <n v="76220.44"/>
    <n v="8637.58"/>
    <n v="2025"/>
    <s v="Oct"/>
    <x v="0"/>
    <n v="0.11332367013362819"/>
  </r>
  <r>
    <x v="404"/>
    <x v="223"/>
    <x v="5"/>
    <x v="0"/>
    <s v="Bhubaneswar"/>
    <x v="2"/>
    <x v="11"/>
    <x v="31"/>
    <n v="2"/>
    <n v="0.1"/>
    <n v="585.55999999999995"/>
    <n v="71.36"/>
    <n v="2025"/>
    <s v="Oct"/>
    <x v="2"/>
    <n v="0.12186624769451466"/>
  </r>
  <r>
    <x v="405"/>
    <x v="223"/>
    <x v="0"/>
    <x v="1"/>
    <s v="Mysuru"/>
    <x v="0"/>
    <x v="7"/>
    <x v="30"/>
    <n v="1"/>
    <n v="0"/>
    <n v="10968.9"/>
    <n v="1081.6400000000001"/>
    <n v="2025"/>
    <s v="Oct"/>
    <x v="0"/>
    <n v="9.8609705622259305E-2"/>
  </r>
  <r>
    <x v="406"/>
    <x v="224"/>
    <x v="10"/>
    <x v="1"/>
    <s v="Bengaluru"/>
    <x v="0"/>
    <x v="7"/>
    <x v="30"/>
    <n v="7"/>
    <n v="0"/>
    <n v="50452.92"/>
    <n v="6955.59"/>
    <n v="2025"/>
    <s v="Oct"/>
    <x v="0"/>
    <n v="0.13786298196417571"/>
  </r>
  <r>
    <x v="407"/>
    <x v="224"/>
    <x v="22"/>
    <x v="1"/>
    <s v="Bengaluru"/>
    <x v="1"/>
    <x v="1"/>
    <x v="1"/>
    <n v="2"/>
    <n v="0.15"/>
    <n v="31114.3"/>
    <n v="4737.47"/>
    <n v="2025"/>
    <s v="Oct"/>
    <x v="0"/>
    <n v="0.1522602147565589"/>
  </r>
  <r>
    <x v="408"/>
    <x v="224"/>
    <x v="24"/>
    <x v="1"/>
    <s v="Chennai"/>
    <x v="0"/>
    <x v="8"/>
    <x v="13"/>
    <n v="2"/>
    <n v="0.1"/>
    <n v="15642.82"/>
    <n v="945.93"/>
    <n v="2025"/>
    <s v="Oct"/>
    <x v="0"/>
    <n v="6.047055454195599E-2"/>
  </r>
  <r>
    <x v="409"/>
    <x v="225"/>
    <x v="9"/>
    <x v="0"/>
    <s v="Patna"/>
    <x v="0"/>
    <x v="7"/>
    <x v="30"/>
    <n v="3"/>
    <n v="0.2"/>
    <n v="27804.42"/>
    <n v="4484.3"/>
    <n v="2025"/>
    <s v="Oct"/>
    <x v="0"/>
    <n v="0.16128011301800219"/>
  </r>
  <r>
    <x v="410"/>
    <x v="225"/>
    <x v="24"/>
    <x v="0"/>
    <s v="Bhubaneswar"/>
    <x v="1"/>
    <x v="5"/>
    <x v="21"/>
    <n v="3"/>
    <n v="0"/>
    <n v="66879.149999999994"/>
    <n v="5430.25"/>
    <n v="2025"/>
    <s v="Oct"/>
    <x v="0"/>
    <n v="8.1194961359407236E-2"/>
  </r>
  <r>
    <x v="411"/>
    <x v="226"/>
    <x v="10"/>
    <x v="0"/>
    <s v="Patna"/>
    <x v="0"/>
    <x v="7"/>
    <x v="7"/>
    <n v="4"/>
    <n v="0.1"/>
    <n v="42524.76"/>
    <n v="3440.65"/>
    <n v="2025"/>
    <s v="Oct"/>
    <x v="0"/>
    <n v="8.0909333762259908E-2"/>
  </r>
  <r>
    <x v="412"/>
    <x v="227"/>
    <x v="4"/>
    <x v="1"/>
    <s v="Hyderabad"/>
    <x v="1"/>
    <x v="3"/>
    <x v="25"/>
    <n v="7"/>
    <n v="0.05"/>
    <n v="106713.04"/>
    <n v="21366.01"/>
    <n v="2025"/>
    <s v="Oct"/>
    <x v="0"/>
    <n v="0.20021929841001623"/>
  </r>
  <r>
    <x v="413"/>
    <x v="228"/>
    <x v="14"/>
    <x v="2"/>
    <s v="Mumbai"/>
    <x v="1"/>
    <x v="3"/>
    <x v="25"/>
    <n v="7"/>
    <n v="0"/>
    <n v="193238.64"/>
    <n v="34527.78"/>
    <n v="2025"/>
    <s v="Oct"/>
    <x v="0"/>
    <n v="0.17867948149500532"/>
  </r>
  <r>
    <x v="414"/>
    <x v="229"/>
    <x v="5"/>
    <x v="0"/>
    <s v="Bhubaneswar"/>
    <x v="0"/>
    <x v="7"/>
    <x v="30"/>
    <n v="2"/>
    <n v="0.05"/>
    <n v="5642.62"/>
    <n v="533.34"/>
    <n v="2025"/>
    <s v="Oct"/>
    <x v="0"/>
    <n v="9.4519921596705081E-2"/>
  </r>
  <r>
    <x v="415"/>
    <x v="229"/>
    <x v="2"/>
    <x v="1"/>
    <s v="Hyderabad"/>
    <x v="1"/>
    <x v="5"/>
    <x v="19"/>
    <n v="2"/>
    <n v="0"/>
    <n v="80261.98"/>
    <n v="15805.46"/>
    <n v="2025"/>
    <s v="Oct"/>
    <x v="0"/>
    <n v="0.19692337517713868"/>
  </r>
  <r>
    <x v="416"/>
    <x v="230"/>
    <x v="13"/>
    <x v="1"/>
    <s v="Chennai"/>
    <x v="0"/>
    <x v="0"/>
    <x v="0"/>
    <n v="5"/>
    <n v="0.1"/>
    <n v="7930.45"/>
    <n v="810.6"/>
    <n v="2025"/>
    <s v="Oct"/>
    <x v="0"/>
    <n v="0.10221361965588334"/>
  </r>
  <r>
    <x v="417"/>
    <x v="231"/>
    <x v="6"/>
    <x v="2"/>
    <s v="Mumbai"/>
    <x v="2"/>
    <x v="9"/>
    <x v="9"/>
    <n v="6"/>
    <n v="0.1"/>
    <n v="28770.240000000002"/>
    <n v="4875.93"/>
    <n v="2025"/>
    <s v="Oct"/>
    <x v="0"/>
    <n v="0.16947825252761187"/>
  </r>
  <r>
    <x v="418"/>
    <x v="232"/>
    <x v="21"/>
    <x v="3"/>
    <s v="Chandigarh"/>
    <x v="2"/>
    <x v="11"/>
    <x v="31"/>
    <n v="3"/>
    <n v="0.05"/>
    <n v="531.41999999999996"/>
    <n v="97.01"/>
    <n v="2025"/>
    <s v="Oct"/>
    <x v="2"/>
    <n v="0.18254864325768697"/>
  </r>
  <r>
    <x v="419"/>
    <x v="232"/>
    <x v="15"/>
    <x v="2"/>
    <s v="Mumbai"/>
    <x v="1"/>
    <x v="3"/>
    <x v="25"/>
    <n v="7"/>
    <n v="0.1"/>
    <n v="189372.75"/>
    <n v="33145.94"/>
    <n v="2025"/>
    <s v="Oct"/>
    <x v="0"/>
    <n v="0.17503014557268667"/>
  </r>
  <r>
    <x v="420"/>
    <x v="233"/>
    <x v="10"/>
    <x v="3"/>
    <s v="Lucknow"/>
    <x v="1"/>
    <x v="3"/>
    <x v="25"/>
    <n v="3"/>
    <n v="0.05"/>
    <n v="35945.01"/>
    <n v="5833.89"/>
    <n v="2025"/>
    <s v="Nov"/>
    <x v="0"/>
    <n v="0.16230041388220506"/>
  </r>
  <r>
    <x v="421"/>
    <x v="234"/>
    <x v="17"/>
    <x v="3"/>
    <s v="Lucknow"/>
    <x v="1"/>
    <x v="3"/>
    <x v="3"/>
    <n v="7"/>
    <n v="0.15"/>
    <n v="109762.94"/>
    <n v="8351.1200000000008"/>
    <n v="2025"/>
    <s v="Nov"/>
    <x v="0"/>
    <n v="7.608323902402761E-2"/>
  </r>
  <r>
    <x v="422"/>
    <x v="235"/>
    <x v="7"/>
    <x v="0"/>
    <s v="Ranchi"/>
    <x v="0"/>
    <x v="0"/>
    <x v="14"/>
    <n v="7"/>
    <n v="0.05"/>
    <n v="40022.36"/>
    <n v="7679.25"/>
    <n v="2025"/>
    <s v="Nov"/>
    <x v="0"/>
    <n v="0.19187399243822703"/>
  </r>
  <r>
    <x v="423"/>
    <x v="235"/>
    <x v="7"/>
    <x v="3"/>
    <s v="Delhi"/>
    <x v="0"/>
    <x v="0"/>
    <x v="0"/>
    <n v="3"/>
    <n v="0.1"/>
    <n v="20228.310000000001"/>
    <n v="3068.84"/>
    <n v="2025"/>
    <s v="Nov"/>
    <x v="0"/>
    <n v="0.1517101527512679"/>
  </r>
  <r>
    <x v="424"/>
    <x v="235"/>
    <x v="13"/>
    <x v="2"/>
    <s v="Kolhapur"/>
    <x v="0"/>
    <x v="4"/>
    <x v="4"/>
    <n v="4"/>
    <n v="0.05"/>
    <n v="45173.440000000002"/>
    <n v="4219.66"/>
    <n v="2025"/>
    <s v="Nov"/>
    <x v="0"/>
    <n v="9.3410198559153335E-2"/>
  </r>
  <r>
    <x v="425"/>
    <x v="236"/>
    <x v="11"/>
    <x v="3"/>
    <s v="Lucknow"/>
    <x v="0"/>
    <x v="4"/>
    <x v="4"/>
    <n v="4"/>
    <n v="0.05"/>
    <n v="14781.24"/>
    <n v="3289.07"/>
    <n v="2025"/>
    <s v="Nov"/>
    <x v="0"/>
    <n v="0.22251651417607726"/>
  </r>
  <r>
    <x v="426"/>
    <x v="236"/>
    <x v="11"/>
    <x v="3"/>
    <s v="Jaipur"/>
    <x v="0"/>
    <x v="0"/>
    <x v="24"/>
    <n v="6"/>
    <n v="0.2"/>
    <n v="17886.12"/>
    <n v="2471.5700000000002"/>
    <n v="2025"/>
    <s v="Nov"/>
    <x v="0"/>
    <n v="0.13818368656813218"/>
  </r>
  <r>
    <x v="427"/>
    <x v="236"/>
    <x v="19"/>
    <x v="3"/>
    <s v="Lucknow"/>
    <x v="2"/>
    <x v="11"/>
    <x v="16"/>
    <n v="1"/>
    <n v="0"/>
    <n v="1709.07"/>
    <n v="243.2"/>
    <n v="2025"/>
    <s v="Nov"/>
    <x v="0"/>
    <n v="0.14229961323994922"/>
  </r>
  <r>
    <x v="428"/>
    <x v="237"/>
    <x v="17"/>
    <x v="0"/>
    <s v="Bhubaneswar"/>
    <x v="1"/>
    <x v="3"/>
    <x v="3"/>
    <n v="3"/>
    <n v="0.15"/>
    <n v="118454.34"/>
    <n v="20402.84"/>
    <n v="2025"/>
    <s v="Nov"/>
    <x v="0"/>
    <n v="0.17224223274554568"/>
  </r>
  <r>
    <x v="429"/>
    <x v="237"/>
    <x v="23"/>
    <x v="0"/>
    <s v="Kolkata"/>
    <x v="0"/>
    <x v="8"/>
    <x v="28"/>
    <n v="2"/>
    <n v="0"/>
    <n v="1299.04"/>
    <n v="149.83000000000001"/>
    <n v="2025"/>
    <s v="Nov"/>
    <x v="0"/>
    <n v="0.11533901958369258"/>
  </r>
  <r>
    <x v="430"/>
    <x v="238"/>
    <x v="9"/>
    <x v="2"/>
    <s v="Kolhapur"/>
    <x v="2"/>
    <x v="2"/>
    <x v="2"/>
    <n v="5"/>
    <n v="0.15"/>
    <n v="5259.7"/>
    <n v="937.41"/>
    <n v="2025"/>
    <s v="Nov"/>
    <x v="0"/>
    <n v="0.17822499382094037"/>
  </r>
  <r>
    <x v="431"/>
    <x v="238"/>
    <x v="10"/>
    <x v="3"/>
    <s v="Lucknow"/>
    <x v="0"/>
    <x v="0"/>
    <x v="24"/>
    <n v="2"/>
    <n v="0.2"/>
    <n v="19562.64"/>
    <n v="668.44"/>
    <n v="2025"/>
    <s v="Nov"/>
    <x v="0"/>
    <n v="3.4169212335349426E-2"/>
  </r>
  <r>
    <x v="432"/>
    <x v="239"/>
    <x v="20"/>
    <x v="0"/>
    <s v="Patna"/>
    <x v="1"/>
    <x v="6"/>
    <x v="6"/>
    <n v="3"/>
    <n v="0.05"/>
    <n v="90192.960000000006"/>
    <n v="19206.04"/>
    <n v="2025"/>
    <s v="Nov"/>
    <x v="0"/>
    <n v="0.21294389273841327"/>
  </r>
  <r>
    <x v="433"/>
    <x v="239"/>
    <x v="21"/>
    <x v="0"/>
    <s v="Ranchi"/>
    <x v="0"/>
    <x v="0"/>
    <x v="14"/>
    <n v="2"/>
    <n v="0.05"/>
    <n v="4334.2"/>
    <n v="411.76"/>
    <n v="2025"/>
    <s v="Nov"/>
    <x v="0"/>
    <n v="9.5002537953947669E-2"/>
  </r>
  <r>
    <x v="434"/>
    <x v="240"/>
    <x v="4"/>
    <x v="2"/>
    <s v="Mumbai"/>
    <x v="0"/>
    <x v="7"/>
    <x v="27"/>
    <n v="1"/>
    <n v="0"/>
    <n v="5144.12"/>
    <n v="633.58000000000004"/>
    <n v="2025"/>
    <s v="Nov"/>
    <x v="0"/>
    <n v="0.12316586704820262"/>
  </r>
  <r>
    <x v="435"/>
    <x v="241"/>
    <x v="0"/>
    <x v="2"/>
    <s v="Pune"/>
    <x v="0"/>
    <x v="0"/>
    <x v="14"/>
    <n v="7"/>
    <n v="0.2"/>
    <n v="3851.26"/>
    <n v="505.35"/>
    <n v="2025"/>
    <s v="Nov"/>
    <x v="0"/>
    <n v="0.13121679658085925"/>
  </r>
  <r>
    <x v="436"/>
    <x v="241"/>
    <x v="22"/>
    <x v="2"/>
    <s v="Pune"/>
    <x v="1"/>
    <x v="5"/>
    <x v="19"/>
    <n v="6"/>
    <n v="0"/>
    <n v="156774.06"/>
    <n v="30201.84"/>
    <n v="2025"/>
    <s v="Nov"/>
    <x v="0"/>
    <n v="0.19264564558703143"/>
  </r>
  <r>
    <x v="437"/>
    <x v="242"/>
    <x v="23"/>
    <x v="1"/>
    <s v="Bengaluru"/>
    <x v="1"/>
    <x v="3"/>
    <x v="25"/>
    <n v="3"/>
    <n v="0"/>
    <n v="86827.83"/>
    <n v="7589.85"/>
    <n v="2025"/>
    <s v="Nov"/>
    <x v="0"/>
    <n v="8.7412641776259986E-2"/>
  </r>
  <r>
    <x v="438"/>
    <x v="242"/>
    <x v="3"/>
    <x v="1"/>
    <s v="Hyderabad"/>
    <x v="0"/>
    <x v="0"/>
    <x v="0"/>
    <n v="3"/>
    <n v="0"/>
    <n v="2589.7199999999998"/>
    <n v="230.06"/>
    <n v="2025"/>
    <s v="Nov"/>
    <x v="0"/>
    <n v="8.8835858702871362E-2"/>
  </r>
  <r>
    <x v="439"/>
    <x v="243"/>
    <x v="11"/>
    <x v="3"/>
    <s v="Chandigarh"/>
    <x v="0"/>
    <x v="4"/>
    <x v="4"/>
    <n v="7"/>
    <n v="0.1"/>
    <n v="71306.27"/>
    <n v="9566.94"/>
    <n v="2025"/>
    <s v="Nov"/>
    <x v="0"/>
    <n v="0.13416688322078829"/>
  </r>
  <r>
    <x v="440"/>
    <x v="243"/>
    <x v="10"/>
    <x v="1"/>
    <s v="Mysuru"/>
    <x v="1"/>
    <x v="6"/>
    <x v="6"/>
    <n v="6"/>
    <n v="0.1"/>
    <n v="209184.36"/>
    <n v="42807.83"/>
    <n v="2025"/>
    <s v="Nov"/>
    <x v="0"/>
    <n v="0.20464163764442048"/>
  </r>
  <r>
    <x v="441"/>
    <x v="243"/>
    <x v="2"/>
    <x v="3"/>
    <s v="Delhi"/>
    <x v="0"/>
    <x v="8"/>
    <x v="8"/>
    <n v="1"/>
    <n v="0.15"/>
    <n v="7289.96"/>
    <n v="848.02"/>
    <n v="2025"/>
    <s v="Nov"/>
    <x v="0"/>
    <n v="0.1163271129059693"/>
  </r>
  <r>
    <x v="442"/>
    <x v="244"/>
    <x v="4"/>
    <x v="0"/>
    <s v="Ranchi"/>
    <x v="1"/>
    <x v="3"/>
    <x v="25"/>
    <n v="6"/>
    <n v="0.05"/>
    <n v="101013.18"/>
    <n v="20009.2"/>
    <n v="2025"/>
    <s v="Nov"/>
    <x v="0"/>
    <n v="0.19808504197175064"/>
  </r>
  <r>
    <x v="443"/>
    <x v="245"/>
    <x v="10"/>
    <x v="2"/>
    <s v="Kolhapur"/>
    <x v="1"/>
    <x v="6"/>
    <x v="18"/>
    <n v="7"/>
    <n v="0.15"/>
    <n v="321582.09999999998"/>
    <n v="38299.85"/>
    <n v="2025"/>
    <s v="Nov"/>
    <x v="0"/>
    <n v="0.11909820229421973"/>
  </r>
  <r>
    <x v="444"/>
    <x v="246"/>
    <x v="5"/>
    <x v="0"/>
    <s v="Kolkata"/>
    <x v="2"/>
    <x v="9"/>
    <x v="20"/>
    <n v="4"/>
    <n v="0"/>
    <n v="18380.96"/>
    <n v="3003.95"/>
    <n v="2025"/>
    <s v="Nov"/>
    <x v="0"/>
    <n v="0.16342726386434658"/>
  </r>
  <r>
    <x v="445"/>
    <x v="247"/>
    <x v="8"/>
    <x v="2"/>
    <s v="Pune"/>
    <x v="1"/>
    <x v="3"/>
    <x v="3"/>
    <n v="3"/>
    <n v="0.15"/>
    <n v="107616.06"/>
    <n v="8893.26"/>
    <n v="2025"/>
    <s v="Nov"/>
    <x v="0"/>
    <n v="8.2638780865978562E-2"/>
  </r>
  <r>
    <x v="446"/>
    <x v="247"/>
    <x v="5"/>
    <x v="2"/>
    <s v="Kolhapur"/>
    <x v="1"/>
    <x v="6"/>
    <x v="15"/>
    <n v="4"/>
    <n v="0.1"/>
    <n v="151639.35999999999"/>
    <n v="8311.2800000000007"/>
    <n v="2025"/>
    <s v="Nov"/>
    <x v="0"/>
    <n v="5.4809516473823164E-2"/>
  </r>
  <r>
    <x v="447"/>
    <x v="248"/>
    <x v="3"/>
    <x v="0"/>
    <s v="Kolkata"/>
    <x v="2"/>
    <x v="11"/>
    <x v="31"/>
    <n v="1"/>
    <n v="0"/>
    <n v="416.97"/>
    <n v="35.14"/>
    <n v="2025"/>
    <s v="Nov"/>
    <x v="1"/>
    <n v="8.4274648056215068E-2"/>
  </r>
  <r>
    <x v="448"/>
    <x v="249"/>
    <x v="10"/>
    <x v="0"/>
    <s v="Ranchi"/>
    <x v="1"/>
    <x v="6"/>
    <x v="15"/>
    <n v="3"/>
    <n v="0"/>
    <n v="32557.11"/>
    <n v="7870.52"/>
    <n v="2025"/>
    <s v="Nov"/>
    <x v="0"/>
    <n v="0.2417450443236516"/>
  </r>
  <r>
    <x v="449"/>
    <x v="250"/>
    <x v="11"/>
    <x v="3"/>
    <s v="Lucknow"/>
    <x v="2"/>
    <x v="9"/>
    <x v="9"/>
    <n v="4"/>
    <n v="0.15"/>
    <n v="15563.8"/>
    <n v="1402.59"/>
    <n v="2025"/>
    <s v="Nov"/>
    <x v="0"/>
    <n v="9.0118737069353236E-2"/>
  </r>
  <r>
    <x v="450"/>
    <x v="251"/>
    <x v="0"/>
    <x v="2"/>
    <s v="Mumbai"/>
    <x v="2"/>
    <x v="11"/>
    <x v="31"/>
    <n v="5"/>
    <n v="0.15"/>
    <n v="18957.75"/>
    <n v="790.45"/>
    <n v="2025"/>
    <s v="Nov"/>
    <x v="0"/>
    <n v="4.1695348867877256E-2"/>
  </r>
  <r>
    <x v="451"/>
    <x v="252"/>
    <x v="19"/>
    <x v="1"/>
    <s v="Mysuru"/>
    <x v="2"/>
    <x v="11"/>
    <x v="31"/>
    <n v="6"/>
    <n v="0.1"/>
    <n v="18971.28"/>
    <n v="3597.25"/>
    <n v="2025"/>
    <s v="Nov"/>
    <x v="0"/>
    <n v="0.18961556626648282"/>
  </r>
  <r>
    <x v="452"/>
    <x v="252"/>
    <x v="20"/>
    <x v="3"/>
    <s v="Lucknow"/>
    <x v="1"/>
    <x v="3"/>
    <x v="3"/>
    <n v="1"/>
    <n v="0.2"/>
    <n v="1773.95"/>
    <n v="110.25"/>
    <n v="2025"/>
    <s v="Nov"/>
    <x v="0"/>
    <n v="6.2149440514106938E-2"/>
  </r>
  <r>
    <x v="453"/>
    <x v="252"/>
    <x v="15"/>
    <x v="3"/>
    <s v="Jaipur"/>
    <x v="1"/>
    <x v="6"/>
    <x v="6"/>
    <n v="2"/>
    <n v="0.2"/>
    <n v="54008.08"/>
    <n v="2561.67"/>
    <n v="2025"/>
    <s v="Nov"/>
    <x v="0"/>
    <n v="4.7431236215025603E-2"/>
  </r>
  <r>
    <x v="454"/>
    <x v="253"/>
    <x v="9"/>
    <x v="1"/>
    <s v="Bengaluru"/>
    <x v="0"/>
    <x v="4"/>
    <x v="29"/>
    <n v="6"/>
    <n v="0.1"/>
    <n v="62348.76"/>
    <n v="12106.16"/>
    <n v="2025"/>
    <s v="Nov"/>
    <x v="0"/>
    <n v="0.19416841650098574"/>
  </r>
  <r>
    <x v="455"/>
    <x v="254"/>
    <x v="7"/>
    <x v="3"/>
    <s v="Delhi"/>
    <x v="1"/>
    <x v="6"/>
    <x v="18"/>
    <n v="7"/>
    <n v="0.2"/>
    <n v="265138.02"/>
    <n v="25193.19"/>
    <n v="2025"/>
    <s v="Nov"/>
    <x v="0"/>
    <n v="9.5019152666222656E-2"/>
  </r>
  <r>
    <x v="456"/>
    <x v="255"/>
    <x v="14"/>
    <x v="0"/>
    <s v="Ranchi"/>
    <x v="2"/>
    <x v="2"/>
    <x v="17"/>
    <n v="5"/>
    <n v="0.1"/>
    <n v="11206.4"/>
    <n v="839.77"/>
    <n v="2025"/>
    <s v="Nov"/>
    <x v="0"/>
    <n v="7.4936643346659046E-2"/>
  </r>
  <r>
    <x v="457"/>
    <x v="256"/>
    <x v="14"/>
    <x v="1"/>
    <s v="Bengaluru"/>
    <x v="1"/>
    <x v="6"/>
    <x v="11"/>
    <n v="3"/>
    <n v="0.05"/>
    <n v="10049.16"/>
    <n v="1404.12"/>
    <n v="2025"/>
    <s v="Nov"/>
    <x v="0"/>
    <n v="0.13972511135259066"/>
  </r>
  <r>
    <x v="458"/>
    <x v="257"/>
    <x v="12"/>
    <x v="3"/>
    <s v="Chandigarh"/>
    <x v="0"/>
    <x v="7"/>
    <x v="27"/>
    <n v="3"/>
    <n v="0.05"/>
    <n v="13031.4"/>
    <n v="1865.06"/>
    <n v="2025"/>
    <s v="Dec"/>
    <x v="0"/>
    <n v="0.14312046288196204"/>
  </r>
  <r>
    <x v="459"/>
    <x v="257"/>
    <x v="9"/>
    <x v="0"/>
    <s v="Bhubaneswar"/>
    <x v="0"/>
    <x v="7"/>
    <x v="7"/>
    <n v="1"/>
    <n v="0.1"/>
    <n v="1471.95"/>
    <n v="112.41"/>
    <n v="2025"/>
    <s v="Dec"/>
    <x v="0"/>
    <n v="7.6368083154998462E-2"/>
  </r>
  <r>
    <x v="460"/>
    <x v="257"/>
    <x v="10"/>
    <x v="1"/>
    <s v="Hyderabad"/>
    <x v="1"/>
    <x v="1"/>
    <x v="23"/>
    <n v="4"/>
    <n v="0.2"/>
    <n v="135263.67999999999"/>
    <n v="23130.82"/>
    <n v="2025"/>
    <s v="Dec"/>
    <x v="0"/>
    <n v="0.17100540218926472"/>
  </r>
  <r>
    <x v="461"/>
    <x v="258"/>
    <x v="13"/>
    <x v="0"/>
    <s v="Bhubaneswar"/>
    <x v="2"/>
    <x v="11"/>
    <x v="31"/>
    <n v="6"/>
    <n v="0.2"/>
    <n v="13783.68"/>
    <n v="663.35"/>
    <n v="2025"/>
    <s v="Dec"/>
    <x v="0"/>
    <n v="4.8125754515484981E-2"/>
  </r>
  <r>
    <x v="462"/>
    <x v="258"/>
    <x v="7"/>
    <x v="3"/>
    <s v="Chandigarh"/>
    <x v="2"/>
    <x v="10"/>
    <x v="26"/>
    <n v="1"/>
    <n v="0"/>
    <n v="3410.88"/>
    <n v="338.67"/>
    <n v="2025"/>
    <s v="Dec"/>
    <x v="0"/>
    <n v="9.929109203490008E-2"/>
  </r>
  <r>
    <x v="463"/>
    <x v="259"/>
    <x v="1"/>
    <x v="3"/>
    <s v="Jaipur"/>
    <x v="2"/>
    <x v="2"/>
    <x v="2"/>
    <n v="2"/>
    <n v="0.1"/>
    <n v="4164.78"/>
    <n v="196.88"/>
    <n v="2025"/>
    <s v="Dec"/>
    <x v="0"/>
    <n v="4.7272605035560106E-2"/>
  </r>
  <r>
    <x v="464"/>
    <x v="260"/>
    <x v="14"/>
    <x v="2"/>
    <s v="Pune"/>
    <x v="1"/>
    <x v="3"/>
    <x v="3"/>
    <n v="2"/>
    <n v="0"/>
    <n v="13613.46"/>
    <n v="1825.03"/>
    <n v="2025"/>
    <s v="Dec"/>
    <x v="0"/>
    <n v="0.13406070168788831"/>
  </r>
  <r>
    <x v="465"/>
    <x v="260"/>
    <x v="11"/>
    <x v="1"/>
    <s v="Mysuru"/>
    <x v="2"/>
    <x v="11"/>
    <x v="16"/>
    <n v="5"/>
    <n v="0.2"/>
    <n v="24510.799999999999"/>
    <n v="1692.72"/>
    <n v="2025"/>
    <s v="Dec"/>
    <x v="0"/>
    <n v="6.9060169394715806E-2"/>
  </r>
  <r>
    <x v="466"/>
    <x v="261"/>
    <x v="0"/>
    <x v="3"/>
    <s v="Jaipur"/>
    <x v="1"/>
    <x v="3"/>
    <x v="25"/>
    <n v="4"/>
    <n v="0.15"/>
    <n v="172707.72"/>
    <n v="17503.68"/>
    <n v="2025"/>
    <s v="Dec"/>
    <x v="0"/>
    <n v="0.10134856739467119"/>
  </r>
  <r>
    <x v="467"/>
    <x v="261"/>
    <x v="13"/>
    <x v="2"/>
    <s v="Nashik"/>
    <x v="0"/>
    <x v="8"/>
    <x v="8"/>
    <n v="3"/>
    <n v="0"/>
    <n v="9747.42"/>
    <n v="1286.07"/>
    <n v="2025"/>
    <s v="Dec"/>
    <x v="0"/>
    <n v="0.13193952861372546"/>
  </r>
  <r>
    <x v="468"/>
    <x v="261"/>
    <x v="21"/>
    <x v="3"/>
    <s v="Chandigarh"/>
    <x v="0"/>
    <x v="8"/>
    <x v="28"/>
    <n v="1"/>
    <n v="0.05"/>
    <n v="3012.86"/>
    <n v="338.62"/>
    <n v="2025"/>
    <s v="Dec"/>
    <x v="0"/>
    <n v="0.11239154822992106"/>
  </r>
  <r>
    <x v="469"/>
    <x v="262"/>
    <x v="1"/>
    <x v="3"/>
    <s v="Chandigarh"/>
    <x v="1"/>
    <x v="3"/>
    <x v="25"/>
    <n v="1"/>
    <n v="0.2"/>
    <n v="8428.0499999999993"/>
    <n v="1286.28"/>
    <n v="2025"/>
    <s v="Dec"/>
    <x v="0"/>
    <n v="0.15261893320518982"/>
  </r>
  <r>
    <x v="470"/>
    <x v="263"/>
    <x v="1"/>
    <x v="2"/>
    <s v="Pune"/>
    <x v="0"/>
    <x v="0"/>
    <x v="0"/>
    <n v="3"/>
    <n v="0.2"/>
    <n v="11930.49"/>
    <n v="514.04"/>
    <n v="2025"/>
    <s v="Dec"/>
    <x v="0"/>
    <n v="4.3086243733492922E-2"/>
  </r>
  <r>
    <x v="471"/>
    <x v="263"/>
    <x v="24"/>
    <x v="1"/>
    <s v="Chennai"/>
    <x v="1"/>
    <x v="6"/>
    <x v="15"/>
    <n v="6"/>
    <n v="0"/>
    <n v="100827.12"/>
    <n v="12399.55"/>
    <n v="2025"/>
    <s v="Dec"/>
    <x v="0"/>
    <n v="0.12297832170550939"/>
  </r>
  <r>
    <x v="472"/>
    <x v="264"/>
    <x v="12"/>
    <x v="1"/>
    <s v="Mysuru"/>
    <x v="0"/>
    <x v="0"/>
    <x v="0"/>
    <n v="3"/>
    <n v="0.15"/>
    <n v="5146.4399999999996"/>
    <n v="589.66999999999996"/>
    <n v="2025"/>
    <s v="Dec"/>
    <x v="0"/>
    <n v="0.11457823272009389"/>
  </r>
  <r>
    <x v="473"/>
    <x v="264"/>
    <x v="20"/>
    <x v="3"/>
    <s v="Delhi"/>
    <x v="0"/>
    <x v="4"/>
    <x v="29"/>
    <n v="4"/>
    <n v="0.1"/>
    <n v="15500.44"/>
    <n v="1221.48"/>
    <n v="2025"/>
    <s v="Dec"/>
    <x v="0"/>
    <n v="7.8802924304084268E-2"/>
  </r>
  <r>
    <x v="474"/>
    <x v="265"/>
    <x v="21"/>
    <x v="3"/>
    <s v="Chandigarh"/>
    <x v="2"/>
    <x v="9"/>
    <x v="9"/>
    <n v="2"/>
    <n v="0.1"/>
    <n v="1237.18"/>
    <n v="213.98"/>
    <n v="2025"/>
    <s v="Dec"/>
    <x v="0"/>
    <n v="0.17295785576876443"/>
  </r>
  <r>
    <x v="475"/>
    <x v="266"/>
    <x v="1"/>
    <x v="2"/>
    <s v="Kolhapur"/>
    <x v="1"/>
    <x v="6"/>
    <x v="6"/>
    <n v="7"/>
    <n v="0.2"/>
    <n v="155225.21"/>
    <n v="1851.86"/>
    <n v="2025"/>
    <s v="Dec"/>
    <x v="0"/>
    <n v="1.1930149748227108E-2"/>
  </r>
  <r>
    <x v="476"/>
    <x v="267"/>
    <x v="3"/>
    <x v="3"/>
    <s v="Chandigarh"/>
    <x v="1"/>
    <x v="6"/>
    <x v="15"/>
    <n v="7"/>
    <n v="0.2"/>
    <n v="19496.82"/>
    <n v="1249.31"/>
    <n v="2025"/>
    <s v="Dec"/>
    <x v="0"/>
    <n v="6.4077629069766245E-2"/>
  </r>
  <r>
    <x v="477"/>
    <x v="267"/>
    <x v="14"/>
    <x v="0"/>
    <s v="Patna"/>
    <x v="1"/>
    <x v="6"/>
    <x v="11"/>
    <n v="2"/>
    <n v="0"/>
    <n v="66709.740000000005"/>
    <n v="9569.58"/>
    <n v="2025"/>
    <s v="Dec"/>
    <x v="0"/>
    <n v="0.14345101629836962"/>
  </r>
  <r>
    <x v="478"/>
    <x v="268"/>
    <x v="5"/>
    <x v="0"/>
    <s v="Kolkata"/>
    <x v="2"/>
    <x v="10"/>
    <x v="10"/>
    <n v="6"/>
    <n v="0.1"/>
    <n v="18600.36"/>
    <n v="3666.48"/>
    <n v="2025"/>
    <s v="Dec"/>
    <x v="0"/>
    <n v="0.19711876544324949"/>
  </r>
  <r>
    <x v="479"/>
    <x v="269"/>
    <x v="15"/>
    <x v="0"/>
    <s v="Patna"/>
    <x v="1"/>
    <x v="6"/>
    <x v="18"/>
    <n v="6"/>
    <n v="0"/>
    <n v="296611.62"/>
    <n v="36468.35"/>
    <n v="2025"/>
    <s v="Dec"/>
    <x v="0"/>
    <n v="0.12294983588303114"/>
  </r>
  <r>
    <x v="480"/>
    <x v="270"/>
    <x v="1"/>
    <x v="2"/>
    <s v="Nashik"/>
    <x v="1"/>
    <x v="1"/>
    <x v="1"/>
    <n v="6"/>
    <n v="0.05"/>
    <n v="118628.4"/>
    <n v="15808.07"/>
    <n v="2025"/>
    <s v="Dec"/>
    <x v="0"/>
    <n v="0.13325704468744415"/>
  </r>
  <r>
    <x v="481"/>
    <x v="271"/>
    <x v="23"/>
    <x v="3"/>
    <s v="Jaipur"/>
    <x v="0"/>
    <x v="8"/>
    <x v="8"/>
    <n v="6"/>
    <n v="0.15"/>
    <n v="24590.639999999999"/>
    <n v="1719.36"/>
    <n v="2025"/>
    <s v="Dec"/>
    <x v="0"/>
    <n v="6.9919286362616018E-2"/>
  </r>
  <r>
    <x v="482"/>
    <x v="271"/>
    <x v="7"/>
    <x v="3"/>
    <s v="Jaipur"/>
    <x v="0"/>
    <x v="8"/>
    <x v="13"/>
    <n v="2"/>
    <n v="0.15"/>
    <n v="1481.74"/>
    <n v="267.18"/>
    <n v="2025"/>
    <s v="Dec"/>
    <x v="0"/>
    <n v="0.1803150350263879"/>
  </r>
  <r>
    <x v="483"/>
    <x v="271"/>
    <x v="9"/>
    <x v="1"/>
    <s v="Chennai"/>
    <x v="1"/>
    <x v="5"/>
    <x v="19"/>
    <n v="7"/>
    <n v="0.1"/>
    <n v="85514.52"/>
    <n v="13538.84"/>
    <n v="2025"/>
    <s v="Dec"/>
    <x v="0"/>
    <n v="0.15832211886355674"/>
  </r>
  <r>
    <x v="484"/>
    <x v="272"/>
    <x v="11"/>
    <x v="1"/>
    <s v="Chennai"/>
    <x v="0"/>
    <x v="4"/>
    <x v="29"/>
    <n v="6"/>
    <n v="0.15"/>
    <n v="34764.720000000001"/>
    <n v="3211.36"/>
    <n v="2025"/>
    <s v="Dec"/>
    <x v="0"/>
    <n v="9.2374108003746333E-2"/>
  </r>
  <r>
    <x v="485"/>
    <x v="272"/>
    <x v="6"/>
    <x v="2"/>
    <s v="Kolhapur"/>
    <x v="1"/>
    <x v="5"/>
    <x v="19"/>
    <n v="3"/>
    <n v="0.1"/>
    <n v="48834.45"/>
    <n v="9812.9599999999991"/>
    <n v="2025"/>
    <s v="Dec"/>
    <x v="0"/>
    <n v="0.20094339139685202"/>
  </r>
  <r>
    <x v="486"/>
    <x v="273"/>
    <x v="3"/>
    <x v="0"/>
    <s v="Ranchi"/>
    <x v="0"/>
    <x v="7"/>
    <x v="27"/>
    <n v="5"/>
    <n v="0.05"/>
    <n v="52204.9"/>
    <n v="6729.26"/>
    <n v="2025"/>
    <s v="Dec"/>
    <x v="0"/>
    <n v="0.1289009269244841"/>
  </r>
  <r>
    <x v="487"/>
    <x v="273"/>
    <x v="6"/>
    <x v="1"/>
    <s v="Bengaluru"/>
    <x v="1"/>
    <x v="5"/>
    <x v="19"/>
    <n v="4"/>
    <n v="0"/>
    <n v="99205.8"/>
    <n v="15386.51"/>
    <n v="2025"/>
    <s v="Dec"/>
    <x v="0"/>
    <n v="0.15509687941632444"/>
  </r>
  <r>
    <x v="488"/>
    <x v="273"/>
    <x v="18"/>
    <x v="3"/>
    <s v="Chandigarh"/>
    <x v="2"/>
    <x v="2"/>
    <x v="17"/>
    <n v="3"/>
    <n v="0.05"/>
    <n v="12788.16"/>
    <n v="1545.78"/>
    <n v="2025"/>
    <s v="Dec"/>
    <x v="0"/>
    <n v="0.12087587268223106"/>
  </r>
  <r>
    <x v="489"/>
    <x v="274"/>
    <x v="5"/>
    <x v="0"/>
    <s v="Ranchi"/>
    <x v="2"/>
    <x v="2"/>
    <x v="17"/>
    <n v="5"/>
    <n v="0"/>
    <n v="18440.650000000001"/>
    <n v="1821.58"/>
    <n v="2025"/>
    <s v="Dec"/>
    <x v="0"/>
    <n v="9.8780682893498867E-2"/>
  </r>
  <r>
    <x v="490"/>
    <x v="275"/>
    <x v="14"/>
    <x v="1"/>
    <s v="Bengaluru"/>
    <x v="2"/>
    <x v="10"/>
    <x v="26"/>
    <n v="6"/>
    <n v="0.2"/>
    <n v="19139.099999999999"/>
    <n v="947.88"/>
    <n v="2025"/>
    <s v="Dec"/>
    <x v="0"/>
    <n v="4.9525839773030086E-2"/>
  </r>
  <r>
    <x v="491"/>
    <x v="275"/>
    <x v="18"/>
    <x v="2"/>
    <s v="Pune"/>
    <x v="2"/>
    <x v="2"/>
    <x v="2"/>
    <n v="2"/>
    <n v="0.05"/>
    <n v="6227.08"/>
    <n v="658.25"/>
    <n v="2025"/>
    <s v="Dec"/>
    <x v="0"/>
    <n v="0.10570765109810698"/>
  </r>
  <r>
    <x v="492"/>
    <x v="275"/>
    <x v="18"/>
    <x v="2"/>
    <s v="Mumbai"/>
    <x v="0"/>
    <x v="8"/>
    <x v="13"/>
    <n v="7"/>
    <n v="0.1"/>
    <n v="18037.88"/>
    <n v="1793.15"/>
    <n v="2025"/>
    <s v="Dec"/>
    <x v="0"/>
    <n v="9.9410241114809506E-2"/>
  </r>
  <r>
    <x v="493"/>
    <x v="275"/>
    <x v="1"/>
    <x v="2"/>
    <s v="Mumbai"/>
    <x v="0"/>
    <x v="7"/>
    <x v="30"/>
    <n v="6"/>
    <n v="0.15"/>
    <n v="62579.16"/>
    <n v="2819.51"/>
    <n v="2025"/>
    <s v="Dec"/>
    <x v="0"/>
    <n v="4.5055095018852923E-2"/>
  </r>
  <r>
    <x v="494"/>
    <x v="276"/>
    <x v="19"/>
    <x v="0"/>
    <s v="Bhubaneswar"/>
    <x v="1"/>
    <x v="6"/>
    <x v="11"/>
    <n v="1"/>
    <n v="0.2"/>
    <n v="9952.33"/>
    <n v="1490.57"/>
    <n v="2025"/>
    <s v="Dec"/>
    <x v="0"/>
    <n v="0.14977095815753697"/>
  </r>
  <r>
    <x v="495"/>
    <x v="276"/>
    <x v="19"/>
    <x v="0"/>
    <s v="Bhubaneswar"/>
    <x v="0"/>
    <x v="7"/>
    <x v="7"/>
    <n v="1"/>
    <n v="0.15"/>
    <n v="8331.9500000000007"/>
    <n v="1591.98"/>
    <n v="2025"/>
    <s v="Dec"/>
    <x v="0"/>
    <n v="0.19106931750670611"/>
  </r>
  <r>
    <x v="496"/>
    <x v="277"/>
    <x v="20"/>
    <x v="2"/>
    <s v="Kolhapur"/>
    <x v="1"/>
    <x v="6"/>
    <x v="11"/>
    <n v="1"/>
    <n v="0"/>
    <n v="17102.27"/>
    <n v="3178.09"/>
    <n v="2025"/>
    <s v="Dec"/>
    <x v="0"/>
    <n v="0.18582854790621361"/>
  </r>
  <r>
    <x v="497"/>
    <x v="278"/>
    <x v="4"/>
    <x v="2"/>
    <s v="Kolhapur"/>
    <x v="1"/>
    <x v="6"/>
    <x v="15"/>
    <n v="4"/>
    <n v="0"/>
    <n v="44533.760000000002"/>
    <n v="9350.08"/>
    <n v="2025"/>
    <s v="Dec"/>
    <x v="0"/>
    <n v="0.20995487468383536"/>
  </r>
  <r>
    <x v="498"/>
    <x v="279"/>
    <x v="3"/>
    <x v="0"/>
    <s v="Bhubaneswar"/>
    <x v="2"/>
    <x v="9"/>
    <x v="20"/>
    <n v="3"/>
    <n v="0"/>
    <n v="4370.49"/>
    <n v="794.03"/>
    <n v="2025"/>
    <s v="Dec"/>
    <x v="0"/>
    <n v="0.18167985740729301"/>
  </r>
  <r>
    <x v="499"/>
    <x v="279"/>
    <x v="1"/>
    <x v="3"/>
    <s v="Jaipur"/>
    <x v="0"/>
    <x v="8"/>
    <x v="13"/>
    <n v="6"/>
    <n v="0.1"/>
    <n v="65520.84"/>
    <n v="11801.48"/>
    <n v="2025"/>
    <s v="Dec"/>
    <x v="0"/>
    <n v="0.180117959415660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477BE-C028-49C7-BB32-06B04B2A882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18">
    <pivotField showAll="0"/>
    <pivotField numFmtId="164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dataField="1" numFmtId="4" showAll="0"/>
    <pivotField dataField="1" numFmtId="4" showAll="0"/>
    <pivotField showAll="0"/>
    <pivotField showAll="0"/>
    <pivotField showAll="0"/>
    <pivotField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0" baseField="0" baseItem="1" numFmtId="4"/>
    <dataField name="Total profit" fld="11" baseField="0" baseItem="1" numFmtId="4"/>
    <dataField name="Total quantity" fld="8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820E2-4B7D-41F7-98C9-30888DDBB3F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7" firstHeaderRow="0" firstDataRow="1" firstDataCol="1"/>
  <pivotFields count="18">
    <pivotField showAll="0"/>
    <pivotField numFmtId="164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9" showAll="0"/>
    <pivotField dataField="1" numFmtId="4" showAll="0"/>
    <pivotField dataField="1" numFmtId="4" showAll="0"/>
    <pivotField showAll="0"/>
    <pivotField showAll="0"/>
    <pivotField showAll="0"/>
    <pivotField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0" baseField="5" baseItem="0" numFmtId="4"/>
    <dataField name="Total profit" fld="11" baseField="5" baseItem="0" numFmtId="4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5EC3F-383D-44CA-A940-0C2AF2C189D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18">
    <pivotField showAll="0"/>
    <pivotField numFmtId="164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9" showAll="0"/>
    <pivotField dataField="1" numFmtId="4" showAll="0"/>
    <pivotField dataField="1" numFmtId="4" showAll="0"/>
    <pivotField showAll="0"/>
    <pivotField showAll="0"/>
    <pivotField showAll="0"/>
    <pivotField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2"/>
    </i>
    <i>
      <x v="3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0" baseField="3" baseItem="0" numFmtId="4"/>
    <dataField name="Total profit" fld="11" baseField="3" baseItem="0" numFmtId="4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63857-5B22-47CD-A0ED-803537437E1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18">
    <pivotField showAll="0"/>
    <pivotField axis="axisRow" numFmtId="164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numFmtId="4" showAll="0"/>
    <pivotField numFmtId="4" showAll="0"/>
    <pivotField showAll="0"/>
    <pivotField showAll="0"/>
    <pivotField showAll="0"/>
    <pivotField numFmtId="10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7"/>
    <field x="16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sales" fld="10" baseField="17" baseItem="1" numFmtId="4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81630-8E7E-4BC8-AD72-B02B6289EBE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8">
    <pivotField showAll="0"/>
    <pivotField numFmtId="164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33">
        <item x="2"/>
        <item x="23"/>
        <item x="5"/>
        <item x="1"/>
        <item x="13"/>
        <item x="7"/>
        <item x="27"/>
        <item x="26"/>
        <item x="24"/>
        <item x="0"/>
        <item x="16"/>
        <item x="20"/>
        <item x="19"/>
        <item x="18"/>
        <item x="3"/>
        <item x="6"/>
        <item x="25"/>
        <item x="12"/>
        <item x="4"/>
        <item x="14"/>
        <item x="8"/>
        <item x="17"/>
        <item x="31"/>
        <item x="10"/>
        <item x="22"/>
        <item x="9"/>
        <item x="28"/>
        <item x="21"/>
        <item x="11"/>
        <item x="30"/>
        <item x="15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9" showAll="0"/>
    <pivotField dataField="1" numFmtId="4" showAll="0"/>
    <pivotField numFmtId="4" showAll="0"/>
    <pivotField showAll="0"/>
    <pivotField showAll="0"/>
    <pivotField showAll="0"/>
    <pivotField numFmtId="10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6">
    <i>
      <x v="16"/>
    </i>
    <i>
      <x v="15"/>
    </i>
    <i>
      <x v="13"/>
    </i>
    <i>
      <x v="28"/>
    </i>
    <i>
      <x v="14"/>
    </i>
    <i t="grand">
      <x/>
    </i>
  </rowItems>
  <colItems count="1">
    <i/>
  </colItems>
  <dataFields count="1">
    <dataField name="Total sales" fld="10" baseField="7" baseItem="0" numFmtId="4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780FE-5881-4922-8E41-8B411109AEF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8">
    <pivotField showAll="0"/>
    <pivotField numFmtId="164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axis="axisRow" showAll="0" measureFilter="1" sortType="descending">
      <items count="26">
        <item x="22"/>
        <item x="2"/>
        <item x="20"/>
        <item x="8"/>
        <item x="11"/>
        <item x="0"/>
        <item x="10"/>
        <item x="6"/>
        <item x="1"/>
        <item x="4"/>
        <item x="17"/>
        <item x="12"/>
        <item x="5"/>
        <item x="7"/>
        <item x="13"/>
        <item x="3"/>
        <item x="16"/>
        <item x="18"/>
        <item x="15"/>
        <item x="14"/>
        <item x="24"/>
        <item x="9"/>
        <item x="23"/>
        <item x="2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9" showAll="0"/>
    <pivotField dataField="1" numFmtId="4" showAll="0"/>
    <pivotField numFmtId="4" showAll="0"/>
    <pivotField showAll="0"/>
    <pivotField showAll="0"/>
    <pivotField showAll="0"/>
    <pivotField numFmtId="10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 v="6"/>
    </i>
    <i>
      <x v="15"/>
    </i>
    <i>
      <x v="20"/>
    </i>
    <i>
      <x v="14"/>
    </i>
    <i>
      <x v="19"/>
    </i>
    <i t="grand">
      <x/>
    </i>
  </rowItems>
  <colItems count="1">
    <i/>
  </colItems>
  <dataFields count="1">
    <dataField name="Total sales" fld="10" baseField="2" baseItem="0" numFmtId="4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5D9A2-E038-4391-A80D-96769E6EDFF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18">
    <pivotField showAll="0"/>
    <pivotField numFmtId="164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showAll="0"/>
    <pivotField showAll="0"/>
    <pivotField showAll="0"/>
    <pivotField showAll="0"/>
    <pivotField axis="axisRow" showAll="0" sortType="descending">
      <items count="13">
        <item x="6"/>
        <item x="10"/>
        <item x="11"/>
        <item x="4"/>
        <item x="0"/>
        <item x="7"/>
        <item x="5"/>
        <item x="2"/>
        <item x="1"/>
        <item x="3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9" showAll="0"/>
    <pivotField dataField="1" numFmtId="4" showAll="0"/>
    <pivotField dataField="1" numFmtId="4" showAll="0"/>
    <pivotField showAll="0"/>
    <pivotField showAll="0"/>
    <pivotField showAll="0"/>
    <pivotField numFmtId="10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3">
    <i>
      <x/>
    </i>
    <i>
      <x v="6"/>
    </i>
    <i>
      <x v="9"/>
    </i>
    <i>
      <x v="8"/>
    </i>
    <i>
      <x v="4"/>
    </i>
    <i>
      <x v="11"/>
    </i>
    <i>
      <x v="5"/>
    </i>
    <i>
      <x v="3"/>
    </i>
    <i>
      <x v="10"/>
    </i>
    <i>
      <x v="7"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0" baseField="6" baseItem="0" numFmtId="4"/>
    <dataField name="Total profit" fld="11" baseField="6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4E97C-8E2C-466D-8718-09CBD54A564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8">
    <pivotField dataField="1" showAll="0" countASubtotal="1">
      <items count="501">
        <item x="270"/>
        <item x="424"/>
        <item x="324"/>
        <item x="76"/>
        <item x="135"/>
        <item x="361"/>
        <item x="354"/>
        <item x="370"/>
        <item x="388"/>
        <item x="473"/>
        <item x="318"/>
        <item x="143"/>
        <item x="346"/>
        <item x="77"/>
        <item x="334"/>
        <item x="464"/>
        <item x="168"/>
        <item x="434"/>
        <item x="146"/>
        <item x="187"/>
        <item x="140"/>
        <item x="342"/>
        <item x="462"/>
        <item x="343"/>
        <item x="53"/>
        <item x="169"/>
        <item x="461"/>
        <item x="279"/>
        <item x="499"/>
        <item x="437"/>
        <item x="8"/>
        <item x="275"/>
        <item x="491"/>
        <item x="412"/>
        <item x="430"/>
        <item x="469"/>
        <item x="372"/>
        <item x="357"/>
        <item x="224"/>
        <item x="385"/>
        <item x="325"/>
        <item x="129"/>
        <item x="306"/>
        <item x="144"/>
        <item x="352"/>
        <item x="251"/>
        <item x="416"/>
        <item x="167"/>
        <item x="338"/>
        <item x="212"/>
        <item x="375"/>
        <item x="323"/>
        <item x="98"/>
        <item x="255"/>
        <item x="108"/>
        <item x="392"/>
        <item x="450"/>
        <item x="475"/>
        <item x="495"/>
        <item x="174"/>
        <item x="315"/>
        <item x="79"/>
        <item x="12"/>
        <item x="205"/>
        <item x="117"/>
        <item x="399"/>
        <item x="249"/>
        <item x="282"/>
        <item x="1"/>
        <item x="217"/>
        <item x="339"/>
        <item x="408"/>
        <item x="44"/>
        <item x="465"/>
        <item x="160"/>
        <item x="280"/>
        <item x="238"/>
        <item x="415"/>
        <item x="459"/>
        <item x="40"/>
        <item x="327"/>
        <item x="41"/>
        <item x="95"/>
        <item x="121"/>
        <item x="314"/>
        <item x="439"/>
        <item x="444"/>
        <item x="293"/>
        <item x="25"/>
        <item x="457"/>
        <item x="236"/>
        <item x="136"/>
        <item x="51"/>
        <item x="296"/>
        <item x="149"/>
        <item x="423"/>
        <item x="221"/>
        <item x="398"/>
        <item x="312"/>
        <item x="137"/>
        <item x="195"/>
        <item x="158"/>
        <item x="152"/>
        <item x="349"/>
        <item x="210"/>
        <item x="33"/>
        <item x="341"/>
        <item x="211"/>
        <item x="271"/>
        <item x="223"/>
        <item x="164"/>
        <item x="229"/>
        <item x="347"/>
        <item x="138"/>
        <item x="429"/>
        <item x="263"/>
        <item x="26"/>
        <item x="386"/>
        <item x="20"/>
        <item x="155"/>
        <item x="234"/>
        <item x="237"/>
        <item x="183"/>
        <item x="365"/>
        <item x="215"/>
        <item x="458"/>
        <item x="87"/>
        <item x="485"/>
        <item x="417"/>
        <item x="285"/>
        <item x="391"/>
        <item x="112"/>
        <item x="264"/>
        <item x="4"/>
        <item x="239"/>
        <item x="43"/>
        <item x="489"/>
        <item x="405"/>
        <item x="402"/>
        <item x="102"/>
        <item x="332"/>
        <item x="250"/>
        <item x="454"/>
        <item x="311"/>
        <item x="453"/>
        <item x="58"/>
        <item x="397"/>
        <item x="474"/>
        <item x="45"/>
        <item x="109"/>
        <item x="265"/>
        <item x="86"/>
        <item x="16"/>
        <item x="243"/>
        <item x="110"/>
        <item x="56"/>
        <item x="39"/>
        <item x="206"/>
        <item x="389"/>
        <item x="422"/>
        <item x="65"/>
        <item x="442"/>
        <item x="377"/>
        <item x="299"/>
        <item x="227"/>
        <item x="147"/>
        <item x="438"/>
        <item x="478"/>
        <item x="2"/>
        <item x="335"/>
        <item x="114"/>
        <item x="50"/>
        <item x="403"/>
        <item x="173"/>
        <item x="185"/>
        <item x="132"/>
        <item x="436"/>
        <item x="42"/>
        <item x="13"/>
        <item x="0"/>
        <item x="179"/>
        <item x="404"/>
        <item x="294"/>
        <item x="259"/>
        <item x="414"/>
        <item x="128"/>
        <item x="322"/>
        <item x="78"/>
        <item x="134"/>
        <item x="193"/>
        <item x="427"/>
        <item x="420"/>
        <item x="363"/>
        <item x="419"/>
        <item x="29"/>
        <item x="380"/>
        <item x="220"/>
        <item x="360"/>
        <item x="359"/>
        <item x="298"/>
        <item x="218"/>
        <item x="333"/>
        <item x="203"/>
        <item x="351"/>
        <item x="387"/>
        <item x="232"/>
        <item x="7"/>
        <item x="192"/>
        <item x="52"/>
        <item x="15"/>
        <item x="5"/>
        <item x="373"/>
        <item x="467"/>
        <item x="428"/>
        <item x="113"/>
        <item x="103"/>
        <item x="34"/>
        <item x="35"/>
        <item x="46"/>
        <item x="396"/>
        <item x="120"/>
        <item x="353"/>
        <item x="319"/>
        <item x="130"/>
        <item x="92"/>
        <item x="267"/>
        <item x="321"/>
        <item x="21"/>
        <item x="320"/>
        <item x="472"/>
        <item x="64"/>
        <item x="313"/>
        <item x="482"/>
        <item x="74"/>
        <item x="209"/>
        <item x="14"/>
        <item x="165"/>
        <item x="182"/>
        <item x="492"/>
        <item x="367"/>
        <item x="383"/>
        <item x="390"/>
        <item x="150"/>
        <item x="162"/>
        <item x="28"/>
        <item x="32"/>
        <item x="27"/>
        <item x="345"/>
        <item x="214"/>
        <item x="257"/>
        <item x="175"/>
        <item x="184"/>
        <item x="163"/>
        <item x="97"/>
        <item x="410"/>
        <item x="47"/>
        <item x="369"/>
        <item x="125"/>
        <item x="225"/>
        <item x="433"/>
        <item x="228"/>
        <item x="88"/>
        <item x="141"/>
        <item x="186"/>
        <item x="48"/>
        <item x="301"/>
        <item x="337"/>
        <item x="281"/>
        <item x="101"/>
        <item x="498"/>
        <item x="245"/>
        <item x="90"/>
        <item x="190"/>
        <item x="268"/>
        <item x="297"/>
        <item x="272"/>
        <item x="244"/>
        <item x="93"/>
        <item x="96"/>
        <item x="57"/>
        <item x="484"/>
        <item x="123"/>
        <item x="378"/>
        <item x="177"/>
        <item x="290"/>
        <item x="157"/>
        <item x="75"/>
        <item x="447"/>
        <item x="68"/>
        <item x="222"/>
        <item x="230"/>
        <item x="496"/>
        <item x="248"/>
        <item x="468"/>
        <item x="60"/>
        <item x="189"/>
        <item x="331"/>
        <item x="302"/>
        <item x="207"/>
        <item x="393"/>
        <item x="55"/>
        <item x="111"/>
        <item x="73"/>
        <item x="106"/>
        <item x="59"/>
        <item x="400"/>
        <item x="289"/>
        <item x="246"/>
        <item x="94"/>
        <item x="356"/>
        <item x="196"/>
        <item x="310"/>
        <item x="470"/>
        <item x="413"/>
        <item x="201"/>
        <item x="233"/>
        <item x="172"/>
        <item x="258"/>
        <item x="421"/>
        <item x="292"/>
        <item x="328"/>
        <item x="91"/>
        <item x="31"/>
        <item x="213"/>
        <item x="197"/>
        <item x="191"/>
        <item x="355"/>
        <item x="119"/>
        <item x="17"/>
        <item x="38"/>
        <item x="379"/>
        <item x="80"/>
        <item x="273"/>
        <item x="188"/>
        <item x="406"/>
        <item x="181"/>
        <item x="118"/>
        <item x="435"/>
        <item x="376"/>
        <item x="145"/>
        <item x="494"/>
        <item x="426"/>
        <item x="401"/>
        <item x="344"/>
        <item x="66"/>
        <item x="159"/>
        <item x="317"/>
        <item x="261"/>
        <item x="11"/>
        <item x="226"/>
        <item x="142"/>
        <item x="194"/>
        <item x="37"/>
        <item x="443"/>
        <item x="6"/>
        <item x="381"/>
        <item x="9"/>
        <item x="219"/>
        <item x="456"/>
        <item x="394"/>
        <item x="483"/>
        <item x="127"/>
        <item x="304"/>
        <item x="240"/>
        <item x="446"/>
        <item x="241"/>
        <item x="171"/>
        <item x="309"/>
        <item x="284"/>
        <item x="170"/>
        <item x="371"/>
        <item x="3"/>
        <item x="441"/>
        <item x="126"/>
        <item x="471"/>
        <item x="69"/>
        <item x="287"/>
        <item x="216"/>
        <item x="278"/>
        <item x="431"/>
        <item x="460"/>
        <item x="49"/>
        <item x="269"/>
        <item x="277"/>
        <item x="62"/>
        <item x="451"/>
        <item x="452"/>
        <item x="82"/>
        <item x="67"/>
        <item x="425"/>
        <item x="288"/>
        <item x="307"/>
        <item x="235"/>
        <item x="124"/>
        <item x="481"/>
        <item x="364"/>
        <item x="36"/>
        <item x="105"/>
        <item x="466"/>
        <item x="63"/>
        <item x="70"/>
        <item x="432"/>
        <item x="242"/>
        <item x="154"/>
        <item x="350"/>
        <item x="22"/>
        <item x="497"/>
        <item x="54"/>
        <item x="122"/>
        <item x="89"/>
        <item x="139"/>
        <item x="133"/>
        <item x="131"/>
        <item x="23"/>
        <item x="166"/>
        <item x="176"/>
        <item x="455"/>
        <item x="330"/>
        <item x="448"/>
        <item x="340"/>
        <item x="180"/>
        <item x="463"/>
        <item x="71"/>
        <item x="116"/>
        <item x="256"/>
        <item x="477"/>
        <item x="72"/>
        <item x="295"/>
        <item x="303"/>
        <item x="368"/>
        <item x="199"/>
        <item x="440"/>
        <item x="156"/>
        <item x="449"/>
        <item x="99"/>
        <item x="260"/>
        <item x="348"/>
        <item x="476"/>
        <item x="418"/>
        <item x="486"/>
        <item x="107"/>
        <item x="274"/>
        <item x="291"/>
        <item x="84"/>
        <item x="300"/>
        <item x="366"/>
        <item x="316"/>
        <item x="411"/>
        <item x="254"/>
        <item x="362"/>
        <item x="480"/>
        <item x="305"/>
        <item x="490"/>
        <item x="19"/>
        <item x="384"/>
        <item x="487"/>
        <item x="253"/>
        <item x="153"/>
        <item x="115"/>
        <item x="409"/>
        <item x="266"/>
        <item x="178"/>
        <item x="286"/>
        <item x="479"/>
        <item x="18"/>
        <item x="374"/>
        <item x="262"/>
        <item x="395"/>
        <item x="161"/>
        <item x="252"/>
        <item x="202"/>
        <item x="61"/>
        <item x="81"/>
        <item x="200"/>
        <item x="208"/>
        <item x="83"/>
        <item x="488"/>
        <item x="198"/>
        <item x="104"/>
        <item x="151"/>
        <item x="247"/>
        <item x="407"/>
        <item x="100"/>
        <item x="276"/>
        <item x="326"/>
        <item x="493"/>
        <item x="308"/>
        <item x="382"/>
        <item x="30"/>
        <item x="358"/>
        <item x="231"/>
        <item x="283"/>
        <item x="24"/>
        <item x="204"/>
        <item x="329"/>
        <item x="336"/>
        <item x="148"/>
        <item x="85"/>
        <item x="10"/>
        <item x="445"/>
        <item t="countA"/>
      </items>
    </pivotField>
    <pivotField numFmtId="164" showAll="0">
      <items count="2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numFmtId="4" showAll="0"/>
    <pivotField numFmtId="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0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0" baseField="14" baseItem="0" numFmtId="4"/>
    <dataField name="Count of Order ID" fld="0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F74E2-AD4D-4495-9D81-A7B2C90E60FC}" name="Table1" displayName="Table1" ref="A3:P503" totalsRowShown="0">
  <autoFilter ref="A3:P503" xr:uid="{19DF74E2-AD4D-4495-9D81-A7B2C90E60FC}"/>
  <tableColumns count="16">
    <tableColumn id="1" xr3:uid="{FE33DB5D-C52E-4427-8BAB-D9464FB4B9AA}" name="Order ID"/>
    <tableColumn id="2" xr3:uid="{EC2E5A42-6477-4C57-92F4-EC7505BA0CC6}" name="Order Date" dataDxfId="2"/>
    <tableColumn id="3" xr3:uid="{1C9BB48B-A35B-48B2-8639-7378A34DDF73}" name="Customer Name"/>
    <tableColumn id="4" xr3:uid="{A9F7825B-9286-4A2C-908D-E2F0AEAEBF19}" name="Region"/>
    <tableColumn id="5" xr3:uid="{47A4C107-83BA-442D-BC46-85B4F7BEA0D9}" name="City"/>
    <tableColumn id="6" xr3:uid="{C688F348-0A7F-465D-86B2-75A365E7F449}" name="Category"/>
    <tableColumn id="7" xr3:uid="{774A04B1-5D97-432F-B810-87922DF1D41B}" name="Sub-Category"/>
    <tableColumn id="8" xr3:uid="{21C438E1-F0B7-4CF3-A2A3-C5EF43CBC7B0}" name="Product Name"/>
    <tableColumn id="9" xr3:uid="{36CB1E10-972D-4964-91CF-41CDC35CA8D0}" name="Quantity"/>
    <tableColumn id="10" xr3:uid="{32BE384D-5F60-46C8-9A40-CF1D0696A089}" name="Discount"/>
    <tableColumn id="11" xr3:uid="{B38DBC4C-6C21-48DA-AC5E-0E9B75460DFC}" name="Sales"/>
    <tableColumn id="12" xr3:uid="{D6B8DFA5-7B9F-40A6-B57B-7DD6176A88A2}" name="Profit"/>
    <tableColumn id="13" xr3:uid="{0E16839D-B5A4-4217-AC0D-864F3739D382}" name="Year"/>
    <tableColumn id="14" xr3:uid="{AD985BC4-3ACD-49D5-9766-E3E18FBC49D0}" name="Month"/>
    <tableColumn id="15" xr3:uid="{44C5E64E-E691-4D29-A929-B8D5EDA7A22B}" name="Sales Category"/>
    <tableColumn id="16" xr3:uid="{A121F5E3-AEA0-4FEC-AEA6-833D09D0FCB8}" name="Profit Margi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D86939-DEB9-4F43-AE19-DFF557F7972A}" name="Table2" displayName="Table2" ref="A3:P503" totalsRowShown="0">
  <autoFilter ref="A3:P503" xr:uid="{E3D86939-DEB9-4F43-AE19-DFF557F7972A}"/>
  <tableColumns count="16">
    <tableColumn id="1" xr3:uid="{B1EC61E6-E638-4B31-AF9F-B72B8378CF83}" name="Order ID"/>
    <tableColumn id="2" xr3:uid="{3617A337-9FE3-441F-9BE9-C1E6831BA206}" name="Order Date" dataDxfId="1"/>
    <tableColumn id="3" xr3:uid="{6C7483C5-5C78-4F8B-85BB-268E977A3170}" name="Customer Name"/>
    <tableColumn id="4" xr3:uid="{FA1C111A-9289-41EB-A062-7A4759B89537}" name="Region"/>
    <tableColumn id="5" xr3:uid="{2E9E3B41-5ED0-4911-B902-151C5E6E6F4F}" name="City"/>
    <tableColumn id="6" xr3:uid="{CF0F726A-7E60-4DAE-9A47-3FA95B31D84E}" name="Category"/>
    <tableColumn id="7" xr3:uid="{982303FA-6AEB-45F7-BFD6-143868D5E9F5}" name="Sub-Category"/>
    <tableColumn id="8" xr3:uid="{08B87D15-A006-4513-9147-8B8255E36B2A}" name="Product Name"/>
    <tableColumn id="9" xr3:uid="{63512503-CABB-4FBC-8411-C936D9D14D76}" name="Quantity"/>
    <tableColumn id="10" xr3:uid="{5E8F5E81-55B7-4944-96A9-3388087B7B72}" name="Discount"/>
    <tableColumn id="11" xr3:uid="{99F1149F-E052-4DA9-AA40-46BD312F87C4}" name="Sales"/>
    <tableColumn id="12" xr3:uid="{9A4642A8-68F9-4F7F-9478-38D989D6FA55}" name="Profit"/>
    <tableColumn id="13" xr3:uid="{5C61E00A-B15D-41B2-B469-C09777809227}" name="Year"/>
    <tableColumn id="14" xr3:uid="{D913B72C-432C-44B6-B541-C571C431EEE9}" name="Month"/>
    <tableColumn id="15" xr3:uid="{26321C49-EBFA-4F77-A455-1EFC7D79F1C7}" name="Sales Category"/>
    <tableColumn id="16" xr3:uid="{915F7022-7346-4F8B-A108-FC037EA4B97C}" name="Profit Margi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965F2E-8B2A-48C6-842E-C297FF8ABE67}" name="Table3" displayName="Table3" ref="A3:P503" totalsRowShown="0">
  <autoFilter ref="A3:P503" xr:uid="{15965F2E-8B2A-48C6-842E-C297FF8ABE67}"/>
  <tableColumns count="16">
    <tableColumn id="1" xr3:uid="{01819A93-8DCD-466A-BA97-0CAB0DA3CFF5}" name="Order ID"/>
    <tableColumn id="2" xr3:uid="{0516598A-1E7F-480A-9BF7-5129CF38D7AE}" name="Order Date" dataDxfId="0"/>
    <tableColumn id="3" xr3:uid="{B98CFC38-88B3-4894-AB66-2CABFBC7A2C8}" name="Customer Name"/>
    <tableColumn id="4" xr3:uid="{FBA998C1-0855-48D2-8D50-7597684039AE}" name="Region"/>
    <tableColumn id="5" xr3:uid="{F8546EE4-DBB9-459A-B389-2E84A11DCDAE}" name="City"/>
    <tableColumn id="6" xr3:uid="{4318C9A0-F69C-4674-9201-84769883021B}" name="Category"/>
    <tableColumn id="7" xr3:uid="{9E133140-E17F-451A-ABBD-278EEFB415D8}" name="Sub-Category"/>
    <tableColumn id="8" xr3:uid="{AC180D83-5E51-485C-B351-A0FA7C1A0E1C}" name="Product Name"/>
    <tableColumn id="9" xr3:uid="{A4C0F5B5-805E-4EBE-B43B-3751533FEF0C}" name="Quantity"/>
    <tableColumn id="10" xr3:uid="{D41B8351-DBCE-4BA2-A293-D506E4EE0930}" name="Discount"/>
    <tableColumn id="11" xr3:uid="{E0E31A00-371C-4751-90ED-AFA57063A908}" name="Sales"/>
    <tableColumn id="12" xr3:uid="{DB8F1223-06A2-4850-80D1-6F1CE40AE707}" name="Profit"/>
    <tableColumn id="13" xr3:uid="{693D7E9C-7E92-47D3-9861-834F7D7ACE0E}" name="Year"/>
    <tableColumn id="14" xr3:uid="{D6B18B18-F096-4CAE-8A85-95345397671F}" name="Month"/>
    <tableColumn id="15" xr3:uid="{83FBF97A-318F-43B9-91C1-9EFF46FE74A2}" name="Sales Category"/>
    <tableColumn id="16" xr3:uid="{0A9C561E-6AC6-4940-B9C2-314E7760EE7F}" name="Profit Mar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12" customWidth="1"/>
    <col min="2" max="2" width="21" customWidth="1"/>
    <col min="3" max="3" width="18.21875" customWidth="1"/>
    <col min="4" max="4" width="12" customWidth="1"/>
    <col min="5" max="5" width="13" customWidth="1"/>
    <col min="6" max="6" width="17" customWidth="1"/>
    <col min="7" max="7" width="16.109375" customWidth="1"/>
    <col min="8" max="8" width="19" customWidth="1"/>
    <col min="9" max="12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/>
      <c r="N1" s="5"/>
    </row>
    <row r="2" spans="1:14" x14ac:dyDescent="0.3">
      <c r="A2" t="s">
        <v>12</v>
      </c>
      <c r="B2" s="2">
        <v>45658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6</v>
      </c>
      <c r="J2" s="3">
        <v>0</v>
      </c>
      <c r="K2" s="4">
        <v>14565.72</v>
      </c>
      <c r="L2" s="4">
        <v>2664.67</v>
      </c>
    </row>
    <row r="3" spans="1:14" x14ac:dyDescent="0.3">
      <c r="A3" t="s">
        <v>19</v>
      </c>
      <c r="B3" s="2">
        <v>45658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5</v>
      </c>
      <c r="J3" s="3">
        <v>0</v>
      </c>
      <c r="K3" s="4">
        <v>153118.95000000001</v>
      </c>
      <c r="L3" s="4">
        <v>29734.03</v>
      </c>
    </row>
    <row r="4" spans="1:14" x14ac:dyDescent="0.3">
      <c r="A4" t="s">
        <v>26</v>
      </c>
      <c r="B4" s="2">
        <v>45660</v>
      </c>
      <c r="C4" t="s">
        <v>27</v>
      </c>
      <c r="D4" t="s">
        <v>14</v>
      </c>
      <c r="E4" t="s">
        <v>15</v>
      </c>
      <c r="F4" t="s">
        <v>28</v>
      </c>
      <c r="G4" t="s">
        <v>29</v>
      </c>
      <c r="H4" t="s">
        <v>30</v>
      </c>
      <c r="I4">
        <v>4</v>
      </c>
      <c r="J4" s="3">
        <v>0.1</v>
      </c>
      <c r="K4" s="4">
        <v>14739.16</v>
      </c>
      <c r="L4" s="4">
        <v>2479.4299999999998</v>
      </c>
    </row>
    <row r="5" spans="1:14" x14ac:dyDescent="0.3">
      <c r="A5" t="s">
        <v>31</v>
      </c>
      <c r="B5" s="2">
        <v>45661</v>
      </c>
      <c r="C5" t="s">
        <v>32</v>
      </c>
      <c r="D5" t="s">
        <v>33</v>
      </c>
      <c r="E5" t="s">
        <v>34</v>
      </c>
      <c r="F5" t="s">
        <v>23</v>
      </c>
      <c r="G5" t="s">
        <v>35</v>
      </c>
      <c r="H5" t="s">
        <v>36</v>
      </c>
      <c r="I5">
        <v>2</v>
      </c>
      <c r="J5" s="3">
        <v>0.2</v>
      </c>
      <c r="K5" s="4">
        <v>87786.9</v>
      </c>
      <c r="L5" s="4">
        <v>5093.42</v>
      </c>
    </row>
    <row r="6" spans="1:14" x14ac:dyDescent="0.3">
      <c r="A6" t="s">
        <v>37</v>
      </c>
      <c r="B6" s="2">
        <v>45661</v>
      </c>
      <c r="C6" t="s">
        <v>38</v>
      </c>
      <c r="D6" t="s">
        <v>39</v>
      </c>
      <c r="E6" t="s">
        <v>40</v>
      </c>
      <c r="F6" t="s">
        <v>16</v>
      </c>
      <c r="G6" t="s">
        <v>41</v>
      </c>
      <c r="H6" t="s">
        <v>42</v>
      </c>
      <c r="I6">
        <v>1</v>
      </c>
      <c r="J6" s="3">
        <v>0</v>
      </c>
      <c r="K6" s="4">
        <v>8985.34</v>
      </c>
      <c r="L6" s="4">
        <v>2072.17</v>
      </c>
    </row>
    <row r="7" spans="1:14" x14ac:dyDescent="0.3">
      <c r="A7" t="s">
        <v>43</v>
      </c>
      <c r="B7" s="2">
        <v>45662</v>
      </c>
      <c r="C7" t="s">
        <v>44</v>
      </c>
      <c r="D7" t="s">
        <v>33</v>
      </c>
      <c r="E7" t="s">
        <v>45</v>
      </c>
      <c r="F7" t="s">
        <v>23</v>
      </c>
      <c r="G7" t="s">
        <v>35</v>
      </c>
      <c r="H7" t="s">
        <v>36</v>
      </c>
      <c r="I7">
        <v>4</v>
      </c>
      <c r="J7" s="3">
        <v>0.2</v>
      </c>
      <c r="K7" s="4">
        <v>51151.64</v>
      </c>
      <c r="L7" s="4">
        <v>1319.61</v>
      </c>
    </row>
    <row r="8" spans="1:14" x14ac:dyDescent="0.3">
      <c r="A8" t="s">
        <v>46</v>
      </c>
      <c r="B8" s="2">
        <v>45662</v>
      </c>
      <c r="C8" t="s">
        <v>44</v>
      </c>
      <c r="D8" t="s">
        <v>39</v>
      </c>
      <c r="E8" t="s">
        <v>47</v>
      </c>
      <c r="F8" t="s">
        <v>23</v>
      </c>
      <c r="G8" t="s">
        <v>48</v>
      </c>
      <c r="H8" t="s">
        <v>49</v>
      </c>
      <c r="I8">
        <v>4</v>
      </c>
      <c r="J8" s="3">
        <v>0</v>
      </c>
      <c r="K8" s="4">
        <v>48513.4</v>
      </c>
      <c r="L8" s="4">
        <v>11781.42</v>
      </c>
    </row>
    <row r="9" spans="1:14" x14ac:dyDescent="0.3">
      <c r="A9" t="s">
        <v>50</v>
      </c>
      <c r="B9" s="2">
        <v>45662</v>
      </c>
      <c r="C9" t="s">
        <v>51</v>
      </c>
      <c r="D9" t="s">
        <v>39</v>
      </c>
      <c r="E9" t="s">
        <v>52</v>
      </c>
      <c r="F9" t="s">
        <v>23</v>
      </c>
      <c r="G9" t="s">
        <v>35</v>
      </c>
      <c r="H9" t="s">
        <v>36</v>
      </c>
      <c r="I9">
        <v>3</v>
      </c>
      <c r="J9" s="3">
        <v>0.05</v>
      </c>
      <c r="K9" s="4">
        <v>96888.84</v>
      </c>
      <c r="L9" s="4">
        <v>17258.080000000002</v>
      </c>
    </row>
    <row r="10" spans="1:14" x14ac:dyDescent="0.3">
      <c r="A10" t="s">
        <v>53</v>
      </c>
      <c r="B10" s="2">
        <v>45663</v>
      </c>
      <c r="C10" t="s">
        <v>32</v>
      </c>
      <c r="D10" t="s">
        <v>14</v>
      </c>
      <c r="E10" t="s">
        <v>54</v>
      </c>
      <c r="F10" t="s">
        <v>23</v>
      </c>
      <c r="G10" t="s">
        <v>48</v>
      </c>
      <c r="H10" t="s">
        <v>49</v>
      </c>
      <c r="I10">
        <v>4</v>
      </c>
      <c r="J10" s="3">
        <v>0.2</v>
      </c>
      <c r="K10" s="4">
        <v>6241.88</v>
      </c>
      <c r="L10" s="4">
        <v>516.77</v>
      </c>
    </row>
    <row r="11" spans="1:14" x14ac:dyDescent="0.3">
      <c r="A11" t="s">
        <v>55</v>
      </c>
      <c r="B11" s="2">
        <v>45663</v>
      </c>
      <c r="C11" t="s">
        <v>56</v>
      </c>
      <c r="D11" t="s">
        <v>21</v>
      </c>
      <c r="E11" t="s">
        <v>57</v>
      </c>
      <c r="F11" t="s">
        <v>23</v>
      </c>
      <c r="G11" t="s">
        <v>58</v>
      </c>
      <c r="H11" t="s">
        <v>59</v>
      </c>
      <c r="I11">
        <v>4</v>
      </c>
      <c r="J11" s="3">
        <v>0.15</v>
      </c>
      <c r="K11" s="4">
        <v>179862.36</v>
      </c>
      <c r="L11" s="4">
        <v>30742.15</v>
      </c>
    </row>
    <row r="12" spans="1:14" x14ac:dyDescent="0.3">
      <c r="A12" t="s">
        <v>60</v>
      </c>
      <c r="B12" s="2">
        <v>45663</v>
      </c>
      <c r="C12" t="s">
        <v>61</v>
      </c>
      <c r="D12" t="s">
        <v>14</v>
      </c>
      <c r="E12" t="s">
        <v>15</v>
      </c>
      <c r="F12" t="s">
        <v>16</v>
      </c>
      <c r="G12" t="s">
        <v>62</v>
      </c>
      <c r="H12" t="s">
        <v>63</v>
      </c>
      <c r="I12">
        <v>2</v>
      </c>
      <c r="J12" s="3">
        <v>0.05</v>
      </c>
      <c r="K12" s="4">
        <v>6738.58</v>
      </c>
      <c r="L12" s="4">
        <v>1010.09</v>
      </c>
    </row>
    <row r="13" spans="1:14" x14ac:dyDescent="0.3">
      <c r="A13" t="s">
        <v>64</v>
      </c>
      <c r="B13" s="2">
        <v>45664</v>
      </c>
      <c r="C13" t="s">
        <v>44</v>
      </c>
      <c r="D13" t="s">
        <v>14</v>
      </c>
      <c r="E13" t="s">
        <v>54</v>
      </c>
      <c r="F13" t="s">
        <v>16</v>
      </c>
      <c r="G13" t="s">
        <v>17</v>
      </c>
      <c r="H13" t="s">
        <v>18</v>
      </c>
      <c r="I13">
        <v>1</v>
      </c>
      <c r="J13" s="3">
        <v>0.1</v>
      </c>
      <c r="K13" s="4">
        <v>4775</v>
      </c>
      <c r="L13" s="4">
        <v>753.07</v>
      </c>
    </row>
    <row r="14" spans="1:14" x14ac:dyDescent="0.3">
      <c r="A14" t="s">
        <v>65</v>
      </c>
      <c r="B14" s="2">
        <v>45665</v>
      </c>
      <c r="C14" t="s">
        <v>66</v>
      </c>
      <c r="D14" t="s">
        <v>21</v>
      </c>
      <c r="E14" t="s">
        <v>67</v>
      </c>
      <c r="F14" t="s">
        <v>16</v>
      </c>
      <c r="G14" t="s">
        <v>68</v>
      </c>
      <c r="H14" t="s">
        <v>69</v>
      </c>
      <c r="I14">
        <v>2</v>
      </c>
      <c r="J14" s="3">
        <v>0.15</v>
      </c>
      <c r="K14" s="4">
        <v>9930.18</v>
      </c>
      <c r="L14" s="4">
        <v>1258.3699999999999</v>
      </c>
    </row>
    <row r="15" spans="1:14" x14ac:dyDescent="0.3">
      <c r="A15" t="s">
        <v>70</v>
      </c>
      <c r="B15" s="2">
        <v>45667</v>
      </c>
      <c r="C15" t="s">
        <v>32</v>
      </c>
      <c r="D15" t="s">
        <v>14</v>
      </c>
      <c r="E15" t="s">
        <v>54</v>
      </c>
      <c r="F15" t="s">
        <v>28</v>
      </c>
      <c r="G15" t="s">
        <v>71</v>
      </c>
      <c r="H15" t="s">
        <v>72</v>
      </c>
      <c r="I15">
        <v>6</v>
      </c>
      <c r="J15" s="3">
        <v>0.05</v>
      </c>
      <c r="K15" s="4">
        <v>5590.86</v>
      </c>
      <c r="L15" s="4">
        <v>775.97</v>
      </c>
    </row>
    <row r="16" spans="1:14" x14ac:dyDescent="0.3">
      <c r="A16" t="s">
        <v>73</v>
      </c>
      <c r="B16" s="2">
        <v>45668</v>
      </c>
      <c r="C16" t="s">
        <v>61</v>
      </c>
      <c r="D16" t="s">
        <v>33</v>
      </c>
      <c r="E16" t="s">
        <v>34</v>
      </c>
      <c r="F16" t="s">
        <v>28</v>
      </c>
      <c r="G16" t="s">
        <v>74</v>
      </c>
      <c r="H16" t="s">
        <v>75</v>
      </c>
      <c r="I16">
        <v>7</v>
      </c>
      <c r="J16" s="3">
        <v>0.05</v>
      </c>
      <c r="K16" s="4">
        <v>4500.72</v>
      </c>
      <c r="L16" s="4">
        <v>453.15</v>
      </c>
    </row>
    <row r="17" spans="1:12" x14ac:dyDescent="0.3">
      <c r="A17" t="s">
        <v>76</v>
      </c>
      <c r="B17" s="2">
        <v>45669</v>
      </c>
      <c r="C17" t="s">
        <v>77</v>
      </c>
      <c r="D17" t="s">
        <v>21</v>
      </c>
      <c r="E17" t="s">
        <v>22</v>
      </c>
      <c r="F17" t="s">
        <v>23</v>
      </c>
      <c r="G17" t="s">
        <v>58</v>
      </c>
      <c r="H17" t="s">
        <v>78</v>
      </c>
      <c r="I17">
        <v>4</v>
      </c>
      <c r="J17" s="3">
        <v>0.1</v>
      </c>
      <c r="K17" s="4">
        <v>196307.32</v>
      </c>
      <c r="L17" s="4">
        <v>39775.83</v>
      </c>
    </row>
    <row r="18" spans="1:12" x14ac:dyDescent="0.3">
      <c r="A18" t="s">
        <v>79</v>
      </c>
      <c r="B18" s="2">
        <v>45669</v>
      </c>
      <c r="C18" t="s">
        <v>38</v>
      </c>
      <c r="D18" t="s">
        <v>14</v>
      </c>
      <c r="E18" t="s">
        <v>15</v>
      </c>
      <c r="F18" t="s">
        <v>28</v>
      </c>
      <c r="G18" t="s">
        <v>74</v>
      </c>
      <c r="H18" t="s">
        <v>80</v>
      </c>
      <c r="I18">
        <v>1</v>
      </c>
      <c r="J18" s="3">
        <v>0</v>
      </c>
      <c r="K18" s="4">
        <v>2952.64</v>
      </c>
      <c r="L18" s="4">
        <v>265.27999999999997</v>
      </c>
    </row>
    <row r="19" spans="1:12" x14ac:dyDescent="0.3">
      <c r="A19" t="s">
        <v>81</v>
      </c>
      <c r="B19" s="2">
        <v>45670</v>
      </c>
      <c r="C19" t="s">
        <v>82</v>
      </c>
      <c r="D19" t="s">
        <v>14</v>
      </c>
      <c r="E19" t="s">
        <v>15</v>
      </c>
      <c r="F19" t="s">
        <v>16</v>
      </c>
      <c r="G19" t="s">
        <v>68</v>
      </c>
      <c r="H19" t="s">
        <v>83</v>
      </c>
      <c r="I19">
        <v>7</v>
      </c>
      <c r="J19" s="3">
        <v>0.05</v>
      </c>
      <c r="K19" s="4">
        <v>20494.53</v>
      </c>
      <c r="L19" s="4">
        <v>2259.9499999999998</v>
      </c>
    </row>
    <row r="20" spans="1:12" x14ac:dyDescent="0.3">
      <c r="A20" t="s">
        <v>84</v>
      </c>
      <c r="B20" s="2">
        <v>45670</v>
      </c>
      <c r="C20" t="s">
        <v>85</v>
      </c>
      <c r="D20" t="s">
        <v>33</v>
      </c>
      <c r="E20" t="s">
        <v>86</v>
      </c>
      <c r="F20" t="s">
        <v>23</v>
      </c>
      <c r="G20" t="s">
        <v>58</v>
      </c>
      <c r="H20" t="s">
        <v>59</v>
      </c>
      <c r="I20">
        <v>7</v>
      </c>
      <c r="J20" s="3">
        <v>0</v>
      </c>
      <c r="K20" s="4">
        <v>212336.95</v>
      </c>
      <c r="L20" s="4">
        <v>39631.83</v>
      </c>
    </row>
    <row r="21" spans="1:12" x14ac:dyDescent="0.3">
      <c r="A21" t="s">
        <v>87</v>
      </c>
      <c r="B21" s="2">
        <v>45670</v>
      </c>
      <c r="C21" t="s">
        <v>66</v>
      </c>
      <c r="D21" t="s">
        <v>14</v>
      </c>
      <c r="E21" t="s">
        <v>15</v>
      </c>
      <c r="F21" t="s">
        <v>16</v>
      </c>
      <c r="G21" t="s">
        <v>17</v>
      </c>
      <c r="H21" t="s">
        <v>88</v>
      </c>
      <c r="I21">
        <v>5</v>
      </c>
      <c r="J21" s="3">
        <v>0.15</v>
      </c>
      <c r="K21" s="4">
        <v>12281.65</v>
      </c>
      <c r="L21" s="4">
        <v>644.5</v>
      </c>
    </row>
    <row r="22" spans="1:12" x14ac:dyDescent="0.3">
      <c r="A22" t="s">
        <v>89</v>
      </c>
      <c r="B22" s="2">
        <v>45671</v>
      </c>
      <c r="C22" t="s">
        <v>27</v>
      </c>
      <c r="D22" t="s">
        <v>14</v>
      </c>
      <c r="E22" t="s">
        <v>54</v>
      </c>
      <c r="F22" t="s">
        <v>23</v>
      </c>
      <c r="G22" t="s">
        <v>58</v>
      </c>
      <c r="H22" t="s">
        <v>90</v>
      </c>
      <c r="I22">
        <v>2</v>
      </c>
      <c r="J22" s="3">
        <v>0</v>
      </c>
      <c r="K22" s="4">
        <v>63934.26</v>
      </c>
      <c r="L22" s="4">
        <v>6629.38</v>
      </c>
    </row>
    <row r="23" spans="1:12" x14ac:dyDescent="0.3">
      <c r="A23" t="s">
        <v>91</v>
      </c>
      <c r="B23" s="2">
        <v>45674</v>
      </c>
      <c r="C23" t="s">
        <v>82</v>
      </c>
      <c r="D23" t="s">
        <v>33</v>
      </c>
      <c r="E23" t="s">
        <v>86</v>
      </c>
      <c r="F23" t="s">
        <v>28</v>
      </c>
      <c r="G23" t="s">
        <v>92</v>
      </c>
      <c r="H23" t="s">
        <v>93</v>
      </c>
      <c r="I23">
        <v>1</v>
      </c>
      <c r="J23" s="3">
        <v>0.05</v>
      </c>
      <c r="K23" s="4">
        <v>4719.87</v>
      </c>
      <c r="L23" s="4">
        <v>646.11</v>
      </c>
    </row>
    <row r="24" spans="1:12" x14ac:dyDescent="0.3">
      <c r="A24" t="s">
        <v>94</v>
      </c>
      <c r="B24" s="2">
        <v>45675</v>
      </c>
      <c r="C24" t="s">
        <v>95</v>
      </c>
      <c r="D24" t="s">
        <v>21</v>
      </c>
      <c r="E24" t="s">
        <v>67</v>
      </c>
      <c r="F24" t="s">
        <v>16</v>
      </c>
      <c r="G24" t="s">
        <v>41</v>
      </c>
      <c r="H24" t="s">
        <v>42</v>
      </c>
      <c r="I24">
        <v>7</v>
      </c>
      <c r="J24" s="3">
        <v>0.1</v>
      </c>
      <c r="K24" s="4">
        <v>27036.87</v>
      </c>
      <c r="L24" s="4">
        <v>3969.11</v>
      </c>
    </row>
    <row r="25" spans="1:12" x14ac:dyDescent="0.3">
      <c r="A25" t="s">
        <v>96</v>
      </c>
      <c r="B25" s="2">
        <v>45675</v>
      </c>
      <c r="C25" t="s">
        <v>38</v>
      </c>
      <c r="D25" t="s">
        <v>14</v>
      </c>
      <c r="E25" t="s">
        <v>97</v>
      </c>
      <c r="F25" t="s">
        <v>28</v>
      </c>
      <c r="G25" t="s">
        <v>29</v>
      </c>
      <c r="H25" t="s">
        <v>98</v>
      </c>
      <c r="I25">
        <v>6</v>
      </c>
      <c r="J25" s="3">
        <v>0</v>
      </c>
      <c r="K25" s="4">
        <v>3056.52</v>
      </c>
      <c r="L25" s="4">
        <v>459.74</v>
      </c>
    </row>
    <row r="26" spans="1:12" x14ac:dyDescent="0.3">
      <c r="A26" t="s">
        <v>99</v>
      </c>
      <c r="B26" s="2">
        <v>45676</v>
      </c>
      <c r="C26" t="s">
        <v>100</v>
      </c>
      <c r="D26" t="s">
        <v>33</v>
      </c>
      <c r="E26" t="s">
        <v>45</v>
      </c>
      <c r="F26" t="s">
        <v>23</v>
      </c>
      <c r="G26" t="s">
        <v>58</v>
      </c>
      <c r="H26" t="s">
        <v>101</v>
      </c>
      <c r="I26">
        <v>7</v>
      </c>
      <c r="J26" s="3">
        <v>0</v>
      </c>
      <c r="K26" s="4">
        <v>233516.22</v>
      </c>
      <c r="L26" s="4">
        <v>44414.81</v>
      </c>
    </row>
    <row r="27" spans="1:12" x14ac:dyDescent="0.3">
      <c r="A27" t="s">
        <v>102</v>
      </c>
      <c r="B27" s="2">
        <v>45677</v>
      </c>
      <c r="C27" t="s">
        <v>77</v>
      </c>
      <c r="D27" t="s">
        <v>21</v>
      </c>
      <c r="E27" t="s">
        <v>22</v>
      </c>
      <c r="F27" t="s">
        <v>28</v>
      </c>
      <c r="G27" t="s">
        <v>74</v>
      </c>
      <c r="H27" t="s">
        <v>80</v>
      </c>
      <c r="I27">
        <v>4</v>
      </c>
      <c r="J27" s="3">
        <v>0.05</v>
      </c>
      <c r="K27" s="4">
        <v>2650.8</v>
      </c>
      <c r="L27" s="4">
        <v>511.66</v>
      </c>
    </row>
    <row r="28" spans="1:12" x14ac:dyDescent="0.3">
      <c r="A28" t="s">
        <v>103</v>
      </c>
      <c r="B28" s="2">
        <v>45677</v>
      </c>
      <c r="C28" t="s">
        <v>104</v>
      </c>
      <c r="D28" t="s">
        <v>21</v>
      </c>
      <c r="E28" t="s">
        <v>105</v>
      </c>
      <c r="F28" t="s">
        <v>23</v>
      </c>
      <c r="G28" t="s">
        <v>58</v>
      </c>
      <c r="H28" t="s">
        <v>101</v>
      </c>
      <c r="I28">
        <v>5</v>
      </c>
      <c r="J28" s="3">
        <v>0</v>
      </c>
      <c r="K28" s="4">
        <v>104715.25</v>
      </c>
      <c r="L28" s="4">
        <v>16140.97</v>
      </c>
    </row>
    <row r="29" spans="1:12" x14ac:dyDescent="0.3">
      <c r="A29" t="s">
        <v>106</v>
      </c>
      <c r="B29" s="2">
        <v>45677</v>
      </c>
      <c r="C29" t="s">
        <v>77</v>
      </c>
      <c r="D29" t="s">
        <v>39</v>
      </c>
      <c r="E29" t="s">
        <v>47</v>
      </c>
      <c r="F29" t="s">
        <v>16</v>
      </c>
      <c r="G29" t="s">
        <v>68</v>
      </c>
      <c r="H29" t="s">
        <v>69</v>
      </c>
      <c r="I29">
        <v>7</v>
      </c>
      <c r="J29" s="3">
        <v>0.2</v>
      </c>
      <c r="K29" s="4">
        <v>73878.14</v>
      </c>
      <c r="L29" s="4">
        <v>8805.93</v>
      </c>
    </row>
    <row r="30" spans="1:12" x14ac:dyDescent="0.3">
      <c r="A30" t="s">
        <v>107</v>
      </c>
      <c r="B30" s="2">
        <v>45677</v>
      </c>
      <c r="C30" t="s">
        <v>100</v>
      </c>
      <c r="D30" t="s">
        <v>21</v>
      </c>
      <c r="E30" t="s">
        <v>67</v>
      </c>
      <c r="F30" t="s">
        <v>28</v>
      </c>
      <c r="G30" t="s">
        <v>29</v>
      </c>
      <c r="H30" t="s">
        <v>30</v>
      </c>
      <c r="I30">
        <v>3</v>
      </c>
      <c r="J30" s="3">
        <v>0.1</v>
      </c>
      <c r="K30" s="4">
        <v>12676.95</v>
      </c>
      <c r="L30" s="4">
        <v>2717.64</v>
      </c>
    </row>
    <row r="31" spans="1:12" x14ac:dyDescent="0.3">
      <c r="A31" t="s">
        <v>108</v>
      </c>
      <c r="B31" s="2">
        <v>45678</v>
      </c>
      <c r="C31" t="s">
        <v>109</v>
      </c>
      <c r="D31" t="s">
        <v>21</v>
      </c>
      <c r="E31" t="s">
        <v>22</v>
      </c>
      <c r="F31" t="s">
        <v>28</v>
      </c>
      <c r="G31" t="s">
        <v>71</v>
      </c>
      <c r="H31" t="s">
        <v>72</v>
      </c>
      <c r="I31">
        <v>3</v>
      </c>
      <c r="J31" s="3">
        <v>0.2</v>
      </c>
      <c r="K31" s="4">
        <v>411.18</v>
      </c>
      <c r="L31" s="4">
        <v>66.88</v>
      </c>
    </row>
    <row r="32" spans="1:12" x14ac:dyDescent="0.3">
      <c r="A32" t="s">
        <v>110</v>
      </c>
      <c r="B32" s="2">
        <v>45679</v>
      </c>
      <c r="C32" t="s">
        <v>111</v>
      </c>
      <c r="D32" t="s">
        <v>21</v>
      </c>
      <c r="E32" t="s">
        <v>22</v>
      </c>
      <c r="F32" t="s">
        <v>28</v>
      </c>
      <c r="G32" t="s">
        <v>71</v>
      </c>
      <c r="H32" t="s">
        <v>72</v>
      </c>
      <c r="I32">
        <v>3</v>
      </c>
      <c r="J32" s="3">
        <v>0</v>
      </c>
      <c r="K32" s="4">
        <v>5457.03</v>
      </c>
      <c r="L32" s="4">
        <v>741.01</v>
      </c>
    </row>
    <row r="33" spans="1:12" x14ac:dyDescent="0.3">
      <c r="A33" t="s">
        <v>112</v>
      </c>
      <c r="B33" s="2">
        <v>45679</v>
      </c>
      <c r="C33" t="s">
        <v>38</v>
      </c>
      <c r="D33" t="s">
        <v>33</v>
      </c>
      <c r="E33" t="s">
        <v>45</v>
      </c>
      <c r="F33" t="s">
        <v>28</v>
      </c>
      <c r="G33" t="s">
        <v>29</v>
      </c>
      <c r="H33" t="s">
        <v>98</v>
      </c>
      <c r="I33">
        <v>3</v>
      </c>
      <c r="J33" s="3">
        <v>0.05</v>
      </c>
      <c r="K33" s="4">
        <v>13119.12</v>
      </c>
      <c r="L33" s="4">
        <v>1119.77</v>
      </c>
    </row>
    <row r="34" spans="1:12" x14ac:dyDescent="0.3">
      <c r="A34" t="s">
        <v>113</v>
      </c>
      <c r="B34" s="2">
        <v>45681</v>
      </c>
      <c r="C34" t="s">
        <v>38</v>
      </c>
      <c r="D34" t="s">
        <v>14</v>
      </c>
      <c r="E34" t="s">
        <v>114</v>
      </c>
      <c r="F34" t="s">
        <v>23</v>
      </c>
      <c r="G34" t="s">
        <v>35</v>
      </c>
      <c r="H34" t="s">
        <v>36</v>
      </c>
      <c r="I34">
        <v>3</v>
      </c>
      <c r="J34" s="3">
        <v>0.2</v>
      </c>
      <c r="K34" s="4">
        <v>22742.67</v>
      </c>
      <c r="L34" s="4">
        <v>234.69</v>
      </c>
    </row>
    <row r="35" spans="1:12" x14ac:dyDescent="0.3">
      <c r="A35" t="s">
        <v>115</v>
      </c>
      <c r="B35" s="2">
        <v>45682</v>
      </c>
      <c r="C35" t="s">
        <v>100</v>
      </c>
      <c r="D35" t="s">
        <v>33</v>
      </c>
      <c r="E35" t="s">
        <v>86</v>
      </c>
      <c r="F35" t="s">
        <v>23</v>
      </c>
      <c r="G35" t="s">
        <v>58</v>
      </c>
      <c r="H35" t="s">
        <v>78</v>
      </c>
      <c r="I35">
        <v>6</v>
      </c>
      <c r="J35" s="3">
        <v>0.05</v>
      </c>
      <c r="K35" s="4">
        <v>107041.32</v>
      </c>
      <c r="L35" s="4">
        <v>15439.88</v>
      </c>
    </row>
    <row r="36" spans="1:12" x14ac:dyDescent="0.3">
      <c r="A36" t="s">
        <v>116</v>
      </c>
      <c r="B36" s="2">
        <v>45682</v>
      </c>
      <c r="C36" t="s">
        <v>95</v>
      </c>
      <c r="D36" t="s">
        <v>21</v>
      </c>
      <c r="E36" t="s">
        <v>22</v>
      </c>
      <c r="F36" t="s">
        <v>28</v>
      </c>
      <c r="G36" t="s">
        <v>74</v>
      </c>
      <c r="H36" t="s">
        <v>75</v>
      </c>
      <c r="I36">
        <v>1</v>
      </c>
      <c r="J36" s="3">
        <v>0</v>
      </c>
      <c r="K36" s="4">
        <v>2448.84</v>
      </c>
      <c r="L36" s="4">
        <v>580.04999999999995</v>
      </c>
    </row>
    <row r="37" spans="1:12" x14ac:dyDescent="0.3">
      <c r="A37" t="s">
        <v>117</v>
      </c>
      <c r="B37" s="2">
        <v>45682</v>
      </c>
      <c r="C37" t="s">
        <v>85</v>
      </c>
      <c r="D37" t="s">
        <v>21</v>
      </c>
      <c r="E37" t="s">
        <v>57</v>
      </c>
      <c r="F37" t="s">
        <v>23</v>
      </c>
      <c r="G37" t="s">
        <v>48</v>
      </c>
      <c r="H37" t="s">
        <v>118</v>
      </c>
      <c r="I37">
        <v>5</v>
      </c>
      <c r="J37" s="3">
        <v>0.2</v>
      </c>
      <c r="K37" s="4">
        <v>33953.449999999997</v>
      </c>
      <c r="L37" s="4">
        <v>488.52</v>
      </c>
    </row>
    <row r="38" spans="1:12" x14ac:dyDescent="0.3">
      <c r="A38" t="s">
        <v>119</v>
      </c>
      <c r="B38" s="2">
        <v>45682</v>
      </c>
      <c r="C38" t="s">
        <v>85</v>
      </c>
      <c r="D38" t="s">
        <v>39</v>
      </c>
      <c r="E38" t="s">
        <v>52</v>
      </c>
      <c r="F38" t="s">
        <v>23</v>
      </c>
      <c r="G38" t="s">
        <v>48</v>
      </c>
      <c r="H38" t="s">
        <v>118</v>
      </c>
      <c r="I38">
        <v>4</v>
      </c>
      <c r="J38" s="3">
        <v>0.2</v>
      </c>
      <c r="K38" s="4">
        <v>126689.36</v>
      </c>
      <c r="L38" s="4">
        <v>13821.48</v>
      </c>
    </row>
    <row r="39" spans="1:12" x14ac:dyDescent="0.3">
      <c r="A39" t="s">
        <v>120</v>
      </c>
      <c r="B39" s="2">
        <v>45683</v>
      </c>
      <c r="C39" t="s">
        <v>13</v>
      </c>
      <c r="D39" t="s">
        <v>33</v>
      </c>
      <c r="E39" t="s">
        <v>45</v>
      </c>
      <c r="F39" t="s">
        <v>28</v>
      </c>
      <c r="G39" t="s">
        <v>71</v>
      </c>
      <c r="H39" t="s">
        <v>121</v>
      </c>
      <c r="I39">
        <v>2</v>
      </c>
      <c r="J39" s="3">
        <v>0.1</v>
      </c>
      <c r="K39" s="4">
        <v>3288.44</v>
      </c>
      <c r="L39" s="4">
        <v>230.14</v>
      </c>
    </row>
    <row r="40" spans="1:12" x14ac:dyDescent="0.3">
      <c r="A40" t="s">
        <v>122</v>
      </c>
      <c r="B40" s="2">
        <v>45684</v>
      </c>
      <c r="C40" t="s">
        <v>38</v>
      </c>
      <c r="D40" t="s">
        <v>14</v>
      </c>
      <c r="E40" t="s">
        <v>114</v>
      </c>
      <c r="F40" t="s">
        <v>28</v>
      </c>
      <c r="G40" t="s">
        <v>29</v>
      </c>
      <c r="H40" t="s">
        <v>30</v>
      </c>
      <c r="I40">
        <v>5</v>
      </c>
      <c r="J40" s="3">
        <v>0</v>
      </c>
      <c r="K40" s="4">
        <v>14789.8</v>
      </c>
      <c r="L40" s="4">
        <v>2563.4699999999998</v>
      </c>
    </row>
    <row r="41" spans="1:12" x14ac:dyDescent="0.3">
      <c r="A41" t="s">
        <v>123</v>
      </c>
      <c r="B41" s="2">
        <v>45684</v>
      </c>
      <c r="C41" t="s">
        <v>32</v>
      </c>
      <c r="D41" t="s">
        <v>21</v>
      </c>
      <c r="E41" t="s">
        <v>105</v>
      </c>
      <c r="F41" t="s">
        <v>23</v>
      </c>
      <c r="G41" t="s">
        <v>48</v>
      </c>
      <c r="H41" t="s">
        <v>124</v>
      </c>
      <c r="I41">
        <v>1</v>
      </c>
      <c r="J41" s="3">
        <v>0.15</v>
      </c>
      <c r="K41" s="4">
        <v>48191.24</v>
      </c>
      <c r="L41" s="4">
        <v>7316.2</v>
      </c>
    </row>
    <row r="42" spans="1:12" x14ac:dyDescent="0.3">
      <c r="A42" t="s">
        <v>125</v>
      </c>
      <c r="B42" s="2">
        <v>45685</v>
      </c>
      <c r="C42" t="s">
        <v>109</v>
      </c>
      <c r="D42" t="s">
        <v>39</v>
      </c>
      <c r="E42" t="s">
        <v>40</v>
      </c>
      <c r="F42" t="s">
        <v>23</v>
      </c>
      <c r="G42" t="s">
        <v>48</v>
      </c>
      <c r="H42" t="s">
        <v>118</v>
      </c>
      <c r="I42">
        <v>6</v>
      </c>
      <c r="J42" s="3">
        <v>0.2</v>
      </c>
      <c r="K42" s="4">
        <v>141340.26</v>
      </c>
      <c r="L42" s="4">
        <v>2911.33</v>
      </c>
    </row>
    <row r="43" spans="1:12" x14ac:dyDescent="0.3">
      <c r="A43" t="s">
        <v>126</v>
      </c>
      <c r="B43" s="2">
        <v>45685</v>
      </c>
      <c r="C43" t="s">
        <v>61</v>
      </c>
      <c r="D43" t="s">
        <v>39</v>
      </c>
      <c r="E43" t="s">
        <v>40</v>
      </c>
      <c r="F43" t="s">
        <v>16</v>
      </c>
      <c r="G43" t="s">
        <v>17</v>
      </c>
      <c r="H43" t="s">
        <v>18</v>
      </c>
      <c r="I43">
        <v>7</v>
      </c>
      <c r="J43" s="3">
        <v>0.05</v>
      </c>
      <c r="K43" s="4">
        <v>29427.37</v>
      </c>
      <c r="L43" s="4">
        <v>4517.3100000000004</v>
      </c>
    </row>
    <row r="44" spans="1:12" x14ac:dyDescent="0.3">
      <c r="A44" t="s">
        <v>127</v>
      </c>
      <c r="B44" s="2">
        <v>45685</v>
      </c>
      <c r="C44" t="s">
        <v>95</v>
      </c>
      <c r="D44" t="s">
        <v>39</v>
      </c>
      <c r="E44" t="s">
        <v>128</v>
      </c>
      <c r="F44" t="s">
        <v>23</v>
      </c>
      <c r="G44" t="s">
        <v>24</v>
      </c>
      <c r="H44" t="s">
        <v>129</v>
      </c>
      <c r="I44">
        <v>3</v>
      </c>
      <c r="J44" s="3">
        <v>0</v>
      </c>
      <c r="K44" s="4">
        <v>99334.32</v>
      </c>
      <c r="L44" s="4">
        <v>21008.26</v>
      </c>
    </row>
    <row r="45" spans="1:12" x14ac:dyDescent="0.3">
      <c r="A45" t="s">
        <v>130</v>
      </c>
      <c r="B45" s="2">
        <v>45686</v>
      </c>
      <c r="C45" t="s">
        <v>77</v>
      </c>
      <c r="D45" t="s">
        <v>14</v>
      </c>
      <c r="E45" t="s">
        <v>54</v>
      </c>
      <c r="F45" t="s">
        <v>28</v>
      </c>
      <c r="G45" t="s">
        <v>71</v>
      </c>
      <c r="H45" t="s">
        <v>121</v>
      </c>
      <c r="I45">
        <v>5</v>
      </c>
      <c r="J45" s="3">
        <v>0.15</v>
      </c>
      <c r="K45" s="4">
        <v>1421.1</v>
      </c>
      <c r="L45" s="4">
        <v>190.68</v>
      </c>
    </row>
    <row r="46" spans="1:12" x14ac:dyDescent="0.3">
      <c r="A46" t="s">
        <v>131</v>
      </c>
      <c r="B46" s="2">
        <v>45687</v>
      </c>
      <c r="C46" t="s">
        <v>109</v>
      </c>
      <c r="D46" t="s">
        <v>21</v>
      </c>
      <c r="E46" t="s">
        <v>67</v>
      </c>
      <c r="F46" t="s">
        <v>23</v>
      </c>
      <c r="G46" t="s">
        <v>24</v>
      </c>
      <c r="H46" t="s">
        <v>132</v>
      </c>
      <c r="I46">
        <v>2</v>
      </c>
      <c r="J46" s="3">
        <v>0.2</v>
      </c>
      <c r="K46" s="4">
        <v>86456.58</v>
      </c>
      <c r="L46" s="4">
        <v>12570.8</v>
      </c>
    </row>
    <row r="47" spans="1:12" x14ac:dyDescent="0.3">
      <c r="A47" t="s">
        <v>133</v>
      </c>
      <c r="B47" s="2">
        <v>45688</v>
      </c>
      <c r="C47" t="s">
        <v>109</v>
      </c>
      <c r="D47" t="s">
        <v>39</v>
      </c>
      <c r="E47" t="s">
        <v>47</v>
      </c>
      <c r="F47" t="s">
        <v>28</v>
      </c>
      <c r="G47" t="s">
        <v>29</v>
      </c>
      <c r="H47" t="s">
        <v>30</v>
      </c>
      <c r="I47">
        <v>2</v>
      </c>
      <c r="J47" s="3">
        <v>0.1</v>
      </c>
      <c r="K47" s="4">
        <v>1462.92</v>
      </c>
      <c r="L47" s="4">
        <v>122.69</v>
      </c>
    </row>
    <row r="48" spans="1:12" x14ac:dyDescent="0.3">
      <c r="A48" t="s">
        <v>134</v>
      </c>
      <c r="B48" s="2">
        <v>45688</v>
      </c>
      <c r="C48" t="s">
        <v>135</v>
      </c>
      <c r="D48" t="s">
        <v>33</v>
      </c>
      <c r="E48" t="s">
        <v>45</v>
      </c>
      <c r="F48" t="s">
        <v>28</v>
      </c>
      <c r="G48" t="s">
        <v>74</v>
      </c>
      <c r="H48" t="s">
        <v>80</v>
      </c>
      <c r="I48">
        <v>4</v>
      </c>
      <c r="J48" s="3">
        <v>0.15</v>
      </c>
      <c r="K48" s="4">
        <v>9014.44</v>
      </c>
      <c r="L48" s="4">
        <v>1552.7</v>
      </c>
    </row>
    <row r="49" spans="1:12" x14ac:dyDescent="0.3">
      <c r="A49" t="s">
        <v>136</v>
      </c>
      <c r="B49" s="2">
        <v>45688</v>
      </c>
      <c r="C49" t="s">
        <v>44</v>
      </c>
      <c r="D49" t="s">
        <v>33</v>
      </c>
      <c r="E49" t="s">
        <v>86</v>
      </c>
      <c r="F49" t="s">
        <v>16</v>
      </c>
      <c r="G49" t="s">
        <v>62</v>
      </c>
      <c r="H49" t="s">
        <v>63</v>
      </c>
      <c r="I49">
        <v>1</v>
      </c>
      <c r="J49" s="3">
        <v>0.15</v>
      </c>
      <c r="K49" s="4">
        <v>11501.07</v>
      </c>
      <c r="L49" s="4">
        <v>403.47</v>
      </c>
    </row>
    <row r="50" spans="1:12" x14ac:dyDescent="0.3">
      <c r="A50" t="s">
        <v>137</v>
      </c>
      <c r="B50" s="2">
        <v>45689</v>
      </c>
      <c r="C50" t="s">
        <v>138</v>
      </c>
      <c r="D50" t="s">
        <v>39</v>
      </c>
      <c r="E50" t="s">
        <v>52</v>
      </c>
      <c r="F50" t="s">
        <v>28</v>
      </c>
      <c r="G50" t="s">
        <v>92</v>
      </c>
      <c r="H50" t="s">
        <v>93</v>
      </c>
      <c r="I50">
        <v>5</v>
      </c>
      <c r="J50" s="3">
        <v>0.15</v>
      </c>
      <c r="K50" s="4">
        <v>4535.3</v>
      </c>
      <c r="L50" s="4">
        <v>708.18</v>
      </c>
    </row>
    <row r="51" spans="1:12" x14ac:dyDescent="0.3">
      <c r="A51" t="s">
        <v>139</v>
      </c>
      <c r="B51" s="2">
        <v>45689</v>
      </c>
      <c r="C51" t="s">
        <v>66</v>
      </c>
      <c r="D51" t="s">
        <v>33</v>
      </c>
      <c r="E51" t="s">
        <v>140</v>
      </c>
      <c r="F51" t="s">
        <v>23</v>
      </c>
      <c r="G51" t="s">
        <v>58</v>
      </c>
      <c r="H51" t="s">
        <v>78</v>
      </c>
      <c r="I51">
        <v>2</v>
      </c>
      <c r="J51" s="3">
        <v>0.1</v>
      </c>
      <c r="K51" s="4">
        <v>3180.48</v>
      </c>
      <c r="L51" s="4">
        <v>596.75</v>
      </c>
    </row>
    <row r="52" spans="1:12" x14ac:dyDescent="0.3">
      <c r="A52" t="s">
        <v>141</v>
      </c>
      <c r="B52" s="2">
        <v>45692</v>
      </c>
      <c r="C52" t="s">
        <v>38</v>
      </c>
      <c r="D52" t="s">
        <v>33</v>
      </c>
      <c r="E52" t="s">
        <v>45</v>
      </c>
      <c r="F52" t="s">
        <v>23</v>
      </c>
      <c r="G52" t="s">
        <v>48</v>
      </c>
      <c r="H52" t="s">
        <v>124</v>
      </c>
      <c r="I52">
        <v>7</v>
      </c>
      <c r="J52" s="3">
        <v>0.15</v>
      </c>
      <c r="K52" s="4">
        <v>75712.350000000006</v>
      </c>
      <c r="L52" s="4">
        <v>4324.1499999999996</v>
      </c>
    </row>
    <row r="53" spans="1:12" x14ac:dyDescent="0.3">
      <c r="A53" t="s">
        <v>142</v>
      </c>
      <c r="B53" s="2">
        <v>45692</v>
      </c>
      <c r="C53" t="s">
        <v>143</v>
      </c>
      <c r="D53" t="s">
        <v>33</v>
      </c>
      <c r="E53" t="s">
        <v>34</v>
      </c>
      <c r="F53" t="s">
        <v>28</v>
      </c>
      <c r="G53" t="s">
        <v>29</v>
      </c>
      <c r="H53" t="s">
        <v>98</v>
      </c>
      <c r="I53">
        <v>6</v>
      </c>
      <c r="J53" s="3">
        <v>0.2</v>
      </c>
      <c r="K53" s="4">
        <v>2013.96</v>
      </c>
      <c r="L53" s="4">
        <v>67.989999999999995</v>
      </c>
    </row>
    <row r="54" spans="1:12" x14ac:dyDescent="0.3">
      <c r="A54" t="s">
        <v>144</v>
      </c>
      <c r="B54" s="2">
        <v>45693</v>
      </c>
      <c r="C54" t="s">
        <v>104</v>
      </c>
      <c r="D54" t="s">
        <v>39</v>
      </c>
      <c r="E54" t="s">
        <v>128</v>
      </c>
      <c r="F54" t="s">
        <v>23</v>
      </c>
      <c r="G54" t="s">
        <v>48</v>
      </c>
      <c r="H54" t="s">
        <v>118</v>
      </c>
      <c r="I54">
        <v>5</v>
      </c>
      <c r="J54" s="3">
        <v>0</v>
      </c>
      <c r="K54" s="4">
        <v>160200.15</v>
      </c>
      <c r="L54" s="4">
        <v>17458.810000000001</v>
      </c>
    </row>
    <row r="55" spans="1:12" x14ac:dyDescent="0.3">
      <c r="A55" t="s">
        <v>145</v>
      </c>
      <c r="B55" s="2">
        <v>45694</v>
      </c>
      <c r="C55" t="s">
        <v>109</v>
      </c>
      <c r="D55" t="s">
        <v>21</v>
      </c>
      <c r="E55" t="s">
        <v>57</v>
      </c>
      <c r="F55" t="s">
        <v>16</v>
      </c>
      <c r="G55" t="s">
        <v>62</v>
      </c>
      <c r="H55" t="s">
        <v>63</v>
      </c>
      <c r="I55">
        <v>1</v>
      </c>
      <c r="J55" s="3">
        <v>0.1</v>
      </c>
      <c r="K55" s="4">
        <v>3707.02</v>
      </c>
      <c r="L55" s="4">
        <v>624.30999999999995</v>
      </c>
    </row>
    <row r="56" spans="1:12" x14ac:dyDescent="0.3">
      <c r="A56" t="s">
        <v>146</v>
      </c>
      <c r="B56" s="2">
        <v>45695</v>
      </c>
      <c r="C56" t="s">
        <v>147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>
        <v>5</v>
      </c>
      <c r="J56" s="3">
        <v>0.05</v>
      </c>
      <c r="K56" s="4">
        <v>21341</v>
      </c>
      <c r="L56" s="4">
        <v>4753.29</v>
      </c>
    </row>
    <row r="57" spans="1:12" x14ac:dyDescent="0.3">
      <c r="A57" t="s">
        <v>148</v>
      </c>
      <c r="B57" s="2">
        <v>45696</v>
      </c>
      <c r="C57" t="s">
        <v>32</v>
      </c>
      <c r="D57" t="s">
        <v>21</v>
      </c>
      <c r="E57" t="s">
        <v>22</v>
      </c>
      <c r="F57" t="s">
        <v>16</v>
      </c>
      <c r="G57" t="s">
        <v>17</v>
      </c>
      <c r="H57" t="s">
        <v>88</v>
      </c>
      <c r="I57">
        <v>4</v>
      </c>
      <c r="J57" s="3">
        <v>0.2</v>
      </c>
      <c r="K57" s="4">
        <v>31342.36</v>
      </c>
      <c r="L57" s="4">
        <v>5121.88</v>
      </c>
    </row>
    <row r="58" spans="1:12" x14ac:dyDescent="0.3">
      <c r="A58" t="s">
        <v>149</v>
      </c>
      <c r="B58" s="2">
        <v>45696</v>
      </c>
      <c r="C58" t="s">
        <v>150</v>
      </c>
      <c r="D58" t="s">
        <v>21</v>
      </c>
      <c r="E58" t="s">
        <v>57</v>
      </c>
      <c r="F58" t="s">
        <v>28</v>
      </c>
      <c r="G58" t="s">
        <v>71</v>
      </c>
      <c r="H58" t="s">
        <v>72</v>
      </c>
      <c r="I58">
        <v>7</v>
      </c>
      <c r="J58" s="3">
        <v>0.1</v>
      </c>
      <c r="K58" s="4">
        <v>29029.07</v>
      </c>
      <c r="L58" s="4">
        <v>2395.79</v>
      </c>
    </row>
    <row r="59" spans="1:12" x14ac:dyDescent="0.3">
      <c r="A59" t="s">
        <v>151</v>
      </c>
      <c r="B59" s="2">
        <v>45696</v>
      </c>
      <c r="C59" t="s">
        <v>27</v>
      </c>
      <c r="D59" t="s">
        <v>33</v>
      </c>
      <c r="E59" t="s">
        <v>140</v>
      </c>
      <c r="F59" t="s">
        <v>23</v>
      </c>
      <c r="G59" t="s">
        <v>48</v>
      </c>
      <c r="H59" t="s">
        <v>49</v>
      </c>
      <c r="I59">
        <v>3</v>
      </c>
      <c r="J59" s="3">
        <v>0.05</v>
      </c>
      <c r="K59" s="4">
        <v>11122.26</v>
      </c>
      <c r="L59" s="4">
        <v>1925.6</v>
      </c>
    </row>
    <row r="60" spans="1:12" x14ac:dyDescent="0.3">
      <c r="A60" t="s">
        <v>152</v>
      </c>
      <c r="B60" s="2">
        <v>45697</v>
      </c>
      <c r="C60" t="s">
        <v>85</v>
      </c>
      <c r="D60" t="s">
        <v>33</v>
      </c>
      <c r="E60" t="s">
        <v>34</v>
      </c>
      <c r="F60" t="s">
        <v>16</v>
      </c>
      <c r="G60" t="s">
        <v>17</v>
      </c>
      <c r="H60" t="s">
        <v>153</v>
      </c>
      <c r="I60">
        <v>6</v>
      </c>
      <c r="J60" s="3">
        <v>0.05</v>
      </c>
      <c r="K60" s="4">
        <v>43876.14</v>
      </c>
      <c r="L60" s="4">
        <v>7003.69</v>
      </c>
    </row>
    <row r="61" spans="1:12" x14ac:dyDescent="0.3">
      <c r="A61" t="s">
        <v>154</v>
      </c>
      <c r="B61" s="2">
        <v>45698</v>
      </c>
      <c r="C61" t="s">
        <v>109</v>
      </c>
      <c r="D61" t="s">
        <v>14</v>
      </c>
      <c r="E61" t="s">
        <v>114</v>
      </c>
      <c r="F61" t="s">
        <v>23</v>
      </c>
      <c r="G61" t="s">
        <v>35</v>
      </c>
      <c r="H61" t="s">
        <v>155</v>
      </c>
      <c r="I61">
        <v>3</v>
      </c>
      <c r="J61" s="3">
        <v>0.05</v>
      </c>
      <c r="K61" s="4">
        <v>88332.54</v>
      </c>
      <c r="L61" s="4">
        <v>11077.69</v>
      </c>
    </row>
    <row r="62" spans="1:12" x14ac:dyDescent="0.3">
      <c r="A62" t="s">
        <v>156</v>
      </c>
      <c r="B62" s="2">
        <v>45698</v>
      </c>
      <c r="C62" t="s">
        <v>77</v>
      </c>
      <c r="D62" t="s">
        <v>21</v>
      </c>
      <c r="E62" t="s">
        <v>57</v>
      </c>
      <c r="F62" t="s">
        <v>23</v>
      </c>
      <c r="G62" t="s">
        <v>24</v>
      </c>
      <c r="H62" t="s">
        <v>129</v>
      </c>
      <c r="I62">
        <v>5</v>
      </c>
      <c r="J62" s="3">
        <v>0</v>
      </c>
      <c r="K62" s="4">
        <v>88924.9</v>
      </c>
      <c r="L62" s="4">
        <v>7562.49</v>
      </c>
    </row>
    <row r="63" spans="1:12" x14ac:dyDescent="0.3">
      <c r="A63" t="s">
        <v>157</v>
      </c>
      <c r="B63" s="2">
        <v>45699</v>
      </c>
      <c r="C63" t="s">
        <v>20</v>
      </c>
      <c r="D63" t="s">
        <v>39</v>
      </c>
      <c r="E63" t="s">
        <v>128</v>
      </c>
      <c r="F63" t="s">
        <v>23</v>
      </c>
      <c r="G63" t="s">
        <v>58</v>
      </c>
      <c r="H63" t="s">
        <v>78</v>
      </c>
      <c r="I63">
        <v>3</v>
      </c>
      <c r="J63" s="3">
        <v>0</v>
      </c>
      <c r="K63" s="4">
        <v>86305.41</v>
      </c>
      <c r="L63" s="4">
        <v>9997</v>
      </c>
    </row>
    <row r="64" spans="1:12" x14ac:dyDescent="0.3">
      <c r="A64" t="s">
        <v>158</v>
      </c>
      <c r="B64" s="2">
        <v>45700</v>
      </c>
      <c r="C64" t="s">
        <v>61</v>
      </c>
      <c r="D64" t="s">
        <v>21</v>
      </c>
      <c r="E64" t="s">
        <v>105</v>
      </c>
      <c r="F64" t="s">
        <v>28</v>
      </c>
      <c r="G64" t="s">
        <v>74</v>
      </c>
      <c r="H64" t="s">
        <v>159</v>
      </c>
      <c r="I64">
        <v>1</v>
      </c>
      <c r="J64" s="3">
        <v>0.15</v>
      </c>
      <c r="K64" s="4">
        <v>870.64</v>
      </c>
      <c r="L64" s="4">
        <v>116.45</v>
      </c>
    </row>
    <row r="65" spans="1:12" x14ac:dyDescent="0.3">
      <c r="A65" t="s">
        <v>160</v>
      </c>
      <c r="B65" s="2">
        <v>45700</v>
      </c>
      <c r="C65" t="s">
        <v>13</v>
      </c>
      <c r="D65" t="s">
        <v>33</v>
      </c>
      <c r="E65" t="s">
        <v>45</v>
      </c>
      <c r="F65" t="s">
        <v>16</v>
      </c>
      <c r="G65" t="s">
        <v>62</v>
      </c>
      <c r="H65" t="s">
        <v>63</v>
      </c>
      <c r="I65">
        <v>1</v>
      </c>
      <c r="J65" s="3">
        <v>0.15</v>
      </c>
      <c r="K65" s="4">
        <v>3283.25</v>
      </c>
      <c r="L65" s="4">
        <v>204.17</v>
      </c>
    </row>
    <row r="66" spans="1:12" x14ac:dyDescent="0.3">
      <c r="A66" t="s">
        <v>161</v>
      </c>
      <c r="B66" s="2">
        <v>45700</v>
      </c>
      <c r="C66" t="s">
        <v>143</v>
      </c>
      <c r="D66" t="s">
        <v>33</v>
      </c>
      <c r="E66" t="s">
        <v>34</v>
      </c>
      <c r="F66" t="s">
        <v>16</v>
      </c>
      <c r="G66" t="s">
        <v>17</v>
      </c>
      <c r="H66" t="s">
        <v>18</v>
      </c>
      <c r="I66">
        <v>5</v>
      </c>
      <c r="J66" s="3">
        <v>0.1</v>
      </c>
      <c r="K66" s="4">
        <v>48622.5</v>
      </c>
      <c r="L66" s="4">
        <v>2288.1</v>
      </c>
    </row>
    <row r="67" spans="1:12" x14ac:dyDescent="0.3">
      <c r="A67" t="s">
        <v>162</v>
      </c>
      <c r="B67" s="2">
        <v>45703</v>
      </c>
      <c r="C67" t="s">
        <v>150</v>
      </c>
      <c r="D67" t="s">
        <v>39</v>
      </c>
      <c r="E67" t="s">
        <v>47</v>
      </c>
      <c r="F67" t="s">
        <v>16</v>
      </c>
      <c r="G67" t="s">
        <v>17</v>
      </c>
      <c r="H67" t="s">
        <v>153</v>
      </c>
      <c r="I67">
        <v>1</v>
      </c>
      <c r="J67" s="3">
        <v>0</v>
      </c>
      <c r="K67" s="4">
        <v>514.16999999999996</v>
      </c>
      <c r="L67" s="4">
        <v>94.22</v>
      </c>
    </row>
    <row r="68" spans="1:12" x14ac:dyDescent="0.3">
      <c r="A68" t="s">
        <v>163</v>
      </c>
      <c r="B68" s="2">
        <v>45703</v>
      </c>
      <c r="C68" t="s">
        <v>85</v>
      </c>
      <c r="D68" t="s">
        <v>21</v>
      </c>
      <c r="E68" t="s">
        <v>57</v>
      </c>
      <c r="F68" t="s">
        <v>16</v>
      </c>
      <c r="G68" t="s">
        <v>17</v>
      </c>
      <c r="H68" t="s">
        <v>153</v>
      </c>
      <c r="I68">
        <v>5</v>
      </c>
      <c r="J68" s="3">
        <v>0.05</v>
      </c>
      <c r="K68" s="4">
        <v>54886.45</v>
      </c>
      <c r="L68" s="4">
        <v>3610.74</v>
      </c>
    </row>
    <row r="69" spans="1:12" x14ac:dyDescent="0.3">
      <c r="A69" t="s">
        <v>164</v>
      </c>
      <c r="B69" s="2">
        <v>45704</v>
      </c>
      <c r="C69" t="s">
        <v>138</v>
      </c>
      <c r="D69" t="s">
        <v>21</v>
      </c>
      <c r="E69" t="s">
        <v>67</v>
      </c>
      <c r="F69" t="s">
        <v>23</v>
      </c>
      <c r="G69" t="s">
        <v>48</v>
      </c>
      <c r="H69" t="s">
        <v>49</v>
      </c>
      <c r="I69">
        <v>4</v>
      </c>
      <c r="J69" s="3">
        <v>0.15</v>
      </c>
      <c r="K69" s="4">
        <v>196467.36</v>
      </c>
      <c r="L69" s="4">
        <v>27829.89</v>
      </c>
    </row>
    <row r="70" spans="1:12" x14ac:dyDescent="0.3">
      <c r="A70" t="s">
        <v>165</v>
      </c>
      <c r="B70" s="2">
        <v>45704</v>
      </c>
      <c r="C70" t="s">
        <v>150</v>
      </c>
      <c r="D70" t="s">
        <v>39</v>
      </c>
      <c r="E70" t="s">
        <v>40</v>
      </c>
      <c r="F70" t="s">
        <v>16</v>
      </c>
      <c r="G70" t="s">
        <v>68</v>
      </c>
      <c r="H70" t="s">
        <v>83</v>
      </c>
      <c r="I70">
        <v>1</v>
      </c>
      <c r="J70" s="3">
        <v>0.15</v>
      </c>
      <c r="K70" s="4">
        <v>4419.38</v>
      </c>
      <c r="L70" s="4">
        <v>454.64</v>
      </c>
    </row>
    <row r="71" spans="1:12" x14ac:dyDescent="0.3">
      <c r="A71" t="s">
        <v>166</v>
      </c>
      <c r="B71" s="2">
        <v>45704</v>
      </c>
      <c r="C71" t="s">
        <v>38</v>
      </c>
      <c r="D71" t="s">
        <v>39</v>
      </c>
      <c r="E71" t="s">
        <v>128</v>
      </c>
      <c r="F71" t="s">
        <v>16</v>
      </c>
      <c r="G71" t="s">
        <v>62</v>
      </c>
      <c r="H71" t="s">
        <v>167</v>
      </c>
      <c r="I71">
        <v>4</v>
      </c>
      <c r="J71" s="3">
        <v>0.2</v>
      </c>
      <c r="K71" s="4">
        <v>47303.48</v>
      </c>
      <c r="L71" s="4">
        <v>4835.37</v>
      </c>
    </row>
    <row r="72" spans="1:12" x14ac:dyDescent="0.3">
      <c r="A72" t="s">
        <v>168</v>
      </c>
      <c r="B72" s="2">
        <v>45704</v>
      </c>
      <c r="C72" t="s">
        <v>143</v>
      </c>
      <c r="D72" t="s">
        <v>39</v>
      </c>
      <c r="E72" t="s">
        <v>47</v>
      </c>
      <c r="F72" t="s">
        <v>28</v>
      </c>
      <c r="G72" t="s">
        <v>71</v>
      </c>
      <c r="H72" t="s">
        <v>121</v>
      </c>
      <c r="I72">
        <v>1</v>
      </c>
      <c r="J72" s="3">
        <v>0.1</v>
      </c>
      <c r="K72" s="4">
        <v>177.48</v>
      </c>
      <c r="L72" s="4">
        <v>15.46</v>
      </c>
    </row>
    <row r="73" spans="1:12" x14ac:dyDescent="0.3">
      <c r="A73" t="s">
        <v>169</v>
      </c>
      <c r="B73" s="2">
        <v>45705</v>
      </c>
      <c r="C73" t="s">
        <v>95</v>
      </c>
      <c r="D73" t="s">
        <v>21</v>
      </c>
      <c r="E73" t="s">
        <v>22</v>
      </c>
      <c r="F73" t="s">
        <v>23</v>
      </c>
      <c r="G73" t="s">
        <v>48</v>
      </c>
      <c r="H73" t="s">
        <v>124</v>
      </c>
      <c r="I73">
        <v>6</v>
      </c>
      <c r="J73" s="3">
        <v>0</v>
      </c>
      <c r="K73" s="4">
        <v>146277.6</v>
      </c>
      <c r="L73" s="4">
        <v>30180.560000000001</v>
      </c>
    </row>
    <row r="74" spans="1:12" x14ac:dyDescent="0.3">
      <c r="A74" t="s">
        <v>170</v>
      </c>
      <c r="B74" s="2">
        <v>45705</v>
      </c>
      <c r="C74" t="s">
        <v>13</v>
      </c>
      <c r="D74" t="s">
        <v>39</v>
      </c>
      <c r="E74" t="s">
        <v>52</v>
      </c>
      <c r="F74" t="s">
        <v>16</v>
      </c>
      <c r="G74" t="s">
        <v>62</v>
      </c>
      <c r="H74" t="s">
        <v>167</v>
      </c>
      <c r="I74">
        <v>4</v>
      </c>
      <c r="J74" s="3">
        <v>0.05</v>
      </c>
      <c r="K74" s="4">
        <v>37259.68</v>
      </c>
      <c r="L74" s="4">
        <v>5800.05</v>
      </c>
    </row>
    <row r="75" spans="1:12" x14ac:dyDescent="0.3">
      <c r="A75" t="s">
        <v>171</v>
      </c>
      <c r="B75" s="2">
        <v>45706</v>
      </c>
      <c r="C75" t="s">
        <v>13</v>
      </c>
      <c r="D75" t="s">
        <v>33</v>
      </c>
      <c r="E75" t="s">
        <v>45</v>
      </c>
      <c r="F75" t="s">
        <v>16</v>
      </c>
      <c r="G75" t="s">
        <v>17</v>
      </c>
      <c r="H75" t="s">
        <v>153</v>
      </c>
      <c r="I75">
        <v>7</v>
      </c>
      <c r="J75" s="3">
        <v>0.15</v>
      </c>
      <c r="K75" s="4">
        <v>69246.240000000005</v>
      </c>
      <c r="L75" s="4">
        <v>6464.6</v>
      </c>
    </row>
    <row r="76" spans="1:12" x14ac:dyDescent="0.3">
      <c r="A76" t="s">
        <v>172</v>
      </c>
      <c r="B76" s="2">
        <v>45706</v>
      </c>
      <c r="C76" t="s">
        <v>66</v>
      </c>
      <c r="D76" t="s">
        <v>14</v>
      </c>
      <c r="E76" t="s">
        <v>54</v>
      </c>
      <c r="F76" t="s">
        <v>16</v>
      </c>
      <c r="G76" t="s">
        <v>17</v>
      </c>
      <c r="H76" t="s">
        <v>153</v>
      </c>
      <c r="I76">
        <v>6</v>
      </c>
      <c r="J76" s="3">
        <v>0</v>
      </c>
      <c r="K76" s="4">
        <v>20989.200000000001</v>
      </c>
      <c r="L76" s="4">
        <v>3976.69</v>
      </c>
    </row>
    <row r="77" spans="1:12" x14ac:dyDescent="0.3">
      <c r="A77" t="s">
        <v>173</v>
      </c>
      <c r="B77" s="2">
        <v>45707</v>
      </c>
      <c r="C77" t="s">
        <v>147</v>
      </c>
      <c r="D77" t="s">
        <v>14</v>
      </c>
      <c r="E77" t="s">
        <v>15</v>
      </c>
      <c r="F77" t="s">
        <v>23</v>
      </c>
      <c r="G77" t="s">
        <v>58</v>
      </c>
      <c r="H77" t="s">
        <v>78</v>
      </c>
      <c r="I77">
        <v>7</v>
      </c>
      <c r="J77" s="3">
        <v>0.15</v>
      </c>
      <c r="K77" s="4">
        <v>232499.33</v>
      </c>
      <c r="L77" s="4">
        <v>15098.11</v>
      </c>
    </row>
    <row r="78" spans="1:12" x14ac:dyDescent="0.3">
      <c r="A78" t="s">
        <v>174</v>
      </c>
      <c r="B78" s="2">
        <v>45708</v>
      </c>
      <c r="C78" t="s">
        <v>51</v>
      </c>
      <c r="D78" t="s">
        <v>14</v>
      </c>
      <c r="E78" t="s">
        <v>54</v>
      </c>
      <c r="F78" t="s">
        <v>16</v>
      </c>
      <c r="G78" t="s">
        <v>68</v>
      </c>
      <c r="H78" t="s">
        <v>175</v>
      </c>
      <c r="I78">
        <v>7</v>
      </c>
      <c r="J78" s="3">
        <v>0</v>
      </c>
      <c r="K78" s="4">
        <v>82650.12</v>
      </c>
      <c r="L78" s="4">
        <v>7264.66</v>
      </c>
    </row>
    <row r="79" spans="1:12" x14ac:dyDescent="0.3">
      <c r="A79" t="s">
        <v>176</v>
      </c>
      <c r="B79" s="2">
        <v>45709</v>
      </c>
      <c r="C79" t="s">
        <v>66</v>
      </c>
      <c r="D79" t="s">
        <v>33</v>
      </c>
      <c r="E79" t="s">
        <v>45</v>
      </c>
      <c r="F79" t="s">
        <v>16</v>
      </c>
      <c r="G79" t="s">
        <v>41</v>
      </c>
      <c r="H79" t="s">
        <v>177</v>
      </c>
      <c r="I79">
        <v>6</v>
      </c>
      <c r="J79" s="3">
        <v>0.2</v>
      </c>
      <c r="K79" s="4">
        <v>12613.86</v>
      </c>
      <c r="L79" s="4">
        <v>1283.75</v>
      </c>
    </row>
    <row r="80" spans="1:12" x14ac:dyDescent="0.3">
      <c r="A80" t="s">
        <v>178</v>
      </c>
      <c r="B80" s="2">
        <v>45710</v>
      </c>
      <c r="C80" t="s">
        <v>179</v>
      </c>
      <c r="D80" t="s">
        <v>33</v>
      </c>
      <c r="E80" t="s">
        <v>140</v>
      </c>
      <c r="F80" t="s">
        <v>16</v>
      </c>
      <c r="G80" t="s">
        <v>62</v>
      </c>
      <c r="H80" t="s">
        <v>180</v>
      </c>
      <c r="I80">
        <v>5</v>
      </c>
      <c r="J80" s="3">
        <v>0.15</v>
      </c>
      <c r="K80" s="4">
        <v>35688.15</v>
      </c>
      <c r="L80" s="4">
        <v>1947.82</v>
      </c>
    </row>
    <row r="81" spans="1:12" x14ac:dyDescent="0.3">
      <c r="A81" t="s">
        <v>181</v>
      </c>
      <c r="B81" s="2">
        <v>45711</v>
      </c>
      <c r="C81" t="s">
        <v>38</v>
      </c>
      <c r="D81" t="s">
        <v>33</v>
      </c>
      <c r="E81" t="s">
        <v>140</v>
      </c>
      <c r="F81" t="s">
        <v>23</v>
      </c>
      <c r="G81" t="s">
        <v>58</v>
      </c>
      <c r="H81" t="s">
        <v>90</v>
      </c>
      <c r="I81">
        <v>3</v>
      </c>
      <c r="J81" s="3">
        <v>0</v>
      </c>
      <c r="K81" s="4">
        <v>135410.91</v>
      </c>
      <c r="L81" s="4">
        <v>31901.89</v>
      </c>
    </row>
    <row r="82" spans="1:12" x14ac:dyDescent="0.3">
      <c r="A82" t="s">
        <v>182</v>
      </c>
      <c r="B82" s="2">
        <v>45711</v>
      </c>
      <c r="C82" t="s">
        <v>44</v>
      </c>
      <c r="D82" t="s">
        <v>14</v>
      </c>
      <c r="E82" t="s">
        <v>15</v>
      </c>
      <c r="F82" t="s">
        <v>23</v>
      </c>
      <c r="G82" t="s">
        <v>35</v>
      </c>
      <c r="H82" t="s">
        <v>36</v>
      </c>
      <c r="I82">
        <v>4</v>
      </c>
      <c r="J82" s="3">
        <v>0.05</v>
      </c>
      <c r="K82" s="4">
        <v>137539.07999999999</v>
      </c>
      <c r="L82" s="4">
        <v>25289.58</v>
      </c>
    </row>
    <row r="83" spans="1:12" x14ac:dyDescent="0.3">
      <c r="A83" t="s">
        <v>183</v>
      </c>
      <c r="B83" s="2">
        <v>45713</v>
      </c>
      <c r="C83" t="s">
        <v>111</v>
      </c>
      <c r="D83" t="s">
        <v>21</v>
      </c>
      <c r="E83" t="s">
        <v>57</v>
      </c>
      <c r="F83" t="s">
        <v>28</v>
      </c>
      <c r="G83" t="s">
        <v>74</v>
      </c>
      <c r="H83" t="s">
        <v>159</v>
      </c>
      <c r="I83">
        <v>6</v>
      </c>
      <c r="J83" s="3">
        <v>0.2</v>
      </c>
      <c r="K83" s="4">
        <v>2545.2600000000002</v>
      </c>
      <c r="L83" s="4">
        <v>349.72</v>
      </c>
    </row>
    <row r="84" spans="1:12" x14ac:dyDescent="0.3">
      <c r="A84" t="s">
        <v>184</v>
      </c>
      <c r="B84" s="2">
        <v>45714</v>
      </c>
      <c r="C84" t="s">
        <v>135</v>
      </c>
      <c r="D84" t="s">
        <v>39</v>
      </c>
      <c r="E84" t="s">
        <v>52</v>
      </c>
      <c r="F84" t="s">
        <v>23</v>
      </c>
      <c r="G84" t="s">
        <v>24</v>
      </c>
      <c r="H84" t="s">
        <v>129</v>
      </c>
      <c r="I84">
        <v>5</v>
      </c>
      <c r="J84" s="3">
        <v>0.1</v>
      </c>
      <c r="K84" s="4">
        <v>20814.900000000001</v>
      </c>
      <c r="L84" s="4">
        <v>2195.87</v>
      </c>
    </row>
    <row r="85" spans="1:12" x14ac:dyDescent="0.3">
      <c r="A85" t="s">
        <v>185</v>
      </c>
      <c r="B85" s="2">
        <v>45715</v>
      </c>
      <c r="C85" t="s">
        <v>85</v>
      </c>
      <c r="D85" t="s">
        <v>14</v>
      </c>
      <c r="E85" t="s">
        <v>15</v>
      </c>
      <c r="F85" t="s">
        <v>16</v>
      </c>
      <c r="G85" t="s">
        <v>41</v>
      </c>
      <c r="H85" t="s">
        <v>42</v>
      </c>
      <c r="I85">
        <v>4</v>
      </c>
      <c r="J85" s="3">
        <v>0</v>
      </c>
      <c r="K85" s="4">
        <v>33193.24</v>
      </c>
      <c r="L85" s="4">
        <v>6640.7</v>
      </c>
    </row>
    <row r="86" spans="1:12" x14ac:dyDescent="0.3">
      <c r="A86" t="s">
        <v>186</v>
      </c>
      <c r="B86" s="2">
        <v>45716</v>
      </c>
      <c r="C86" t="s">
        <v>13</v>
      </c>
      <c r="D86" t="s">
        <v>39</v>
      </c>
      <c r="E86" t="s">
        <v>47</v>
      </c>
      <c r="F86" t="s">
        <v>23</v>
      </c>
      <c r="G86" t="s">
        <v>58</v>
      </c>
      <c r="H86" t="s">
        <v>90</v>
      </c>
      <c r="I86">
        <v>1</v>
      </c>
      <c r="J86" s="3">
        <v>0.1</v>
      </c>
      <c r="K86" s="4">
        <v>4234.1899999999996</v>
      </c>
      <c r="L86" s="4">
        <v>728.81</v>
      </c>
    </row>
    <row r="87" spans="1:12" x14ac:dyDescent="0.3">
      <c r="A87" t="s">
        <v>187</v>
      </c>
      <c r="B87" s="2">
        <v>45717</v>
      </c>
      <c r="C87" t="s">
        <v>95</v>
      </c>
      <c r="D87" t="s">
        <v>21</v>
      </c>
      <c r="E87" t="s">
        <v>22</v>
      </c>
      <c r="F87" t="s">
        <v>16</v>
      </c>
      <c r="G87" t="s">
        <v>17</v>
      </c>
      <c r="H87" t="s">
        <v>88</v>
      </c>
      <c r="I87">
        <v>3</v>
      </c>
      <c r="J87" s="3">
        <v>0.2</v>
      </c>
      <c r="K87" s="4">
        <v>32329.02</v>
      </c>
      <c r="L87" s="4">
        <v>367.58</v>
      </c>
    </row>
    <row r="88" spans="1:12" x14ac:dyDescent="0.3">
      <c r="A88" t="s">
        <v>188</v>
      </c>
      <c r="B88" s="2">
        <v>45717</v>
      </c>
      <c r="C88" t="s">
        <v>150</v>
      </c>
      <c r="D88" t="s">
        <v>21</v>
      </c>
      <c r="E88" t="s">
        <v>57</v>
      </c>
      <c r="F88" t="s">
        <v>28</v>
      </c>
      <c r="G88" t="s">
        <v>71</v>
      </c>
      <c r="H88" t="s">
        <v>121</v>
      </c>
      <c r="I88">
        <v>6</v>
      </c>
      <c r="J88" s="3">
        <v>0.15</v>
      </c>
      <c r="K88" s="4">
        <v>22758.720000000001</v>
      </c>
      <c r="L88" s="4">
        <v>1298.1099999999999</v>
      </c>
    </row>
    <row r="89" spans="1:12" x14ac:dyDescent="0.3">
      <c r="A89" t="s">
        <v>189</v>
      </c>
      <c r="B89" s="2">
        <v>45718</v>
      </c>
      <c r="C89" t="s">
        <v>100</v>
      </c>
      <c r="D89" t="s">
        <v>33</v>
      </c>
      <c r="E89" t="s">
        <v>140</v>
      </c>
      <c r="F89" t="s">
        <v>23</v>
      </c>
      <c r="G89" t="s">
        <v>24</v>
      </c>
      <c r="H89" t="s">
        <v>129</v>
      </c>
      <c r="I89">
        <v>2</v>
      </c>
      <c r="J89" s="3">
        <v>0.1</v>
      </c>
      <c r="K89" s="4">
        <v>46832.66</v>
      </c>
      <c r="L89" s="4">
        <v>8628.7999999999993</v>
      </c>
    </row>
    <row r="90" spans="1:12" x14ac:dyDescent="0.3">
      <c r="A90" t="s">
        <v>190</v>
      </c>
      <c r="B90" s="2">
        <v>45718</v>
      </c>
      <c r="C90" t="s">
        <v>95</v>
      </c>
      <c r="D90" t="s">
        <v>21</v>
      </c>
      <c r="E90" t="s">
        <v>105</v>
      </c>
      <c r="F90" t="s">
        <v>23</v>
      </c>
      <c r="G90" t="s">
        <v>35</v>
      </c>
      <c r="H90" t="s">
        <v>155</v>
      </c>
      <c r="I90">
        <v>4</v>
      </c>
      <c r="J90" s="3">
        <v>0</v>
      </c>
      <c r="K90" s="4">
        <v>145449.84</v>
      </c>
      <c r="L90" s="4">
        <v>31211.94</v>
      </c>
    </row>
    <row r="91" spans="1:12" x14ac:dyDescent="0.3">
      <c r="A91" t="s">
        <v>191</v>
      </c>
      <c r="B91" s="2">
        <v>45718</v>
      </c>
      <c r="C91" t="s">
        <v>44</v>
      </c>
      <c r="D91" t="s">
        <v>39</v>
      </c>
      <c r="E91" t="s">
        <v>52</v>
      </c>
      <c r="F91" t="s">
        <v>23</v>
      </c>
      <c r="G91" t="s">
        <v>24</v>
      </c>
      <c r="H91" t="s">
        <v>129</v>
      </c>
      <c r="I91">
        <v>1</v>
      </c>
      <c r="J91" s="3">
        <v>0.2</v>
      </c>
      <c r="K91" s="4">
        <v>41543.35</v>
      </c>
      <c r="L91" s="4">
        <v>2723.01</v>
      </c>
    </row>
    <row r="92" spans="1:12" x14ac:dyDescent="0.3">
      <c r="A92" t="s">
        <v>192</v>
      </c>
      <c r="B92" s="2">
        <v>45720</v>
      </c>
      <c r="C92" t="s">
        <v>85</v>
      </c>
      <c r="D92" t="s">
        <v>14</v>
      </c>
      <c r="E92" t="s">
        <v>114</v>
      </c>
      <c r="F92" t="s">
        <v>23</v>
      </c>
      <c r="G92" t="s">
        <v>35</v>
      </c>
      <c r="H92" t="s">
        <v>155</v>
      </c>
      <c r="I92">
        <v>7</v>
      </c>
      <c r="J92" s="3">
        <v>0.2</v>
      </c>
      <c r="K92" s="4">
        <v>47766.25</v>
      </c>
      <c r="L92" s="4">
        <v>3100.6</v>
      </c>
    </row>
    <row r="93" spans="1:12" x14ac:dyDescent="0.3">
      <c r="A93" t="s">
        <v>193</v>
      </c>
      <c r="B93" s="2">
        <v>45720</v>
      </c>
      <c r="C93" t="s">
        <v>111</v>
      </c>
      <c r="D93" t="s">
        <v>33</v>
      </c>
      <c r="E93" t="s">
        <v>140</v>
      </c>
      <c r="F93" t="s">
        <v>23</v>
      </c>
      <c r="G93" t="s">
        <v>24</v>
      </c>
      <c r="H93" t="s">
        <v>132</v>
      </c>
      <c r="I93">
        <v>3</v>
      </c>
      <c r="J93" s="3">
        <v>0.2</v>
      </c>
      <c r="K93" s="4">
        <v>68571.899999999994</v>
      </c>
      <c r="L93" s="4">
        <v>12011.1</v>
      </c>
    </row>
    <row r="94" spans="1:12" x14ac:dyDescent="0.3">
      <c r="A94" t="s">
        <v>194</v>
      </c>
      <c r="B94" s="2">
        <v>45722</v>
      </c>
      <c r="C94" t="s">
        <v>85</v>
      </c>
      <c r="D94" t="s">
        <v>21</v>
      </c>
      <c r="E94" t="s">
        <v>105</v>
      </c>
      <c r="F94" t="s">
        <v>23</v>
      </c>
      <c r="G94" t="s">
        <v>58</v>
      </c>
      <c r="H94" t="s">
        <v>59</v>
      </c>
      <c r="I94">
        <v>5</v>
      </c>
      <c r="J94" s="3">
        <v>0.2</v>
      </c>
      <c r="K94" s="4">
        <v>209238.65</v>
      </c>
      <c r="L94" s="4">
        <v>36804.769999999997</v>
      </c>
    </row>
    <row r="95" spans="1:12" x14ac:dyDescent="0.3">
      <c r="A95" t="s">
        <v>195</v>
      </c>
      <c r="B95" s="2">
        <v>45723</v>
      </c>
      <c r="C95" t="s">
        <v>32</v>
      </c>
      <c r="D95" t="s">
        <v>39</v>
      </c>
      <c r="E95" t="s">
        <v>40</v>
      </c>
      <c r="F95" t="s">
        <v>16</v>
      </c>
      <c r="G95" t="s">
        <v>17</v>
      </c>
      <c r="H95" t="s">
        <v>153</v>
      </c>
      <c r="I95">
        <v>4</v>
      </c>
      <c r="J95" s="3">
        <v>0</v>
      </c>
      <c r="K95" s="4">
        <v>33356.800000000003</v>
      </c>
      <c r="L95" s="4">
        <v>6384.43</v>
      </c>
    </row>
    <row r="96" spans="1:12" x14ac:dyDescent="0.3">
      <c r="A96" t="s">
        <v>196</v>
      </c>
      <c r="B96" s="2">
        <v>45724</v>
      </c>
      <c r="C96" t="s">
        <v>100</v>
      </c>
      <c r="D96" t="s">
        <v>21</v>
      </c>
      <c r="E96" t="s">
        <v>57</v>
      </c>
      <c r="F96" t="s">
        <v>16</v>
      </c>
      <c r="G96" t="s">
        <v>62</v>
      </c>
      <c r="H96" t="s">
        <v>167</v>
      </c>
      <c r="I96">
        <v>5</v>
      </c>
      <c r="J96" s="3">
        <v>0.1</v>
      </c>
      <c r="K96" s="4">
        <v>24591.9</v>
      </c>
      <c r="L96" s="4">
        <v>1979.82</v>
      </c>
    </row>
    <row r="97" spans="1:12" x14ac:dyDescent="0.3">
      <c r="A97" t="s">
        <v>197</v>
      </c>
      <c r="B97" s="2">
        <v>45724</v>
      </c>
      <c r="C97" t="s">
        <v>27</v>
      </c>
      <c r="D97" t="s">
        <v>33</v>
      </c>
      <c r="E97" t="s">
        <v>140</v>
      </c>
      <c r="F97" t="s">
        <v>23</v>
      </c>
      <c r="G97" t="s">
        <v>24</v>
      </c>
      <c r="H97" t="s">
        <v>25</v>
      </c>
      <c r="I97">
        <v>5</v>
      </c>
      <c r="J97" s="3">
        <v>0.15</v>
      </c>
      <c r="K97" s="4">
        <v>121977.2</v>
      </c>
      <c r="L97" s="4">
        <v>14491.88</v>
      </c>
    </row>
    <row r="98" spans="1:12" x14ac:dyDescent="0.3">
      <c r="A98" t="s">
        <v>198</v>
      </c>
      <c r="B98" s="2">
        <v>45724</v>
      </c>
      <c r="C98" t="s">
        <v>66</v>
      </c>
      <c r="D98" t="s">
        <v>33</v>
      </c>
      <c r="E98" t="s">
        <v>34</v>
      </c>
      <c r="F98" t="s">
        <v>16</v>
      </c>
      <c r="G98" t="s">
        <v>62</v>
      </c>
      <c r="H98" t="s">
        <v>167</v>
      </c>
      <c r="I98">
        <v>2</v>
      </c>
      <c r="J98" s="3">
        <v>0.2</v>
      </c>
      <c r="K98" s="4">
        <v>12791.06</v>
      </c>
      <c r="L98" s="4">
        <v>200.08</v>
      </c>
    </row>
    <row r="99" spans="1:12" x14ac:dyDescent="0.3">
      <c r="A99" t="s">
        <v>199</v>
      </c>
      <c r="B99" s="2">
        <v>45726</v>
      </c>
      <c r="C99" t="s">
        <v>104</v>
      </c>
      <c r="D99" t="s">
        <v>33</v>
      </c>
      <c r="E99" t="s">
        <v>45</v>
      </c>
      <c r="F99" t="s">
        <v>16</v>
      </c>
      <c r="G99" t="s">
        <v>68</v>
      </c>
      <c r="H99" t="s">
        <v>83</v>
      </c>
      <c r="I99">
        <v>4</v>
      </c>
      <c r="J99" s="3">
        <v>0.05</v>
      </c>
      <c r="K99" s="4">
        <v>38921.599999999999</v>
      </c>
      <c r="L99" s="4">
        <v>8634.76</v>
      </c>
    </row>
    <row r="100" spans="1:12" x14ac:dyDescent="0.3">
      <c r="A100" t="s">
        <v>200</v>
      </c>
      <c r="B100" s="2">
        <v>45726</v>
      </c>
      <c r="C100" t="s">
        <v>32</v>
      </c>
      <c r="D100" t="s">
        <v>14</v>
      </c>
      <c r="E100" t="s">
        <v>54</v>
      </c>
      <c r="F100" t="s">
        <v>23</v>
      </c>
      <c r="G100" t="s">
        <v>58</v>
      </c>
      <c r="H100" t="s">
        <v>78</v>
      </c>
      <c r="I100">
        <v>4</v>
      </c>
      <c r="J100" s="3">
        <v>0.1</v>
      </c>
      <c r="K100" s="4">
        <v>67881.2</v>
      </c>
      <c r="L100" s="4">
        <v>5509.49</v>
      </c>
    </row>
    <row r="101" spans="1:12" x14ac:dyDescent="0.3">
      <c r="A101" t="s">
        <v>201</v>
      </c>
      <c r="B101" s="2">
        <v>45727</v>
      </c>
      <c r="C101" t="s">
        <v>147</v>
      </c>
      <c r="D101" t="s">
        <v>14</v>
      </c>
      <c r="E101" t="s">
        <v>54</v>
      </c>
      <c r="F101" t="s">
        <v>16</v>
      </c>
      <c r="G101" t="s">
        <v>41</v>
      </c>
      <c r="H101" t="s">
        <v>42</v>
      </c>
      <c r="I101">
        <v>3</v>
      </c>
      <c r="J101" s="3">
        <v>0.15</v>
      </c>
      <c r="K101" s="4">
        <v>29939.279999999999</v>
      </c>
      <c r="L101" s="4">
        <v>1021.72</v>
      </c>
    </row>
    <row r="102" spans="1:12" x14ac:dyDescent="0.3">
      <c r="A102" t="s">
        <v>202</v>
      </c>
      <c r="B102" s="2">
        <v>45727</v>
      </c>
      <c r="C102" t="s">
        <v>77</v>
      </c>
      <c r="D102" t="s">
        <v>33</v>
      </c>
      <c r="E102" t="s">
        <v>140</v>
      </c>
      <c r="F102" t="s">
        <v>23</v>
      </c>
      <c r="G102" t="s">
        <v>48</v>
      </c>
      <c r="H102" t="s">
        <v>49</v>
      </c>
      <c r="I102">
        <v>3</v>
      </c>
      <c r="J102" s="3">
        <v>0.15</v>
      </c>
      <c r="K102" s="4">
        <v>53168.160000000003</v>
      </c>
      <c r="L102" s="4">
        <v>6717.31</v>
      </c>
    </row>
    <row r="103" spans="1:12" x14ac:dyDescent="0.3">
      <c r="A103" t="s">
        <v>203</v>
      </c>
      <c r="B103" s="2">
        <v>45729</v>
      </c>
      <c r="C103" t="s">
        <v>109</v>
      </c>
      <c r="D103" t="s">
        <v>14</v>
      </c>
      <c r="E103" t="s">
        <v>54</v>
      </c>
      <c r="F103" t="s">
        <v>28</v>
      </c>
      <c r="G103" t="s">
        <v>92</v>
      </c>
      <c r="H103" t="s">
        <v>204</v>
      </c>
      <c r="I103">
        <v>1</v>
      </c>
      <c r="J103" s="3">
        <v>0.05</v>
      </c>
      <c r="K103" s="4">
        <v>2040.26</v>
      </c>
      <c r="L103" s="4">
        <v>182.3</v>
      </c>
    </row>
    <row r="104" spans="1:12" x14ac:dyDescent="0.3">
      <c r="A104" t="s">
        <v>205</v>
      </c>
      <c r="B104" s="2">
        <v>45729</v>
      </c>
      <c r="C104" t="s">
        <v>44</v>
      </c>
      <c r="D104" t="s">
        <v>21</v>
      </c>
      <c r="E104" t="s">
        <v>57</v>
      </c>
      <c r="F104" t="s">
        <v>28</v>
      </c>
      <c r="G104" t="s">
        <v>74</v>
      </c>
      <c r="H104" t="s">
        <v>159</v>
      </c>
      <c r="I104">
        <v>5</v>
      </c>
      <c r="J104" s="3">
        <v>0.2</v>
      </c>
      <c r="K104" s="4">
        <v>16416.349999999999</v>
      </c>
      <c r="L104" s="4">
        <v>2482.3000000000002</v>
      </c>
    </row>
    <row r="105" spans="1:12" x14ac:dyDescent="0.3">
      <c r="A105" t="s">
        <v>206</v>
      </c>
      <c r="B105" s="2">
        <v>45730</v>
      </c>
      <c r="C105" t="s">
        <v>150</v>
      </c>
      <c r="D105" t="s">
        <v>21</v>
      </c>
      <c r="E105" t="s">
        <v>105</v>
      </c>
      <c r="F105" t="s">
        <v>28</v>
      </c>
      <c r="G105" t="s">
        <v>74</v>
      </c>
      <c r="H105" t="s">
        <v>75</v>
      </c>
      <c r="I105">
        <v>5</v>
      </c>
      <c r="J105" s="3">
        <v>0.1</v>
      </c>
      <c r="K105" s="4">
        <v>1060.9000000000001</v>
      </c>
      <c r="L105" s="4">
        <v>173.08</v>
      </c>
    </row>
    <row r="106" spans="1:12" x14ac:dyDescent="0.3">
      <c r="A106" t="s">
        <v>207</v>
      </c>
      <c r="B106" s="2">
        <v>45730</v>
      </c>
      <c r="C106" t="s">
        <v>44</v>
      </c>
      <c r="D106" t="s">
        <v>21</v>
      </c>
      <c r="E106" t="s">
        <v>105</v>
      </c>
      <c r="F106" t="s">
        <v>16</v>
      </c>
      <c r="G106" t="s">
        <v>68</v>
      </c>
      <c r="H106" t="s">
        <v>83</v>
      </c>
      <c r="I106">
        <v>2</v>
      </c>
      <c r="J106" s="3">
        <v>0.2</v>
      </c>
      <c r="K106" s="4">
        <v>5075.42</v>
      </c>
      <c r="L106" s="4">
        <v>149.80000000000001</v>
      </c>
    </row>
    <row r="107" spans="1:12" x14ac:dyDescent="0.3">
      <c r="A107" t="s">
        <v>208</v>
      </c>
      <c r="B107" s="2">
        <v>45730</v>
      </c>
      <c r="C107" t="s">
        <v>85</v>
      </c>
      <c r="D107" t="s">
        <v>33</v>
      </c>
      <c r="E107" t="s">
        <v>140</v>
      </c>
      <c r="F107" t="s">
        <v>23</v>
      </c>
      <c r="G107" t="s">
        <v>24</v>
      </c>
      <c r="H107" t="s">
        <v>25</v>
      </c>
      <c r="I107">
        <v>6</v>
      </c>
      <c r="J107" s="3">
        <v>0</v>
      </c>
      <c r="K107" s="4">
        <v>60457.2</v>
      </c>
      <c r="L107" s="4">
        <v>9955.2999999999993</v>
      </c>
    </row>
    <row r="108" spans="1:12" x14ac:dyDescent="0.3">
      <c r="A108" t="s">
        <v>209</v>
      </c>
      <c r="B108" s="2">
        <v>45730</v>
      </c>
      <c r="C108" t="s">
        <v>147</v>
      </c>
      <c r="D108" t="s">
        <v>39</v>
      </c>
      <c r="E108" t="s">
        <v>128</v>
      </c>
      <c r="F108" t="s">
        <v>23</v>
      </c>
      <c r="G108" t="s">
        <v>24</v>
      </c>
      <c r="H108" t="s">
        <v>132</v>
      </c>
      <c r="I108">
        <v>6</v>
      </c>
      <c r="J108" s="3">
        <v>0.15</v>
      </c>
      <c r="K108" s="4">
        <v>237708.42</v>
      </c>
      <c r="L108" s="4">
        <v>15681.02</v>
      </c>
    </row>
    <row r="109" spans="1:12" x14ac:dyDescent="0.3">
      <c r="A109" t="s">
        <v>210</v>
      </c>
      <c r="B109" s="2">
        <v>45731</v>
      </c>
      <c r="C109" t="s">
        <v>100</v>
      </c>
      <c r="D109" t="s">
        <v>14</v>
      </c>
      <c r="E109" t="s">
        <v>97</v>
      </c>
      <c r="F109" t="s">
        <v>23</v>
      </c>
      <c r="G109" t="s">
        <v>58</v>
      </c>
      <c r="H109" t="s">
        <v>101</v>
      </c>
      <c r="I109">
        <v>1</v>
      </c>
      <c r="J109" s="3">
        <v>0.1</v>
      </c>
      <c r="K109" s="4">
        <v>12060.67</v>
      </c>
      <c r="L109" s="4">
        <v>2323.2399999999998</v>
      </c>
    </row>
    <row r="110" spans="1:12" x14ac:dyDescent="0.3">
      <c r="A110" t="s">
        <v>211</v>
      </c>
      <c r="B110" s="2">
        <v>45733</v>
      </c>
      <c r="C110" t="s">
        <v>27</v>
      </c>
      <c r="D110" t="s">
        <v>39</v>
      </c>
      <c r="E110" t="s">
        <v>47</v>
      </c>
      <c r="F110" t="s">
        <v>23</v>
      </c>
      <c r="G110" t="s">
        <v>48</v>
      </c>
      <c r="H110" t="s">
        <v>124</v>
      </c>
      <c r="I110">
        <v>2</v>
      </c>
      <c r="J110" s="3">
        <v>0</v>
      </c>
      <c r="K110" s="4">
        <v>83957.24</v>
      </c>
      <c r="L110" s="4">
        <v>8159.88</v>
      </c>
    </row>
    <row r="111" spans="1:12" x14ac:dyDescent="0.3">
      <c r="A111" t="s">
        <v>212</v>
      </c>
      <c r="B111" s="2">
        <v>45734</v>
      </c>
      <c r="C111" t="s">
        <v>51</v>
      </c>
      <c r="D111" t="s">
        <v>39</v>
      </c>
      <c r="E111" t="s">
        <v>40</v>
      </c>
      <c r="F111" t="s">
        <v>16</v>
      </c>
      <c r="G111" t="s">
        <v>68</v>
      </c>
      <c r="H111" t="s">
        <v>83</v>
      </c>
      <c r="I111">
        <v>7</v>
      </c>
      <c r="J111" s="3">
        <v>0.2</v>
      </c>
      <c r="K111" s="4">
        <v>19047.21</v>
      </c>
      <c r="L111" s="4">
        <v>2188.1</v>
      </c>
    </row>
    <row r="112" spans="1:12" x14ac:dyDescent="0.3">
      <c r="A112" t="s">
        <v>213</v>
      </c>
      <c r="B112" s="2">
        <v>45736</v>
      </c>
      <c r="C112" t="s">
        <v>20</v>
      </c>
      <c r="D112" t="s">
        <v>39</v>
      </c>
      <c r="E112" t="s">
        <v>47</v>
      </c>
      <c r="F112" t="s">
        <v>16</v>
      </c>
      <c r="G112" t="s">
        <v>68</v>
      </c>
      <c r="H112" t="s">
        <v>175</v>
      </c>
      <c r="I112">
        <v>3</v>
      </c>
      <c r="J112" s="3">
        <v>0.05</v>
      </c>
      <c r="K112" s="4">
        <v>25073.7</v>
      </c>
      <c r="L112" s="4">
        <v>2244.59</v>
      </c>
    </row>
    <row r="113" spans="1:12" x14ac:dyDescent="0.3">
      <c r="A113" t="s">
        <v>214</v>
      </c>
      <c r="B113" s="2">
        <v>45738</v>
      </c>
      <c r="C113" t="s">
        <v>27</v>
      </c>
      <c r="D113" t="s">
        <v>21</v>
      </c>
      <c r="E113" t="s">
        <v>105</v>
      </c>
      <c r="F113" t="s">
        <v>23</v>
      </c>
      <c r="G113" t="s">
        <v>35</v>
      </c>
      <c r="H113" t="s">
        <v>36</v>
      </c>
      <c r="I113">
        <v>6</v>
      </c>
      <c r="J113" s="3">
        <v>0.1</v>
      </c>
      <c r="K113" s="4">
        <v>161991.84</v>
      </c>
      <c r="L113" s="4">
        <v>20673.41</v>
      </c>
    </row>
    <row r="114" spans="1:12" x14ac:dyDescent="0.3">
      <c r="A114" t="s">
        <v>215</v>
      </c>
      <c r="B114" s="2">
        <v>45739</v>
      </c>
      <c r="C114" t="s">
        <v>44</v>
      </c>
      <c r="D114" t="s">
        <v>39</v>
      </c>
      <c r="E114" t="s">
        <v>52</v>
      </c>
      <c r="F114" t="s">
        <v>16</v>
      </c>
      <c r="G114" t="s">
        <v>41</v>
      </c>
      <c r="H114" t="s">
        <v>177</v>
      </c>
      <c r="I114">
        <v>7</v>
      </c>
      <c r="J114" s="3">
        <v>0.1</v>
      </c>
      <c r="K114" s="4">
        <v>40139.050000000003</v>
      </c>
      <c r="L114" s="4">
        <v>7462.48</v>
      </c>
    </row>
    <row r="115" spans="1:12" x14ac:dyDescent="0.3">
      <c r="A115" t="s">
        <v>216</v>
      </c>
      <c r="B115" s="2">
        <v>45739</v>
      </c>
      <c r="C115" t="s">
        <v>85</v>
      </c>
      <c r="D115" t="s">
        <v>21</v>
      </c>
      <c r="E115" t="s">
        <v>67</v>
      </c>
      <c r="F115" t="s">
        <v>28</v>
      </c>
      <c r="G115" t="s">
        <v>29</v>
      </c>
      <c r="H115" t="s">
        <v>98</v>
      </c>
      <c r="I115">
        <v>3</v>
      </c>
      <c r="J115" s="3">
        <v>0.05</v>
      </c>
      <c r="K115" s="4">
        <v>10212.27</v>
      </c>
      <c r="L115" s="4">
        <v>2145.29</v>
      </c>
    </row>
    <row r="116" spans="1:12" x14ac:dyDescent="0.3">
      <c r="A116" t="s">
        <v>217</v>
      </c>
      <c r="B116" s="2">
        <v>45739</v>
      </c>
      <c r="C116" t="s">
        <v>111</v>
      </c>
      <c r="D116" t="s">
        <v>39</v>
      </c>
      <c r="E116" t="s">
        <v>47</v>
      </c>
      <c r="F116" t="s">
        <v>23</v>
      </c>
      <c r="G116" t="s">
        <v>58</v>
      </c>
      <c r="H116" t="s">
        <v>78</v>
      </c>
      <c r="I116">
        <v>2</v>
      </c>
      <c r="J116" s="3">
        <v>0.2</v>
      </c>
      <c r="K116" s="4">
        <v>65881.08</v>
      </c>
      <c r="L116" s="4">
        <v>11817.54</v>
      </c>
    </row>
    <row r="117" spans="1:12" x14ac:dyDescent="0.3">
      <c r="A117" t="s">
        <v>218</v>
      </c>
      <c r="B117" s="2">
        <v>45739</v>
      </c>
      <c r="C117" t="s">
        <v>85</v>
      </c>
      <c r="D117" t="s">
        <v>33</v>
      </c>
      <c r="E117" t="s">
        <v>34</v>
      </c>
      <c r="F117" t="s">
        <v>23</v>
      </c>
      <c r="G117" t="s">
        <v>58</v>
      </c>
      <c r="H117" t="s">
        <v>90</v>
      </c>
      <c r="I117">
        <v>1</v>
      </c>
      <c r="J117" s="3">
        <v>0.15</v>
      </c>
      <c r="K117" s="4">
        <v>25034.400000000001</v>
      </c>
      <c r="L117" s="4">
        <v>3612.38</v>
      </c>
    </row>
    <row r="118" spans="1:12" x14ac:dyDescent="0.3">
      <c r="A118" t="s">
        <v>219</v>
      </c>
      <c r="B118" s="2">
        <v>45739</v>
      </c>
      <c r="C118" t="s">
        <v>95</v>
      </c>
      <c r="D118" t="s">
        <v>39</v>
      </c>
      <c r="E118" t="s">
        <v>52</v>
      </c>
      <c r="F118" t="s">
        <v>23</v>
      </c>
      <c r="G118" t="s">
        <v>24</v>
      </c>
      <c r="H118" t="s">
        <v>129</v>
      </c>
      <c r="I118">
        <v>5</v>
      </c>
      <c r="J118" s="3">
        <v>0.15</v>
      </c>
      <c r="K118" s="4">
        <v>201738.4</v>
      </c>
      <c r="L118" s="4">
        <v>39746.699999999997</v>
      </c>
    </row>
    <row r="119" spans="1:12" x14ac:dyDescent="0.3">
      <c r="A119" t="s">
        <v>220</v>
      </c>
      <c r="B119" s="2">
        <v>45739</v>
      </c>
      <c r="C119" t="s">
        <v>20</v>
      </c>
      <c r="D119" t="s">
        <v>33</v>
      </c>
      <c r="E119" t="s">
        <v>140</v>
      </c>
      <c r="F119" t="s">
        <v>28</v>
      </c>
      <c r="G119" t="s">
        <v>92</v>
      </c>
      <c r="H119" t="s">
        <v>93</v>
      </c>
      <c r="I119">
        <v>5</v>
      </c>
      <c r="J119" s="3">
        <v>0.05</v>
      </c>
      <c r="K119" s="4">
        <v>15528.65</v>
      </c>
      <c r="L119" s="4">
        <v>1188.99</v>
      </c>
    </row>
    <row r="120" spans="1:12" x14ac:dyDescent="0.3">
      <c r="A120" t="s">
        <v>221</v>
      </c>
      <c r="B120" s="2">
        <v>45740</v>
      </c>
      <c r="C120" t="s">
        <v>77</v>
      </c>
      <c r="D120" t="s">
        <v>14</v>
      </c>
      <c r="E120" t="s">
        <v>54</v>
      </c>
      <c r="F120" t="s">
        <v>28</v>
      </c>
      <c r="G120" t="s">
        <v>71</v>
      </c>
      <c r="H120" t="s">
        <v>72</v>
      </c>
      <c r="I120">
        <v>6</v>
      </c>
      <c r="J120" s="3">
        <v>0.15</v>
      </c>
      <c r="K120" s="4">
        <v>11693.16</v>
      </c>
      <c r="L120" s="4">
        <v>1663.63</v>
      </c>
    </row>
    <row r="121" spans="1:12" x14ac:dyDescent="0.3">
      <c r="A121" t="s">
        <v>222</v>
      </c>
      <c r="B121" s="2">
        <v>45740</v>
      </c>
      <c r="C121" t="s">
        <v>111</v>
      </c>
      <c r="D121" t="s">
        <v>33</v>
      </c>
      <c r="E121" t="s">
        <v>140</v>
      </c>
      <c r="F121" t="s">
        <v>23</v>
      </c>
      <c r="G121" t="s">
        <v>24</v>
      </c>
      <c r="H121" t="s">
        <v>129</v>
      </c>
      <c r="I121">
        <v>2</v>
      </c>
      <c r="J121" s="3">
        <v>0.05</v>
      </c>
      <c r="K121" s="4">
        <v>9163.2199999999993</v>
      </c>
      <c r="L121" s="4">
        <v>1810.36</v>
      </c>
    </row>
    <row r="122" spans="1:12" x14ac:dyDescent="0.3">
      <c r="A122" t="s">
        <v>223</v>
      </c>
      <c r="B122" s="2">
        <v>45740</v>
      </c>
      <c r="C122" t="s">
        <v>27</v>
      </c>
      <c r="D122" t="s">
        <v>21</v>
      </c>
      <c r="E122" t="s">
        <v>105</v>
      </c>
      <c r="F122" t="s">
        <v>28</v>
      </c>
      <c r="G122" t="s">
        <v>71</v>
      </c>
      <c r="H122" t="s">
        <v>121</v>
      </c>
      <c r="I122">
        <v>3</v>
      </c>
      <c r="J122" s="3">
        <v>0.15</v>
      </c>
      <c r="K122" s="4">
        <v>1397.07</v>
      </c>
      <c r="L122" s="4">
        <v>110.45</v>
      </c>
    </row>
    <row r="123" spans="1:12" x14ac:dyDescent="0.3">
      <c r="A123" t="s">
        <v>224</v>
      </c>
      <c r="B123" s="2">
        <v>45740</v>
      </c>
      <c r="C123" t="s">
        <v>61</v>
      </c>
      <c r="D123" t="s">
        <v>21</v>
      </c>
      <c r="E123" t="s">
        <v>105</v>
      </c>
      <c r="F123" t="s">
        <v>28</v>
      </c>
      <c r="G123" t="s">
        <v>92</v>
      </c>
      <c r="H123" t="s">
        <v>93</v>
      </c>
      <c r="I123">
        <v>1</v>
      </c>
      <c r="J123" s="3">
        <v>0.15</v>
      </c>
      <c r="K123" s="4">
        <v>1753.49</v>
      </c>
      <c r="L123" s="4">
        <v>240.76</v>
      </c>
    </row>
    <row r="124" spans="1:12" x14ac:dyDescent="0.3">
      <c r="A124" t="s">
        <v>225</v>
      </c>
      <c r="B124" s="2">
        <v>45740</v>
      </c>
      <c r="C124" t="s">
        <v>32</v>
      </c>
      <c r="D124" t="s">
        <v>21</v>
      </c>
      <c r="E124" t="s">
        <v>105</v>
      </c>
      <c r="F124" t="s">
        <v>28</v>
      </c>
      <c r="G124" t="s">
        <v>71</v>
      </c>
      <c r="H124" t="s">
        <v>121</v>
      </c>
      <c r="I124">
        <v>4</v>
      </c>
      <c r="J124" s="3">
        <v>0.15</v>
      </c>
      <c r="K124" s="4">
        <v>6068.08</v>
      </c>
      <c r="L124" s="4">
        <v>1120.6199999999999</v>
      </c>
    </row>
    <row r="125" spans="1:12" x14ac:dyDescent="0.3">
      <c r="A125" t="s">
        <v>226</v>
      </c>
      <c r="B125" s="2">
        <v>45741</v>
      </c>
      <c r="C125" t="s">
        <v>77</v>
      </c>
      <c r="D125" t="s">
        <v>21</v>
      </c>
      <c r="E125" t="s">
        <v>105</v>
      </c>
      <c r="F125" t="s">
        <v>23</v>
      </c>
      <c r="G125" t="s">
        <v>58</v>
      </c>
      <c r="H125" t="s">
        <v>59</v>
      </c>
      <c r="I125">
        <v>1</v>
      </c>
      <c r="J125" s="3">
        <v>0.05</v>
      </c>
      <c r="K125" s="4">
        <v>21535.05</v>
      </c>
      <c r="L125" s="4">
        <v>4883.32</v>
      </c>
    </row>
    <row r="126" spans="1:12" x14ac:dyDescent="0.3">
      <c r="A126" t="s">
        <v>227</v>
      </c>
      <c r="B126" s="2">
        <v>45741</v>
      </c>
      <c r="C126" t="s">
        <v>32</v>
      </c>
      <c r="D126" t="s">
        <v>21</v>
      </c>
      <c r="E126" t="s">
        <v>67</v>
      </c>
      <c r="F126" t="s">
        <v>16</v>
      </c>
      <c r="G126" t="s">
        <v>68</v>
      </c>
      <c r="H126" t="s">
        <v>175</v>
      </c>
      <c r="I126">
        <v>7</v>
      </c>
      <c r="J126" s="3">
        <v>0.2</v>
      </c>
      <c r="K126" s="4">
        <v>48047.02</v>
      </c>
      <c r="L126" s="4">
        <v>603.89</v>
      </c>
    </row>
    <row r="127" spans="1:12" x14ac:dyDescent="0.3">
      <c r="A127" t="s">
        <v>228</v>
      </c>
      <c r="B127" s="2">
        <v>45741</v>
      </c>
      <c r="C127" t="s">
        <v>229</v>
      </c>
      <c r="D127" t="s">
        <v>21</v>
      </c>
      <c r="E127" t="s">
        <v>67</v>
      </c>
      <c r="F127" t="s">
        <v>16</v>
      </c>
      <c r="G127" t="s">
        <v>62</v>
      </c>
      <c r="H127" t="s">
        <v>167</v>
      </c>
      <c r="I127">
        <v>2</v>
      </c>
      <c r="J127" s="3">
        <v>0.2</v>
      </c>
      <c r="K127" s="4">
        <v>13925.84</v>
      </c>
      <c r="L127" s="4">
        <v>1399.71</v>
      </c>
    </row>
    <row r="128" spans="1:12" x14ac:dyDescent="0.3">
      <c r="A128" t="s">
        <v>230</v>
      </c>
      <c r="B128" s="2">
        <v>45742</v>
      </c>
      <c r="C128" t="s">
        <v>44</v>
      </c>
      <c r="D128" t="s">
        <v>33</v>
      </c>
      <c r="E128" t="s">
        <v>140</v>
      </c>
      <c r="F128" t="s">
        <v>28</v>
      </c>
      <c r="G128" t="s">
        <v>71</v>
      </c>
      <c r="H128" t="s">
        <v>72</v>
      </c>
      <c r="I128">
        <v>3</v>
      </c>
      <c r="J128" s="3">
        <v>0.15</v>
      </c>
      <c r="K128" s="4">
        <v>13276.2</v>
      </c>
      <c r="L128" s="4">
        <v>2547.2199999999998</v>
      </c>
    </row>
    <row r="129" spans="1:12" x14ac:dyDescent="0.3">
      <c r="A129" t="s">
        <v>231</v>
      </c>
      <c r="B129" s="2">
        <v>45743</v>
      </c>
      <c r="C129" t="s">
        <v>51</v>
      </c>
      <c r="D129" t="s">
        <v>39</v>
      </c>
      <c r="E129" t="s">
        <v>52</v>
      </c>
      <c r="F129" t="s">
        <v>23</v>
      </c>
      <c r="G129" t="s">
        <v>48</v>
      </c>
      <c r="H129" t="s">
        <v>49</v>
      </c>
      <c r="I129">
        <v>1</v>
      </c>
      <c r="J129" s="3">
        <v>0.15</v>
      </c>
      <c r="K129" s="4">
        <v>41902.07</v>
      </c>
      <c r="L129" s="4">
        <v>3695.55</v>
      </c>
    </row>
    <row r="130" spans="1:12" x14ac:dyDescent="0.3">
      <c r="A130" t="s">
        <v>232</v>
      </c>
      <c r="B130" s="2">
        <v>45743</v>
      </c>
      <c r="C130" t="s">
        <v>150</v>
      </c>
      <c r="D130" t="s">
        <v>39</v>
      </c>
      <c r="E130" t="s">
        <v>52</v>
      </c>
      <c r="F130" t="s">
        <v>16</v>
      </c>
      <c r="G130" t="s">
        <v>68</v>
      </c>
      <c r="H130" t="s">
        <v>69</v>
      </c>
      <c r="I130">
        <v>2</v>
      </c>
      <c r="J130" s="3">
        <v>0.05</v>
      </c>
      <c r="K130" s="4">
        <v>16217.54</v>
      </c>
      <c r="L130" s="4">
        <v>2045.53</v>
      </c>
    </row>
    <row r="131" spans="1:12" x14ac:dyDescent="0.3">
      <c r="A131" t="s">
        <v>233</v>
      </c>
      <c r="B131" s="2">
        <v>45743</v>
      </c>
      <c r="C131" t="s">
        <v>13</v>
      </c>
      <c r="D131" t="s">
        <v>39</v>
      </c>
      <c r="E131" t="s">
        <v>40</v>
      </c>
      <c r="F131" t="s">
        <v>16</v>
      </c>
      <c r="G131" t="s">
        <v>62</v>
      </c>
      <c r="H131" t="s">
        <v>167</v>
      </c>
      <c r="I131">
        <v>5</v>
      </c>
      <c r="J131" s="3">
        <v>0.2</v>
      </c>
      <c r="K131" s="4">
        <v>9174.2000000000007</v>
      </c>
      <c r="L131" s="4">
        <v>238.59</v>
      </c>
    </row>
    <row r="132" spans="1:12" x14ac:dyDescent="0.3">
      <c r="A132" t="s">
        <v>234</v>
      </c>
      <c r="B132" s="2">
        <v>45743</v>
      </c>
      <c r="C132" t="s">
        <v>104</v>
      </c>
      <c r="D132" t="s">
        <v>39</v>
      </c>
      <c r="E132" t="s">
        <v>52</v>
      </c>
      <c r="F132" t="s">
        <v>23</v>
      </c>
      <c r="G132" t="s">
        <v>58</v>
      </c>
      <c r="H132" t="s">
        <v>90</v>
      </c>
      <c r="I132">
        <v>6</v>
      </c>
      <c r="J132" s="3">
        <v>0.1</v>
      </c>
      <c r="K132" s="4">
        <v>78180.899999999994</v>
      </c>
      <c r="L132" s="4">
        <v>9081.39</v>
      </c>
    </row>
    <row r="133" spans="1:12" x14ac:dyDescent="0.3">
      <c r="A133" t="s">
        <v>235</v>
      </c>
      <c r="B133" s="2">
        <v>45744</v>
      </c>
      <c r="C133" t="s">
        <v>85</v>
      </c>
      <c r="D133" t="s">
        <v>39</v>
      </c>
      <c r="E133" t="s">
        <v>128</v>
      </c>
      <c r="F133" t="s">
        <v>16</v>
      </c>
      <c r="G133" t="s">
        <v>41</v>
      </c>
      <c r="H133" t="s">
        <v>177</v>
      </c>
      <c r="I133">
        <v>6</v>
      </c>
      <c r="J133" s="3">
        <v>0.2</v>
      </c>
      <c r="K133" s="4">
        <v>29551.439999999999</v>
      </c>
      <c r="L133" s="4">
        <v>1125.8599999999999</v>
      </c>
    </row>
    <row r="134" spans="1:12" x14ac:dyDescent="0.3">
      <c r="A134" t="s">
        <v>236</v>
      </c>
      <c r="B134" s="2">
        <v>45744</v>
      </c>
      <c r="C134" t="s">
        <v>61</v>
      </c>
      <c r="D134" t="s">
        <v>39</v>
      </c>
      <c r="E134" t="s">
        <v>128</v>
      </c>
      <c r="F134" t="s">
        <v>28</v>
      </c>
      <c r="G134" t="s">
        <v>74</v>
      </c>
      <c r="H134" t="s">
        <v>75</v>
      </c>
      <c r="I134">
        <v>4</v>
      </c>
      <c r="J134" s="3">
        <v>0.05</v>
      </c>
      <c r="K134" s="4">
        <v>7707.84</v>
      </c>
      <c r="L134" s="4">
        <v>718.88</v>
      </c>
    </row>
    <row r="135" spans="1:12" x14ac:dyDescent="0.3">
      <c r="A135" t="s">
        <v>237</v>
      </c>
      <c r="B135" s="2">
        <v>45744</v>
      </c>
      <c r="C135" t="s">
        <v>77</v>
      </c>
      <c r="D135" t="s">
        <v>39</v>
      </c>
      <c r="E135" t="s">
        <v>128</v>
      </c>
      <c r="F135" t="s">
        <v>23</v>
      </c>
      <c r="G135" t="s">
        <v>24</v>
      </c>
      <c r="H135" t="s">
        <v>25</v>
      </c>
      <c r="I135">
        <v>4</v>
      </c>
      <c r="J135" s="3">
        <v>0.1</v>
      </c>
      <c r="K135" s="4">
        <v>172204.79999999999</v>
      </c>
      <c r="L135" s="4">
        <v>19884.099999999999</v>
      </c>
    </row>
    <row r="136" spans="1:12" x14ac:dyDescent="0.3">
      <c r="A136" t="s">
        <v>238</v>
      </c>
      <c r="B136" s="2">
        <v>45746</v>
      </c>
      <c r="C136" t="s">
        <v>179</v>
      </c>
      <c r="D136" t="s">
        <v>14</v>
      </c>
      <c r="E136" t="s">
        <v>15</v>
      </c>
      <c r="F136" t="s">
        <v>23</v>
      </c>
      <c r="G136" t="s">
        <v>24</v>
      </c>
      <c r="H136" t="s">
        <v>129</v>
      </c>
      <c r="I136">
        <v>5</v>
      </c>
      <c r="J136" s="3">
        <v>0.2</v>
      </c>
      <c r="K136" s="4">
        <v>196466.85</v>
      </c>
      <c r="L136" s="4">
        <v>11606.58</v>
      </c>
    </row>
    <row r="137" spans="1:12" x14ac:dyDescent="0.3">
      <c r="A137" t="s">
        <v>239</v>
      </c>
      <c r="B137" s="2">
        <v>45746</v>
      </c>
      <c r="C137" t="s">
        <v>135</v>
      </c>
      <c r="D137" t="s">
        <v>39</v>
      </c>
      <c r="E137" t="s">
        <v>40</v>
      </c>
      <c r="F137" t="s">
        <v>16</v>
      </c>
      <c r="G137" t="s">
        <v>41</v>
      </c>
      <c r="H137" t="s">
        <v>42</v>
      </c>
      <c r="I137">
        <v>2</v>
      </c>
      <c r="J137" s="3">
        <v>0.05</v>
      </c>
      <c r="K137" s="4">
        <v>9864.58</v>
      </c>
      <c r="L137" s="4">
        <v>780.33</v>
      </c>
    </row>
    <row r="138" spans="1:12" x14ac:dyDescent="0.3">
      <c r="A138" t="s">
        <v>240</v>
      </c>
      <c r="B138" s="2">
        <v>45751</v>
      </c>
      <c r="C138" t="s">
        <v>77</v>
      </c>
      <c r="D138" t="s">
        <v>33</v>
      </c>
      <c r="E138" t="s">
        <v>45</v>
      </c>
      <c r="F138" t="s">
        <v>23</v>
      </c>
      <c r="G138" t="s">
        <v>48</v>
      </c>
      <c r="H138" t="s">
        <v>124</v>
      </c>
      <c r="I138">
        <v>5</v>
      </c>
      <c r="J138" s="3">
        <v>0.15</v>
      </c>
      <c r="K138" s="4">
        <v>208332.35</v>
      </c>
      <c r="L138" s="4">
        <v>20197.43</v>
      </c>
    </row>
    <row r="139" spans="1:12" x14ac:dyDescent="0.3">
      <c r="A139" t="s">
        <v>241</v>
      </c>
      <c r="B139" s="2">
        <v>45752</v>
      </c>
      <c r="C139" t="s">
        <v>20</v>
      </c>
      <c r="D139" t="s">
        <v>33</v>
      </c>
      <c r="E139" t="s">
        <v>45</v>
      </c>
      <c r="F139" t="s">
        <v>23</v>
      </c>
      <c r="G139" t="s">
        <v>24</v>
      </c>
      <c r="H139" t="s">
        <v>25</v>
      </c>
      <c r="I139">
        <v>3</v>
      </c>
      <c r="J139" s="3">
        <v>0.05</v>
      </c>
      <c r="K139" s="4">
        <v>85869.03</v>
      </c>
      <c r="L139" s="4">
        <v>9042.51</v>
      </c>
    </row>
    <row r="140" spans="1:12" x14ac:dyDescent="0.3">
      <c r="A140" t="s">
        <v>242</v>
      </c>
      <c r="B140" s="2">
        <v>45753</v>
      </c>
      <c r="C140" t="s">
        <v>82</v>
      </c>
      <c r="D140" t="s">
        <v>33</v>
      </c>
      <c r="E140" t="s">
        <v>34</v>
      </c>
      <c r="F140" t="s">
        <v>16</v>
      </c>
      <c r="G140" t="s">
        <v>68</v>
      </c>
      <c r="H140" t="s">
        <v>175</v>
      </c>
      <c r="I140">
        <v>6</v>
      </c>
      <c r="J140" s="3">
        <v>0.1</v>
      </c>
      <c r="K140" s="4">
        <v>44620.62</v>
      </c>
      <c r="L140" s="4">
        <v>9310.11</v>
      </c>
    </row>
    <row r="141" spans="1:12" x14ac:dyDescent="0.3">
      <c r="A141" t="s">
        <v>243</v>
      </c>
      <c r="B141" s="2">
        <v>45754</v>
      </c>
      <c r="C141" t="s">
        <v>77</v>
      </c>
      <c r="D141" t="s">
        <v>21</v>
      </c>
      <c r="E141" t="s">
        <v>57</v>
      </c>
      <c r="F141" t="s">
        <v>23</v>
      </c>
      <c r="G141" t="s">
        <v>58</v>
      </c>
      <c r="H141" t="s">
        <v>78</v>
      </c>
      <c r="I141">
        <v>5</v>
      </c>
      <c r="J141" s="3">
        <v>0.1</v>
      </c>
      <c r="K141" s="4">
        <v>226275.4</v>
      </c>
      <c r="L141" s="4">
        <v>42066.43</v>
      </c>
    </row>
    <row r="142" spans="1:12" x14ac:dyDescent="0.3">
      <c r="A142" t="s">
        <v>244</v>
      </c>
      <c r="B142" s="2">
        <v>45755</v>
      </c>
      <c r="C142" t="s">
        <v>111</v>
      </c>
      <c r="D142" t="s">
        <v>14</v>
      </c>
      <c r="E142" t="s">
        <v>114</v>
      </c>
      <c r="F142" t="s">
        <v>16</v>
      </c>
      <c r="G142" t="s">
        <v>68</v>
      </c>
      <c r="H142" t="s">
        <v>69</v>
      </c>
      <c r="I142">
        <v>6</v>
      </c>
      <c r="J142" s="3">
        <v>0</v>
      </c>
      <c r="K142" s="4">
        <v>39968.46</v>
      </c>
      <c r="L142" s="4">
        <v>4221.55</v>
      </c>
    </row>
    <row r="143" spans="1:12" x14ac:dyDescent="0.3">
      <c r="A143" t="s">
        <v>245</v>
      </c>
      <c r="B143" s="2">
        <v>45755</v>
      </c>
      <c r="C143" t="s">
        <v>143</v>
      </c>
      <c r="D143" t="s">
        <v>33</v>
      </c>
      <c r="E143" t="s">
        <v>140</v>
      </c>
      <c r="F143" t="s">
        <v>23</v>
      </c>
      <c r="G143" t="s">
        <v>48</v>
      </c>
      <c r="H143" t="s">
        <v>118</v>
      </c>
      <c r="I143">
        <v>2</v>
      </c>
      <c r="J143" s="3">
        <v>0.05</v>
      </c>
      <c r="K143" s="4">
        <v>17912.22</v>
      </c>
      <c r="L143" s="4">
        <v>3142.02</v>
      </c>
    </row>
    <row r="144" spans="1:12" x14ac:dyDescent="0.3">
      <c r="A144" t="s">
        <v>246</v>
      </c>
      <c r="B144" s="2">
        <v>45755</v>
      </c>
      <c r="C144" t="s">
        <v>95</v>
      </c>
      <c r="D144" t="s">
        <v>14</v>
      </c>
      <c r="E144" t="s">
        <v>54</v>
      </c>
      <c r="F144" t="s">
        <v>16</v>
      </c>
      <c r="G144" t="s">
        <v>17</v>
      </c>
      <c r="H144" t="s">
        <v>88</v>
      </c>
      <c r="I144">
        <v>4</v>
      </c>
      <c r="J144" s="3">
        <v>0.15</v>
      </c>
      <c r="K144" s="4">
        <v>23776.44</v>
      </c>
      <c r="L144" s="4">
        <v>2568.9899999999998</v>
      </c>
    </row>
    <row r="145" spans="1:12" x14ac:dyDescent="0.3">
      <c r="A145" t="s">
        <v>247</v>
      </c>
      <c r="B145" s="2">
        <v>45756</v>
      </c>
      <c r="C145" t="s">
        <v>51</v>
      </c>
      <c r="D145" t="s">
        <v>14</v>
      </c>
      <c r="E145" t="s">
        <v>114</v>
      </c>
      <c r="F145" t="s">
        <v>23</v>
      </c>
      <c r="G145" t="s">
        <v>35</v>
      </c>
      <c r="H145" t="s">
        <v>155</v>
      </c>
      <c r="I145">
        <v>6</v>
      </c>
      <c r="J145" s="3">
        <v>0</v>
      </c>
      <c r="K145" s="4">
        <v>266705.21999999997</v>
      </c>
      <c r="L145" s="4">
        <v>38698.28</v>
      </c>
    </row>
    <row r="146" spans="1:12" x14ac:dyDescent="0.3">
      <c r="A146" t="s">
        <v>248</v>
      </c>
      <c r="B146" s="2">
        <v>45757</v>
      </c>
      <c r="C146" t="s">
        <v>95</v>
      </c>
      <c r="D146" t="s">
        <v>33</v>
      </c>
      <c r="E146" t="s">
        <v>45</v>
      </c>
      <c r="F146" t="s">
        <v>16</v>
      </c>
      <c r="G146" t="s">
        <v>68</v>
      </c>
      <c r="H146" t="s">
        <v>69</v>
      </c>
      <c r="I146">
        <v>4</v>
      </c>
      <c r="J146" s="3">
        <v>0.05</v>
      </c>
      <c r="K146" s="4">
        <v>19232.2</v>
      </c>
      <c r="L146" s="4">
        <v>4253.8599999999997</v>
      </c>
    </row>
    <row r="147" spans="1:12" x14ac:dyDescent="0.3">
      <c r="A147" t="s">
        <v>249</v>
      </c>
      <c r="B147" s="2">
        <v>45758</v>
      </c>
      <c r="C147" t="s">
        <v>38</v>
      </c>
      <c r="D147" t="s">
        <v>39</v>
      </c>
      <c r="E147" t="s">
        <v>40</v>
      </c>
      <c r="F147" t="s">
        <v>23</v>
      </c>
      <c r="G147" t="s">
        <v>48</v>
      </c>
      <c r="H147" t="s">
        <v>49</v>
      </c>
      <c r="I147">
        <v>7</v>
      </c>
      <c r="J147" s="3">
        <v>0</v>
      </c>
      <c r="K147" s="4">
        <v>177938.18</v>
      </c>
      <c r="L147" s="4">
        <v>28632.84</v>
      </c>
    </row>
    <row r="148" spans="1:12" x14ac:dyDescent="0.3">
      <c r="A148" t="s">
        <v>250</v>
      </c>
      <c r="B148" s="2">
        <v>45758</v>
      </c>
      <c r="C148" t="s">
        <v>77</v>
      </c>
      <c r="D148" t="s">
        <v>14</v>
      </c>
      <c r="E148" t="s">
        <v>15</v>
      </c>
      <c r="F148" t="s">
        <v>23</v>
      </c>
      <c r="G148" t="s">
        <v>58</v>
      </c>
      <c r="H148" t="s">
        <v>90</v>
      </c>
      <c r="I148">
        <v>1</v>
      </c>
      <c r="J148" s="3">
        <v>0.05</v>
      </c>
      <c r="K148" s="4">
        <v>13925.63</v>
      </c>
      <c r="L148" s="4">
        <v>2060.37</v>
      </c>
    </row>
    <row r="149" spans="1:12" x14ac:dyDescent="0.3">
      <c r="A149" t="s">
        <v>251</v>
      </c>
      <c r="B149" s="2">
        <v>45760</v>
      </c>
      <c r="C149" t="s">
        <v>95</v>
      </c>
      <c r="D149" t="s">
        <v>33</v>
      </c>
      <c r="E149" t="s">
        <v>140</v>
      </c>
      <c r="F149" t="s">
        <v>16</v>
      </c>
      <c r="G149" t="s">
        <v>17</v>
      </c>
      <c r="H149" t="s">
        <v>153</v>
      </c>
      <c r="I149">
        <v>6</v>
      </c>
      <c r="J149" s="3">
        <v>0.05</v>
      </c>
      <c r="K149" s="4">
        <v>42160.32</v>
      </c>
      <c r="L149" s="4">
        <v>8373.0300000000007</v>
      </c>
    </row>
    <row r="150" spans="1:12" x14ac:dyDescent="0.3">
      <c r="A150" t="s">
        <v>252</v>
      </c>
      <c r="B150" s="2">
        <v>45760</v>
      </c>
      <c r="C150" t="s">
        <v>61</v>
      </c>
      <c r="D150" t="s">
        <v>21</v>
      </c>
      <c r="E150" t="s">
        <v>67</v>
      </c>
      <c r="F150" t="s">
        <v>16</v>
      </c>
      <c r="G150" t="s">
        <v>62</v>
      </c>
      <c r="H150" t="s">
        <v>167</v>
      </c>
      <c r="I150">
        <v>5</v>
      </c>
      <c r="J150" s="3">
        <v>0.1</v>
      </c>
      <c r="K150" s="4">
        <v>38714.699999999997</v>
      </c>
      <c r="L150" s="4">
        <v>2343.54</v>
      </c>
    </row>
    <row r="151" spans="1:12" x14ac:dyDescent="0.3">
      <c r="A151" t="s">
        <v>253</v>
      </c>
      <c r="B151" s="2">
        <v>45761</v>
      </c>
      <c r="C151" t="s">
        <v>135</v>
      </c>
      <c r="D151" t="s">
        <v>33</v>
      </c>
      <c r="E151" t="s">
        <v>140</v>
      </c>
      <c r="F151" t="s">
        <v>23</v>
      </c>
      <c r="G151" t="s">
        <v>48</v>
      </c>
      <c r="H151" t="s">
        <v>124</v>
      </c>
      <c r="I151">
        <v>3</v>
      </c>
      <c r="J151" s="3">
        <v>0</v>
      </c>
      <c r="K151" s="4">
        <v>94517.4</v>
      </c>
      <c r="L151" s="4">
        <v>19573.95</v>
      </c>
    </row>
    <row r="152" spans="1:12" x14ac:dyDescent="0.3">
      <c r="A152" t="s">
        <v>254</v>
      </c>
      <c r="B152" s="2">
        <v>45761</v>
      </c>
      <c r="C152" t="s">
        <v>32</v>
      </c>
      <c r="D152" t="s">
        <v>33</v>
      </c>
      <c r="E152" t="s">
        <v>34</v>
      </c>
      <c r="F152" t="s">
        <v>28</v>
      </c>
      <c r="G152" t="s">
        <v>92</v>
      </c>
      <c r="H152" t="s">
        <v>93</v>
      </c>
      <c r="I152">
        <v>2</v>
      </c>
      <c r="J152" s="3">
        <v>0</v>
      </c>
      <c r="K152" s="4">
        <v>6644.1</v>
      </c>
      <c r="L152" s="4">
        <v>1158.49</v>
      </c>
    </row>
    <row r="153" spans="1:12" x14ac:dyDescent="0.3">
      <c r="A153" t="s">
        <v>255</v>
      </c>
      <c r="B153" s="2">
        <v>45762</v>
      </c>
      <c r="C153" t="s">
        <v>147</v>
      </c>
      <c r="D153" t="s">
        <v>39</v>
      </c>
      <c r="E153" t="s">
        <v>52</v>
      </c>
      <c r="F153" t="s">
        <v>28</v>
      </c>
      <c r="G153" t="s">
        <v>71</v>
      </c>
      <c r="H153" t="s">
        <v>121</v>
      </c>
      <c r="I153">
        <v>4</v>
      </c>
      <c r="J153" s="3">
        <v>0.05</v>
      </c>
      <c r="K153" s="4">
        <v>8459.48</v>
      </c>
      <c r="L153" s="4">
        <v>1759.93</v>
      </c>
    </row>
    <row r="154" spans="1:12" x14ac:dyDescent="0.3">
      <c r="A154" t="s">
        <v>256</v>
      </c>
      <c r="B154" s="2">
        <v>45763</v>
      </c>
      <c r="C154" t="s">
        <v>77</v>
      </c>
      <c r="D154" t="s">
        <v>14</v>
      </c>
      <c r="E154" t="s">
        <v>97</v>
      </c>
      <c r="F154" t="s">
        <v>28</v>
      </c>
      <c r="G154" t="s">
        <v>74</v>
      </c>
      <c r="H154" t="s">
        <v>159</v>
      </c>
      <c r="I154">
        <v>4</v>
      </c>
      <c r="J154" s="3">
        <v>0</v>
      </c>
      <c r="K154" s="4">
        <v>7738.92</v>
      </c>
      <c r="L154" s="4">
        <v>1177.1099999999999</v>
      </c>
    </row>
    <row r="155" spans="1:12" x14ac:dyDescent="0.3">
      <c r="A155" t="s">
        <v>257</v>
      </c>
      <c r="B155" s="2">
        <v>45763</v>
      </c>
      <c r="C155" t="s">
        <v>150</v>
      </c>
      <c r="D155" t="s">
        <v>21</v>
      </c>
      <c r="E155" t="s">
        <v>105</v>
      </c>
      <c r="F155" t="s">
        <v>28</v>
      </c>
      <c r="G155" t="s">
        <v>92</v>
      </c>
      <c r="H155" t="s">
        <v>204</v>
      </c>
      <c r="I155">
        <v>7</v>
      </c>
      <c r="J155" s="3">
        <v>0.2</v>
      </c>
      <c r="K155" s="4">
        <v>19154.169999999998</v>
      </c>
      <c r="L155" s="4">
        <v>3413.4</v>
      </c>
    </row>
    <row r="156" spans="1:12" x14ac:dyDescent="0.3">
      <c r="A156" t="s">
        <v>258</v>
      </c>
      <c r="B156" s="2">
        <v>45764</v>
      </c>
      <c r="C156" t="s">
        <v>13</v>
      </c>
      <c r="D156" t="s">
        <v>39</v>
      </c>
      <c r="E156" t="s">
        <v>128</v>
      </c>
      <c r="F156" t="s">
        <v>23</v>
      </c>
      <c r="G156" t="s">
        <v>24</v>
      </c>
      <c r="H156" t="s">
        <v>129</v>
      </c>
      <c r="I156">
        <v>7</v>
      </c>
      <c r="J156" s="3">
        <v>0.15</v>
      </c>
      <c r="K156" s="4">
        <v>98193.13</v>
      </c>
      <c r="L156" s="4">
        <v>17978.55</v>
      </c>
    </row>
    <row r="157" spans="1:12" x14ac:dyDescent="0.3">
      <c r="A157" t="s">
        <v>259</v>
      </c>
      <c r="B157" s="2">
        <v>45766</v>
      </c>
      <c r="C157" t="s">
        <v>95</v>
      </c>
      <c r="D157" t="s">
        <v>39</v>
      </c>
      <c r="E157" t="s">
        <v>128</v>
      </c>
      <c r="F157" t="s">
        <v>28</v>
      </c>
      <c r="G157" t="s">
        <v>29</v>
      </c>
      <c r="H157" t="s">
        <v>30</v>
      </c>
      <c r="I157">
        <v>7</v>
      </c>
      <c r="J157" s="3">
        <v>0.05</v>
      </c>
      <c r="K157" s="4">
        <v>24133.200000000001</v>
      </c>
      <c r="L157" s="4">
        <v>3681.34</v>
      </c>
    </row>
    <row r="158" spans="1:12" x14ac:dyDescent="0.3">
      <c r="A158" t="s">
        <v>260</v>
      </c>
      <c r="B158" s="2">
        <v>45767</v>
      </c>
      <c r="C158" t="s">
        <v>85</v>
      </c>
      <c r="D158" t="s">
        <v>21</v>
      </c>
      <c r="E158" t="s">
        <v>57</v>
      </c>
      <c r="F158" t="s">
        <v>23</v>
      </c>
      <c r="G158" t="s">
        <v>24</v>
      </c>
      <c r="H158" t="s">
        <v>129</v>
      </c>
      <c r="I158">
        <v>3</v>
      </c>
      <c r="J158" s="3">
        <v>0.05</v>
      </c>
      <c r="K158" s="4">
        <v>90266.76</v>
      </c>
      <c r="L158" s="4">
        <v>15799.82</v>
      </c>
    </row>
    <row r="159" spans="1:12" x14ac:dyDescent="0.3">
      <c r="A159" t="s">
        <v>261</v>
      </c>
      <c r="B159" s="2">
        <v>45767</v>
      </c>
      <c r="C159" t="s">
        <v>38</v>
      </c>
      <c r="D159" t="s">
        <v>14</v>
      </c>
      <c r="E159" t="s">
        <v>54</v>
      </c>
      <c r="F159" t="s">
        <v>28</v>
      </c>
      <c r="G159" t="s">
        <v>92</v>
      </c>
      <c r="H159" t="s">
        <v>204</v>
      </c>
      <c r="I159">
        <v>1</v>
      </c>
      <c r="J159" s="3">
        <v>0.2</v>
      </c>
      <c r="K159" s="4">
        <v>4946.24</v>
      </c>
      <c r="L159" s="4">
        <v>754.23</v>
      </c>
    </row>
    <row r="160" spans="1:12" x14ac:dyDescent="0.3">
      <c r="A160" t="s">
        <v>262</v>
      </c>
      <c r="B160" s="2">
        <v>45768</v>
      </c>
      <c r="C160" t="s">
        <v>56</v>
      </c>
      <c r="D160" t="s">
        <v>33</v>
      </c>
      <c r="E160" t="s">
        <v>34</v>
      </c>
      <c r="F160" t="s">
        <v>23</v>
      </c>
      <c r="G160" t="s">
        <v>24</v>
      </c>
      <c r="H160" t="s">
        <v>129</v>
      </c>
      <c r="I160">
        <v>4</v>
      </c>
      <c r="J160" s="3">
        <v>0.15</v>
      </c>
      <c r="K160" s="4">
        <v>119895.08</v>
      </c>
      <c r="L160" s="4">
        <v>14815.75</v>
      </c>
    </row>
    <row r="161" spans="1:12" x14ac:dyDescent="0.3">
      <c r="A161" t="s">
        <v>263</v>
      </c>
      <c r="B161" s="2">
        <v>45768</v>
      </c>
      <c r="C161" t="s">
        <v>111</v>
      </c>
      <c r="D161" t="s">
        <v>14</v>
      </c>
      <c r="E161" t="s">
        <v>15</v>
      </c>
      <c r="F161" t="s">
        <v>23</v>
      </c>
      <c r="G161" t="s">
        <v>24</v>
      </c>
      <c r="H161" t="s">
        <v>132</v>
      </c>
      <c r="I161">
        <v>1</v>
      </c>
      <c r="J161" s="3">
        <v>0.15</v>
      </c>
      <c r="K161" s="4">
        <v>45378.44</v>
      </c>
      <c r="L161" s="4">
        <v>1324.46</v>
      </c>
    </row>
    <row r="162" spans="1:12" x14ac:dyDescent="0.3">
      <c r="A162" t="s">
        <v>264</v>
      </c>
      <c r="B162" s="2">
        <v>45768</v>
      </c>
      <c r="C162" t="s">
        <v>13</v>
      </c>
      <c r="D162" t="s">
        <v>21</v>
      </c>
      <c r="E162" t="s">
        <v>105</v>
      </c>
      <c r="F162" t="s">
        <v>23</v>
      </c>
      <c r="G162" t="s">
        <v>58</v>
      </c>
      <c r="H162" t="s">
        <v>101</v>
      </c>
      <c r="I162">
        <v>7</v>
      </c>
      <c r="J162" s="3">
        <v>0.1</v>
      </c>
      <c r="K162" s="4">
        <v>49699.02</v>
      </c>
      <c r="L162" s="4">
        <v>3409.38</v>
      </c>
    </row>
    <row r="163" spans="1:12" x14ac:dyDescent="0.3">
      <c r="A163" t="s">
        <v>265</v>
      </c>
      <c r="B163" s="2">
        <v>45769</v>
      </c>
      <c r="C163" t="s">
        <v>109</v>
      </c>
      <c r="D163" t="s">
        <v>21</v>
      </c>
      <c r="E163" t="s">
        <v>57</v>
      </c>
      <c r="F163" t="s">
        <v>23</v>
      </c>
      <c r="G163" t="s">
        <v>48</v>
      </c>
      <c r="H163" t="s">
        <v>49</v>
      </c>
      <c r="I163">
        <v>1</v>
      </c>
      <c r="J163" s="3">
        <v>0.15</v>
      </c>
      <c r="K163" s="4">
        <v>25920.57</v>
      </c>
      <c r="L163" s="4">
        <v>3665.31</v>
      </c>
    </row>
    <row r="164" spans="1:12" x14ac:dyDescent="0.3">
      <c r="A164" t="s">
        <v>266</v>
      </c>
      <c r="B164" s="2">
        <v>45769</v>
      </c>
      <c r="C164" t="s">
        <v>85</v>
      </c>
      <c r="D164" t="s">
        <v>14</v>
      </c>
      <c r="E164" t="s">
        <v>15</v>
      </c>
      <c r="F164" t="s">
        <v>23</v>
      </c>
      <c r="G164" t="s">
        <v>58</v>
      </c>
      <c r="H164" t="s">
        <v>59</v>
      </c>
      <c r="I164">
        <v>1</v>
      </c>
      <c r="J164" s="3">
        <v>0.05</v>
      </c>
      <c r="K164" s="4">
        <v>28067.94</v>
      </c>
      <c r="L164" s="4">
        <v>5385.35</v>
      </c>
    </row>
    <row r="165" spans="1:12" x14ac:dyDescent="0.3">
      <c r="A165" t="s">
        <v>267</v>
      </c>
      <c r="B165" s="2">
        <v>45770</v>
      </c>
      <c r="C165" t="s">
        <v>38</v>
      </c>
      <c r="D165" t="s">
        <v>33</v>
      </c>
      <c r="E165" t="s">
        <v>86</v>
      </c>
      <c r="F165" t="s">
        <v>23</v>
      </c>
      <c r="G165" t="s">
        <v>24</v>
      </c>
      <c r="H165" t="s">
        <v>132</v>
      </c>
      <c r="I165">
        <v>5</v>
      </c>
      <c r="J165" s="3">
        <v>0.1</v>
      </c>
      <c r="K165" s="4">
        <v>175626.95</v>
      </c>
      <c r="L165" s="4">
        <v>16822.14</v>
      </c>
    </row>
    <row r="166" spans="1:12" x14ac:dyDescent="0.3">
      <c r="A166" t="s">
        <v>268</v>
      </c>
      <c r="B166" s="2">
        <v>45770</v>
      </c>
      <c r="C166" t="s">
        <v>229</v>
      </c>
      <c r="D166" t="s">
        <v>21</v>
      </c>
      <c r="E166" t="s">
        <v>105</v>
      </c>
      <c r="F166" t="s">
        <v>23</v>
      </c>
      <c r="G166" t="s">
        <v>48</v>
      </c>
      <c r="H166" t="s">
        <v>118</v>
      </c>
      <c r="I166">
        <v>6</v>
      </c>
      <c r="J166" s="3">
        <v>0.15</v>
      </c>
      <c r="K166" s="4">
        <v>170005.8</v>
      </c>
      <c r="L166" s="4">
        <v>9933.06</v>
      </c>
    </row>
    <row r="167" spans="1:12" x14ac:dyDescent="0.3">
      <c r="A167" t="s">
        <v>269</v>
      </c>
      <c r="B167" s="2">
        <v>45771</v>
      </c>
      <c r="C167" t="s">
        <v>38</v>
      </c>
      <c r="D167" t="s">
        <v>33</v>
      </c>
      <c r="E167" t="s">
        <v>34</v>
      </c>
      <c r="F167" t="s">
        <v>23</v>
      </c>
      <c r="G167" t="s">
        <v>35</v>
      </c>
      <c r="H167" t="s">
        <v>36</v>
      </c>
      <c r="I167">
        <v>4</v>
      </c>
      <c r="J167" s="3">
        <v>0.2</v>
      </c>
      <c r="K167" s="4">
        <v>50568.32</v>
      </c>
      <c r="L167" s="4">
        <v>6316.84</v>
      </c>
    </row>
    <row r="168" spans="1:12" x14ac:dyDescent="0.3">
      <c r="A168" t="s">
        <v>270</v>
      </c>
      <c r="B168" s="2">
        <v>45772</v>
      </c>
      <c r="C168" t="s">
        <v>66</v>
      </c>
      <c r="D168" t="s">
        <v>14</v>
      </c>
      <c r="E168" t="s">
        <v>15</v>
      </c>
      <c r="F168" t="s">
        <v>28</v>
      </c>
      <c r="G168" t="s">
        <v>29</v>
      </c>
      <c r="H168" t="s">
        <v>98</v>
      </c>
      <c r="I168">
        <v>2</v>
      </c>
      <c r="J168" s="3">
        <v>0.15</v>
      </c>
      <c r="K168" s="4">
        <v>5288.4</v>
      </c>
      <c r="L168" s="4">
        <v>425.03</v>
      </c>
    </row>
    <row r="169" spans="1:12" x14ac:dyDescent="0.3">
      <c r="A169" t="s">
        <v>271</v>
      </c>
      <c r="B169" s="2">
        <v>45772</v>
      </c>
      <c r="C169" t="s">
        <v>27</v>
      </c>
      <c r="D169" t="s">
        <v>21</v>
      </c>
      <c r="E169" t="s">
        <v>67</v>
      </c>
      <c r="F169" t="s">
        <v>23</v>
      </c>
      <c r="G169" t="s">
        <v>48</v>
      </c>
      <c r="H169" t="s">
        <v>118</v>
      </c>
      <c r="I169">
        <v>7</v>
      </c>
      <c r="J169" s="3">
        <v>0.2</v>
      </c>
      <c r="K169" s="4">
        <v>46295.97</v>
      </c>
      <c r="L169" s="4">
        <v>3204.48</v>
      </c>
    </row>
    <row r="170" spans="1:12" x14ac:dyDescent="0.3">
      <c r="A170" t="s">
        <v>272</v>
      </c>
      <c r="B170" s="2">
        <v>45773</v>
      </c>
      <c r="C170" t="s">
        <v>85</v>
      </c>
      <c r="D170" t="s">
        <v>33</v>
      </c>
      <c r="E170" t="s">
        <v>140</v>
      </c>
      <c r="F170" t="s">
        <v>16</v>
      </c>
      <c r="G170" t="s">
        <v>68</v>
      </c>
      <c r="H170" t="s">
        <v>69</v>
      </c>
      <c r="I170">
        <v>1</v>
      </c>
      <c r="J170" s="3">
        <v>0.1</v>
      </c>
      <c r="K170" s="4">
        <v>4004.98</v>
      </c>
      <c r="L170" s="4">
        <v>464.42</v>
      </c>
    </row>
    <row r="171" spans="1:12" x14ac:dyDescent="0.3">
      <c r="A171" t="s">
        <v>273</v>
      </c>
      <c r="B171" s="2">
        <v>45773</v>
      </c>
      <c r="C171" t="s">
        <v>100</v>
      </c>
      <c r="D171" t="s">
        <v>39</v>
      </c>
      <c r="E171" t="s">
        <v>52</v>
      </c>
      <c r="F171" t="s">
        <v>28</v>
      </c>
      <c r="G171" t="s">
        <v>74</v>
      </c>
      <c r="H171" t="s">
        <v>80</v>
      </c>
      <c r="I171">
        <v>1</v>
      </c>
      <c r="J171" s="3">
        <v>0.15</v>
      </c>
      <c r="K171" s="4">
        <v>891.98</v>
      </c>
      <c r="L171" s="4">
        <v>112.58</v>
      </c>
    </row>
    <row r="172" spans="1:12" x14ac:dyDescent="0.3">
      <c r="A172" t="s">
        <v>274</v>
      </c>
      <c r="B172" s="2">
        <v>45773</v>
      </c>
      <c r="C172" t="s">
        <v>85</v>
      </c>
      <c r="D172" t="s">
        <v>14</v>
      </c>
      <c r="E172" t="s">
        <v>114</v>
      </c>
      <c r="F172" t="s">
        <v>23</v>
      </c>
      <c r="G172" t="s">
        <v>58</v>
      </c>
      <c r="H172" t="s">
        <v>59</v>
      </c>
      <c r="I172">
        <v>5</v>
      </c>
      <c r="J172" s="3">
        <v>0.1</v>
      </c>
      <c r="K172" s="4">
        <v>66806.05</v>
      </c>
      <c r="L172" s="4">
        <v>9750.1</v>
      </c>
    </row>
    <row r="173" spans="1:12" x14ac:dyDescent="0.3">
      <c r="A173" t="s">
        <v>275</v>
      </c>
      <c r="B173" s="2">
        <v>45773</v>
      </c>
      <c r="C173" t="s">
        <v>109</v>
      </c>
      <c r="D173" t="s">
        <v>33</v>
      </c>
      <c r="E173" t="s">
        <v>86</v>
      </c>
      <c r="F173" t="s">
        <v>28</v>
      </c>
      <c r="G173" t="s">
        <v>29</v>
      </c>
      <c r="H173" t="s">
        <v>30</v>
      </c>
      <c r="I173">
        <v>2</v>
      </c>
      <c r="J173" s="3">
        <v>0</v>
      </c>
      <c r="K173" s="4">
        <v>8430.2000000000007</v>
      </c>
      <c r="L173" s="4">
        <v>730.21</v>
      </c>
    </row>
    <row r="174" spans="1:12" x14ac:dyDescent="0.3">
      <c r="A174" t="s">
        <v>276</v>
      </c>
      <c r="B174" s="2">
        <v>45774</v>
      </c>
      <c r="C174" t="s">
        <v>95</v>
      </c>
      <c r="D174" t="s">
        <v>14</v>
      </c>
      <c r="E174" t="s">
        <v>15</v>
      </c>
      <c r="F174" t="s">
        <v>16</v>
      </c>
      <c r="G174" t="s">
        <v>62</v>
      </c>
      <c r="H174" t="s">
        <v>167</v>
      </c>
      <c r="I174">
        <v>3</v>
      </c>
      <c r="J174" s="3">
        <v>0.15</v>
      </c>
      <c r="K174" s="4">
        <v>13694.4</v>
      </c>
      <c r="L174" s="4">
        <v>465.02</v>
      </c>
    </row>
    <row r="175" spans="1:12" x14ac:dyDescent="0.3">
      <c r="A175" t="s">
        <v>277</v>
      </c>
      <c r="B175" s="2">
        <v>45774</v>
      </c>
      <c r="C175" t="s">
        <v>95</v>
      </c>
      <c r="D175" t="s">
        <v>21</v>
      </c>
      <c r="E175" t="s">
        <v>57</v>
      </c>
      <c r="F175" t="s">
        <v>23</v>
      </c>
      <c r="G175" t="s">
        <v>24</v>
      </c>
      <c r="H175" t="s">
        <v>25</v>
      </c>
      <c r="I175">
        <v>4</v>
      </c>
      <c r="J175" s="3">
        <v>0.05</v>
      </c>
      <c r="K175" s="4">
        <v>175089.68</v>
      </c>
      <c r="L175" s="4">
        <v>34545.64</v>
      </c>
    </row>
    <row r="176" spans="1:12" x14ac:dyDescent="0.3">
      <c r="A176" t="s">
        <v>278</v>
      </c>
      <c r="B176" s="2">
        <v>45774</v>
      </c>
      <c r="C176" t="s">
        <v>111</v>
      </c>
      <c r="D176" t="s">
        <v>39</v>
      </c>
      <c r="E176" t="s">
        <v>52</v>
      </c>
      <c r="F176" t="s">
        <v>16</v>
      </c>
      <c r="G176" t="s">
        <v>62</v>
      </c>
      <c r="H176" t="s">
        <v>63</v>
      </c>
      <c r="I176">
        <v>2</v>
      </c>
      <c r="J176" s="3">
        <v>0.2</v>
      </c>
      <c r="K176" s="4">
        <v>1279.56</v>
      </c>
      <c r="L176" s="4">
        <v>22.18</v>
      </c>
    </row>
    <row r="177" spans="1:12" x14ac:dyDescent="0.3">
      <c r="A177" t="s">
        <v>279</v>
      </c>
      <c r="B177" s="2">
        <v>45775</v>
      </c>
      <c r="C177" t="s">
        <v>85</v>
      </c>
      <c r="D177" t="s">
        <v>14</v>
      </c>
      <c r="E177" t="s">
        <v>114</v>
      </c>
      <c r="F177" t="s">
        <v>28</v>
      </c>
      <c r="G177" t="s">
        <v>92</v>
      </c>
      <c r="H177" t="s">
        <v>93</v>
      </c>
      <c r="I177">
        <v>1</v>
      </c>
      <c r="J177" s="3">
        <v>0.15</v>
      </c>
      <c r="K177" s="4">
        <v>2164.12</v>
      </c>
      <c r="L177" s="4">
        <v>242.05</v>
      </c>
    </row>
    <row r="178" spans="1:12" x14ac:dyDescent="0.3">
      <c r="A178" t="s">
        <v>280</v>
      </c>
      <c r="B178" s="2">
        <v>45775</v>
      </c>
      <c r="C178" t="s">
        <v>150</v>
      </c>
      <c r="D178" t="s">
        <v>39</v>
      </c>
      <c r="E178" t="s">
        <v>40</v>
      </c>
      <c r="F178" t="s">
        <v>16</v>
      </c>
      <c r="G178" t="s">
        <v>41</v>
      </c>
      <c r="H178" t="s">
        <v>177</v>
      </c>
      <c r="I178">
        <v>6</v>
      </c>
      <c r="J178" s="3">
        <v>0.1</v>
      </c>
      <c r="K178" s="4">
        <v>69230.52</v>
      </c>
      <c r="L178" s="4">
        <v>9669.3799999999992</v>
      </c>
    </row>
    <row r="179" spans="1:12" x14ac:dyDescent="0.3">
      <c r="A179" t="s">
        <v>281</v>
      </c>
      <c r="B179" s="2">
        <v>45777</v>
      </c>
      <c r="C179" t="s">
        <v>111</v>
      </c>
      <c r="D179" t="s">
        <v>39</v>
      </c>
      <c r="E179" t="s">
        <v>47</v>
      </c>
      <c r="F179" t="s">
        <v>16</v>
      </c>
      <c r="G179" t="s">
        <v>41</v>
      </c>
      <c r="H179" t="s">
        <v>42</v>
      </c>
      <c r="I179">
        <v>5</v>
      </c>
      <c r="J179" s="3">
        <v>0</v>
      </c>
      <c r="K179" s="4">
        <v>33590.15</v>
      </c>
      <c r="L179" s="4">
        <v>4068.5</v>
      </c>
    </row>
    <row r="180" spans="1:12" x14ac:dyDescent="0.3">
      <c r="A180" t="s">
        <v>282</v>
      </c>
      <c r="B180" s="2">
        <v>45777</v>
      </c>
      <c r="C180" t="s">
        <v>147</v>
      </c>
      <c r="D180" t="s">
        <v>33</v>
      </c>
      <c r="E180" t="s">
        <v>140</v>
      </c>
      <c r="F180" t="s">
        <v>23</v>
      </c>
      <c r="G180" t="s">
        <v>48</v>
      </c>
      <c r="H180" t="s">
        <v>124</v>
      </c>
      <c r="I180">
        <v>6</v>
      </c>
      <c r="J180" s="3">
        <v>0.1</v>
      </c>
      <c r="K180" s="4">
        <v>256977.78</v>
      </c>
      <c r="L180" s="4">
        <v>19551.490000000002</v>
      </c>
    </row>
    <row r="181" spans="1:12" x14ac:dyDescent="0.3">
      <c r="A181" t="s">
        <v>283</v>
      </c>
      <c r="B181" s="2">
        <v>45777</v>
      </c>
      <c r="C181" t="s">
        <v>51</v>
      </c>
      <c r="D181" t="s">
        <v>39</v>
      </c>
      <c r="E181" t="s">
        <v>47</v>
      </c>
      <c r="F181" t="s">
        <v>23</v>
      </c>
      <c r="G181" t="s">
        <v>24</v>
      </c>
      <c r="H181" t="s">
        <v>129</v>
      </c>
      <c r="I181">
        <v>4</v>
      </c>
      <c r="J181" s="3">
        <v>0.15</v>
      </c>
      <c r="K181" s="4">
        <v>173277.76</v>
      </c>
      <c r="L181" s="4">
        <v>20669.259999999998</v>
      </c>
    </row>
    <row r="182" spans="1:12" x14ac:dyDescent="0.3">
      <c r="A182" t="s">
        <v>284</v>
      </c>
      <c r="B182" s="2">
        <v>45777</v>
      </c>
      <c r="C182" t="s">
        <v>82</v>
      </c>
      <c r="D182" t="s">
        <v>14</v>
      </c>
      <c r="E182" t="s">
        <v>54</v>
      </c>
      <c r="F182" t="s">
        <v>16</v>
      </c>
      <c r="G182" t="s">
        <v>62</v>
      </c>
      <c r="H182" t="s">
        <v>63</v>
      </c>
      <c r="I182">
        <v>1</v>
      </c>
      <c r="J182" s="3">
        <v>0</v>
      </c>
      <c r="K182" s="4">
        <v>5848.14</v>
      </c>
      <c r="L182" s="4">
        <v>950.12</v>
      </c>
    </row>
    <row r="183" spans="1:12" x14ac:dyDescent="0.3">
      <c r="A183" t="s">
        <v>285</v>
      </c>
      <c r="B183" s="2">
        <v>45778</v>
      </c>
      <c r="C183" t="s">
        <v>143</v>
      </c>
      <c r="D183" t="s">
        <v>14</v>
      </c>
      <c r="E183" t="s">
        <v>97</v>
      </c>
      <c r="F183" t="s">
        <v>16</v>
      </c>
      <c r="G183" t="s">
        <v>62</v>
      </c>
      <c r="H183" t="s">
        <v>167</v>
      </c>
      <c r="I183">
        <v>3</v>
      </c>
      <c r="J183" s="3">
        <v>0.1</v>
      </c>
      <c r="K183" s="4">
        <v>10828.56</v>
      </c>
      <c r="L183" s="4">
        <v>2082.4699999999998</v>
      </c>
    </row>
    <row r="184" spans="1:12" x14ac:dyDescent="0.3">
      <c r="A184" t="s">
        <v>286</v>
      </c>
      <c r="B184" s="2">
        <v>45779</v>
      </c>
      <c r="C184" t="s">
        <v>109</v>
      </c>
      <c r="D184" t="s">
        <v>39</v>
      </c>
      <c r="E184" t="s">
        <v>128</v>
      </c>
      <c r="F184" t="s">
        <v>16</v>
      </c>
      <c r="G184" t="s">
        <v>17</v>
      </c>
      <c r="H184" t="s">
        <v>18</v>
      </c>
      <c r="I184">
        <v>7</v>
      </c>
      <c r="J184" s="3">
        <v>0</v>
      </c>
      <c r="K184" s="4">
        <v>71644.37</v>
      </c>
      <c r="L184" s="4">
        <v>12357.42</v>
      </c>
    </row>
    <row r="185" spans="1:12" x14ac:dyDescent="0.3">
      <c r="A185" t="s">
        <v>287</v>
      </c>
      <c r="B185" s="2">
        <v>45779</v>
      </c>
      <c r="C185" t="s">
        <v>135</v>
      </c>
      <c r="D185" t="s">
        <v>33</v>
      </c>
      <c r="E185" t="s">
        <v>140</v>
      </c>
      <c r="F185" t="s">
        <v>23</v>
      </c>
      <c r="G185" t="s">
        <v>35</v>
      </c>
      <c r="H185" t="s">
        <v>36</v>
      </c>
      <c r="I185">
        <v>2</v>
      </c>
      <c r="J185" s="3">
        <v>0.1</v>
      </c>
      <c r="K185" s="4">
        <v>17962.28</v>
      </c>
      <c r="L185" s="4">
        <v>1371.3</v>
      </c>
    </row>
    <row r="186" spans="1:12" x14ac:dyDescent="0.3">
      <c r="A186" t="s">
        <v>288</v>
      </c>
      <c r="B186" s="2">
        <v>45781</v>
      </c>
      <c r="C186" t="s">
        <v>100</v>
      </c>
      <c r="D186" t="s">
        <v>39</v>
      </c>
      <c r="E186" t="s">
        <v>40</v>
      </c>
      <c r="F186" t="s">
        <v>23</v>
      </c>
      <c r="G186" t="s">
        <v>58</v>
      </c>
      <c r="H186" t="s">
        <v>59</v>
      </c>
      <c r="I186">
        <v>7</v>
      </c>
      <c r="J186" s="3">
        <v>0.2</v>
      </c>
      <c r="K186" s="4">
        <v>202552.84</v>
      </c>
      <c r="L186" s="4">
        <v>8377.7800000000007</v>
      </c>
    </row>
    <row r="187" spans="1:12" x14ac:dyDescent="0.3">
      <c r="A187" t="s">
        <v>289</v>
      </c>
      <c r="B187" s="2">
        <v>45782</v>
      </c>
      <c r="C187" t="s">
        <v>51</v>
      </c>
      <c r="D187" t="s">
        <v>39</v>
      </c>
      <c r="E187" t="s">
        <v>128</v>
      </c>
      <c r="F187" t="s">
        <v>28</v>
      </c>
      <c r="G187" t="s">
        <v>29</v>
      </c>
      <c r="H187" t="s">
        <v>98</v>
      </c>
      <c r="I187">
        <v>3</v>
      </c>
      <c r="J187" s="3">
        <v>0.2</v>
      </c>
      <c r="K187" s="4">
        <v>9457.6200000000008</v>
      </c>
      <c r="L187" s="4">
        <v>1273.27</v>
      </c>
    </row>
    <row r="188" spans="1:12" x14ac:dyDescent="0.3">
      <c r="A188" t="s">
        <v>290</v>
      </c>
      <c r="B188" s="2">
        <v>45782</v>
      </c>
      <c r="C188" t="s">
        <v>138</v>
      </c>
      <c r="D188" t="s">
        <v>33</v>
      </c>
      <c r="E188" t="s">
        <v>86</v>
      </c>
      <c r="F188" t="s">
        <v>16</v>
      </c>
      <c r="G188" t="s">
        <v>62</v>
      </c>
      <c r="H188" t="s">
        <v>167</v>
      </c>
      <c r="I188">
        <v>6</v>
      </c>
      <c r="J188" s="3">
        <v>0.15</v>
      </c>
      <c r="K188" s="4">
        <v>23050.560000000001</v>
      </c>
      <c r="L188" s="4">
        <v>2028.81</v>
      </c>
    </row>
    <row r="189" spans="1:12" x14ac:dyDescent="0.3">
      <c r="A189" t="s">
        <v>291</v>
      </c>
      <c r="B189" s="2">
        <v>45783</v>
      </c>
      <c r="C189" t="s">
        <v>95</v>
      </c>
      <c r="D189" t="s">
        <v>21</v>
      </c>
      <c r="E189" t="s">
        <v>105</v>
      </c>
      <c r="F189" t="s">
        <v>16</v>
      </c>
      <c r="G189" t="s">
        <v>17</v>
      </c>
      <c r="H189" t="s">
        <v>88</v>
      </c>
      <c r="I189">
        <v>5</v>
      </c>
      <c r="J189" s="3">
        <v>0.15</v>
      </c>
      <c r="K189" s="4">
        <v>30643.55</v>
      </c>
      <c r="L189" s="4">
        <v>1263.9000000000001</v>
      </c>
    </row>
    <row r="190" spans="1:12" x14ac:dyDescent="0.3">
      <c r="A190" t="s">
        <v>292</v>
      </c>
      <c r="B190" s="2">
        <v>45784</v>
      </c>
      <c r="C190" t="s">
        <v>100</v>
      </c>
      <c r="D190" t="s">
        <v>39</v>
      </c>
      <c r="E190" t="s">
        <v>128</v>
      </c>
      <c r="F190" t="s">
        <v>28</v>
      </c>
      <c r="G190" t="s">
        <v>74</v>
      </c>
      <c r="H190" t="s">
        <v>75</v>
      </c>
      <c r="I190">
        <v>1</v>
      </c>
      <c r="J190" s="3">
        <v>0</v>
      </c>
      <c r="K190" s="4">
        <v>3768.36</v>
      </c>
      <c r="L190" s="4">
        <v>301.56</v>
      </c>
    </row>
    <row r="191" spans="1:12" x14ac:dyDescent="0.3">
      <c r="A191" t="s">
        <v>293</v>
      </c>
      <c r="B191" s="2">
        <v>45784</v>
      </c>
      <c r="C191" t="s">
        <v>135</v>
      </c>
      <c r="D191" t="s">
        <v>14</v>
      </c>
      <c r="E191" t="s">
        <v>114</v>
      </c>
      <c r="F191" t="s">
        <v>16</v>
      </c>
      <c r="G191" t="s">
        <v>41</v>
      </c>
      <c r="H191" t="s">
        <v>177</v>
      </c>
      <c r="I191">
        <v>5</v>
      </c>
      <c r="J191" s="3">
        <v>0.15</v>
      </c>
      <c r="K191" s="4">
        <v>25188.1</v>
      </c>
      <c r="L191" s="4">
        <v>3817.92</v>
      </c>
    </row>
    <row r="192" spans="1:12" x14ac:dyDescent="0.3">
      <c r="A192" t="s">
        <v>294</v>
      </c>
      <c r="B192" s="2">
        <v>45785</v>
      </c>
      <c r="C192" t="s">
        <v>104</v>
      </c>
      <c r="D192" t="s">
        <v>14</v>
      </c>
      <c r="E192" t="s">
        <v>15</v>
      </c>
      <c r="F192" t="s">
        <v>28</v>
      </c>
      <c r="G192" t="s">
        <v>71</v>
      </c>
      <c r="H192" t="s">
        <v>72</v>
      </c>
      <c r="I192">
        <v>1</v>
      </c>
      <c r="J192" s="3">
        <v>0.15</v>
      </c>
      <c r="K192" s="4">
        <v>555.85</v>
      </c>
      <c r="L192" s="4">
        <v>83.26</v>
      </c>
    </row>
    <row r="193" spans="1:12" x14ac:dyDescent="0.3">
      <c r="A193" t="s">
        <v>295</v>
      </c>
      <c r="B193" s="2">
        <v>45785</v>
      </c>
      <c r="C193" t="s">
        <v>27</v>
      </c>
      <c r="D193" t="s">
        <v>33</v>
      </c>
      <c r="E193" t="s">
        <v>140</v>
      </c>
      <c r="F193" t="s">
        <v>28</v>
      </c>
      <c r="G193" t="s">
        <v>92</v>
      </c>
      <c r="H193" t="s">
        <v>93</v>
      </c>
      <c r="I193">
        <v>7</v>
      </c>
      <c r="J193" s="3">
        <v>0.1</v>
      </c>
      <c r="K193" s="4">
        <v>31035.759999999998</v>
      </c>
      <c r="L193" s="4">
        <v>4634.03</v>
      </c>
    </row>
    <row r="194" spans="1:12" x14ac:dyDescent="0.3">
      <c r="A194" t="s">
        <v>296</v>
      </c>
      <c r="B194" s="2">
        <v>45787</v>
      </c>
      <c r="C194" t="s">
        <v>109</v>
      </c>
      <c r="D194" t="s">
        <v>14</v>
      </c>
      <c r="E194" t="s">
        <v>97</v>
      </c>
      <c r="F194" t="s">
        <v>23</v>
      </c>
      <c r="G194" t="s">
        <v>48</v>
      </c>
      <c r="H194" t="s">
        <v>118</v>
      </c>
      <c r="I194">
        <v>4</v>
      </c>
      <c r="J194" s="3">
        <v>0</v>
      </c>
      <c r="K194" s="4">
        <v>133449.96</v>
      </c>
      <c r="L194" s="4">
        <v>33259.96</v>
      </c>
    </row>
    <row r="195" spans="1:12" x14ac:dyDescent="0.3">
      <c r="A195" t="s">
        <v>297</v>
      </c>
      <c r="B195" s="2">
        <v>45789</v>
      </c>
      <c r="C195" t="s">
        <v>111</v>
      </c>
      <c r="D195" t="s">
        <v>39</v>
      </c>
      <c r="E195" t="s">
        <v>52</v>
      </c>
      <c r="F195" t="s">
        <v>23</v>
      </c>
      <c r="G195" t="s">
        <v>48</v>
      </c>
      <c r="H195" t="s">
        <v>118</v>
      </c>
      <c r="I195">
        <v>3</v>
      </c>
      <c r="J195" s="3">
        <v>0.05</v>
      </c>
      <c r="K195" s="4">
        <v>121638.06</v>
      </c>
      <c r="L195" s="4">
        <v>25755.82</v>
      </c>
    </row>
    <row r="196" spans="1:12" x14ac:dyDescent="0.3">
      <c r="A196" t="s">
        <v>298</v>
      </c>
      <c r="B196" s="2">
        <v>45790</v>
      </c>
      <c r="C196" t="s">
        <v>82</v>
      </c>
      <c r="D196" t="s">
        <v>21</v>
      </c>
      <c r="E196" t="s">
        <v>67</v>
      </c>
      <c r="F196" t="s">
        <v>28</v>
      </c>
      <c r="G196" t="s">
        <v>92</v>
      </c>
      <c r="H196" t="s">
        <v>204</v>
      </c>
      <c r="I196">
        <v>4</v>
      </c>
      <c r="J196" s="3">
        <v>0.15</v>
      </c>
      <c r="K196" s="4">
        <v>11071.84</v>
      </c>
      <c r="L196" s="4">
        <v>1766.82</v>
      </c>
    </row>
    <row r="197" spans="1:12" x14ac:dyDescent="0.3">
      <c r="A197" t="s">
        <v>299</v>
      </c>
      <c r="B197" s="2">
        <v>45791</v>
      </c>
      <c r="C197" t="s">
        <v>56</v>
      </c>
      <c r="D197" t="s">
        <v>33</v>
      </c>
      <c r="E197" t="s">
        <v>34</v>
      </c>
      <c r="F197" t="s">
        <v>16</v>
      </c>
      <c r="G197" t="s">
        <v>68</v>
      </c>
      <c r="H197" t="s">
        <v>83</v>
      </c>
      <c r="I197">
        <v>7</v>
      </c>
      <c r="J197" s="3">
        <v>0.1</v>
      </c>
      <c r="K197" s="4">
        <v>40691.49</v>
      </c>
      <c r="L197" s="4">
        <v>2891.93</v>
      </c>
    </row>
    <row r="198" spans="1:12" x14ac:dyDescent="0.3">
      <c r="A198" t="s">
        <v>300</v>
      </c>
      <c r="B198" s="2">
        <v>45791</v>
      </c>
      <c r="C198" t="s">
        <v>66</v>
      </c>
      <c r="D198" t="s">
        <v>33</v>
      </c>
      <c r="E198" t="s">
        <v>86</v>
      </c>
      <c r="F198" t="s">
        <v>23</v>
      </c>
      <c r="G198" t="s">
        <v>58</v>
      </c>
      <c r="H198" t="s">
        <v>101</v>
      </c>
      <c r="I198">
        <v>2</v>
      </c>
      <c r="J198" s="3">
        <v>0</v>
      </c>
      <c r="K198" s="4">
        <v>82948</v>
      </c>
      <c r="L198" s="4">
        <v>7879.59</v>
      </c>
    </row>
    <row r="199" spans="1:12" x14ac:dyDescent="0.3">
      <c r="A199" t="s">
        <v>301</v>
      </c>
      <c r="B199" s="2">
        <v>45792</v>
      </c>
      <c r="C199" t="s">
        <v>32</v>
      </c>
      <c r="D199" t="s">
        <v>14</v>
      </c>
      <c r="E199" t="s">
        <v>15</v>
      </c>
      <c r="F199" t="s">
        <v>28</v>
      </c>
      <c r="G199" t="s">
        <v>71</v>
      </c>
      <c r="H199" t="s">
        <v>121</v>
      </c>
      <c r="I199">
        <v>1</v>
      </c>
      <c r="J199" s="3">
        <v>0.2</v>
      </c>
      <c r="K199" s="4">
        <v>1774.73</v>
      </c>
      <c r="L199" s="4">
        <v>241.15</v>
      </c>
    </row>
    <row r="200" spans="1:12" x14ac:dyDescent="0.3">
      <c r="A200" t="s">
        <v>302</v>
      </c>
      <c r="B200" s="2">
        <v>45794</v>
      </c>
      <c r="C200" t="s">
        <v>150</v>
      </c>
      <c r="D200" t="s">
        <v>14</v>
      </c>
      <c r="E200" t="s">
        <v>97</v>
      </c>
      <c r="F200" t="s">
        <v>28</v>
      </c>
      <c r="G200" t="s">
        <v>74</v>
      </c>
      <c r="H200" t="s">
        <v>75</v>
      </c>
      <c r="I200">
        <v>4</v>
      </c>
      <c r="J200" s="3">
        <v>0.2</v>
      </c>
      <c r="K200" s="4">
        <v>5749.8</v>
      </c>
      <c r="L200" s="4">
        <v>494.15</v>
      </c>
    </row>
    <row r="201" spans="1:12" x14ac:dyDescent="0.3">
      <c r="A201" t="s">
        <v>303</v>
      </c>
      <c r="B201" s="2">
        <v>45795</v>
      </c>
      <c r="C201" t="s">
        <v>51</v>
      </c>
      <c r="D201" t="s">
        <v>33</v>
      </c>
      <c r="E201" t="s">
        <v>45</v>
      </c>
      <c r="F201" t="s">
        <v>28</v>
      </c>
      <c r="G201" t="s">
        <v>29</v>
      </c>
      <c r="H201" t="s">
        <v>98</v>
      </c>
      <c r="I201">
        <v>3</v>
      </c>
      <c r="J201" s="3">
        <v>0</v>
      </c>
      <c r="K201" s="4">
        <v>3062.43</v>
      </c>
      <c r="L201" s="4">
        <v>549.38</v>
      </c>
    </row>
    <row r="202" spans="1:12" x14ac:dyDescent="0.3">
      <c r="A202" t="s">
        <v>304</v>
      </c>
      <c r="B202" s="2">
        <v>45796</v>
      </c>
      <c r="C202" t="s">
        <v>82</v>
      </c>
      <c r="D202" t="s">
        <v>39</v>
      </c>
      <c r="E202" t="s">
        <v>128</v>
      </c>
      <c r="F202" t="s">
        <v>16</v>
      </c>
      <c r="G202" t="s">
        <v>17</v>
      </c>
      <c r="H202" t="s">
        <v>18</v>
      </c>
      <c r="I202">
        <v>1</v>
      </c>
      <c r="J202" s="3">
        <v>0.05</v>
      </c>
      <c r="K202" s="4">
        <v>4320.3599999999997</v>
      </c>
      <c r="L202" s="4">
        <v>760.55</v>
      </c>
    </row>
    <row r="203" spans="1:12" x14ac:dyDescent="0.3">
      <c r="A203" t="s">
        <v>305</v>
      </c>
      <c r="B203" s="2">
        <v>45796</v>
      </c>
      <c r="C203" t="s">
        <v>66</v>
      </c>
      <c r="D203" t="s">
        <v>14</v>
      </c>
      <c r="E203" t="s">
        <v>97</v>
      </c>
      <c r="F203" t="s">
        <v>23</v>
      </c>
      <c r="G203" t="s">
        <v>58</v>
      </c>
      <c r="H203" t="s">
        <v>59</v>
      </c>
      <c r="I203">
        <v>3</v>
      </c>
      <c r="J203" s="3">
        <v>0.1</v>
      </c>
      <c r="K203" s="4">
        <v>117880.53</v>
      </c>
      <c r="L203" s="4">
        <v>22945.86</v>
      </c>
    </row>
    <row r="204" spans="1:12" x14ac:dyDescent="0.3">
      <c r="A204" t="s">
        <v>306</v>
      </c>
      <c r="B204" s="2">
        <v>45797</v>
      </c>
      <c r="C204" t="s">
        <v>143</v>
      </c>
      <c r="D204" t="s">
        <v>39</v>
      </c>
      <c r="E204" t="s">
        <v>128</v>
      </c>
      <c r="F204" t="s">
        <v>16</v>
      </c>
      <c r="G204" t="s">
        <v>62</v>
      </c>
      <c r="H204" t="s">
        <v>167</v>
      </c>
      <c r="I204">
        <v>5</v>
      </c>
      <c r="J204" s="3">
        <v>0</v>
      </c>
      <c r="K204" s="4">
        <v>8916.6</v>
      </c>
      <c r="L204" s="4">
        <v>1000.03</v>
      </c>
    </row>
    <row r="205" spans="1:12" x14ac:dyDescent="0.3">
      <c r="A205" t="s">
        <v>307</v>
      </c>
      <c r="B205" s="2">
        <v>45800</v>
      </c>
      <c r="C205" t="s">
        <v>32</v>
      </c>
      <c r="D205" t="s">
        <v>39</v>
      </c>
      <c r="E205" t="s">
        <v>47</v>
      </c>
      <c r="F205" t="s">
        <v>16</v>
      </c>
      <c r="G205" t="s">
        <v>62</v>
      </c>
      <c r="H205" t="s">
        <v>63</v>
      </c>
      <c r="I205">
        <v>4</v>
      </c>
      <c r="J205" s="3">
        <v>0.1</v>
      </c>
      <c r="K205" s="4">
        <v>11484.56</v>
      </c>
      <c r="L205" s="4">
        <v>969.65</v>
      </c>
    </row>
    <row r="206" spans="1:12" x14ac:dyDescent="0.3">
      <c r="A206" t="s">
        <v>308</v>
      </c>
      <c r="B206" s="2">
        <v>45802</v>
      </c>
      <c r="C206" t="s">
        <v>138</v>
      </c>
      <c r="D206" t="s">
        <v>14</v>
      </c>
      <c r="E206" t="s">
        <v>54</v>
      </c>
      <c r="F206" t="s">
        <v>23</v>
      </c>
      <c r="G206" t="s">
        <v>48</v>
      </c>
      <c r="H206" t="s">
        <v>49</v>
      </c>
      <c r="I206">
        <v>3</v>
      </c>
      <c r="J206" s="3">
        <v>0.1</v>
      </c>
      <c r="K206" s="4">
        <v>144429.78</v>
      </c>
      <c r="L206" s="4">
        <v>15213.17</v>
      </c>
    </row>
    <row r="207" spans="1:12" x14ac:dyDescent="0.3">
      <c r="A207" t="s">
        <v>309</v>
      </c>
      <c r="B207" s="2">
        <v>45802</v>
      </c>
      <c r="C207" t="s">
        <v>27</v>
      </c>
      <c r="D207" t="s">
        <v>14</v>
      </c>
      <c r="E207" t="s">
        <v>97</v>
      </c>
      <c r="F207" t="s">
        <v>28</v>
      </c>
      <c r="G207" t="s">
        <v>74</v>
      </c>
      <c r="H207" t="s">
        <v>159</v>
      </c>
      <c r="I207">
        <v>1</v>
      </c>
      <c r="J207" s="3">
        <v>0.2</v>
      </c>
      <c r="K207" s="4">
        <v>2114.91</v>
      </c>
      <c r="L207" s="4">
        <v>267.33</v>
      </c>
    </row>
    <row r="208" spans="1:12" x14ac:dyDescent="0.3">
      <c r="A208" t="s">
        <v>310</v>
      </c>
      <c r="B208" s="2">
        <v>45804</v>
      </c>
      <c r="C208" t="s">
        <v>13</v>
      </c>
      <c r="D208" t="s">
        <v>39</v>
      </c>
      <c r="E208" t="s">
        <v>52</v>
      </c>
      <c r="F208" t="s">
        <v>28</v>
      </c>
      <c r="G208" t="s">
        <v>74</v>
      </c>
      <c r="H208" t="s">
        <v>75</v>
      </c>
      <c r="I208">
        <v>5</v>
      </c>
      <c r="J208" s="3">
        <v>0</v>
      </c>
      <c r="K208" s="4">
        <v>24607.45</v>
      </c>
      <c r="L208" s="4">
        <v>3310.35</v>
      </c>
    </row>
    <row r="209" spans="1:12" x14ac:dyDescent="0.3">
      <c r="A209" t="s">
        <v>311</v>
      </c>
      <c r="B209" s="2">
        <v>45804</v>
      </c>
      <c r="C209" t="s">
        <v>150</v>
      </c>
      <c r="D209" t="s">
        <v>21</v>
      </c>
      <c r="E209" t="s">
        <v>57</v>
      </c>
      <c r="F209" t="s">
        <v>23</v>
      </c>
      <c r="G209" t="s">
        <v>48</v>
      </c>
      <c r="H209" t="s">
        <v>49</v>
      </c>
      <c r="I209">
        <v>4</v>
      </c>
      <c r="J209" s="3">
        <v>0</v>
      </c>
      <c r="K209" s="4">
        <v>111358.08</v>
      </c>
      <c r="L209" s="4">
        <v>10252.879999999999</v>
      </c>
    </row>
    <row r="210" spans="1:12" x14ac:dyDescent="0.3">
      <c r="A210" t="s">
        <v>312</v>
      </c>
      <c r="B210" s="2">
        <v>45804</v>
      </c>
      <c r="C210" t="s">
        <v>82</v>
      </c>
      <c r="D210" t="s">
        <v>39</v>
      </c>
      <c r="E210" t="s">
        <v>40</v>
      </c>
      <c r="F210" t="s">
        <v>16</v>
      </c>
      <c r="G210" t="s">
        <v>17</v>
      </c>
      <c r="H210" t="s">
        <v>153</v>
      </c>
      <c r="I210">
        <v>6</v>
      </c>
      <c r="J210" s="3">
        <v>0.2</v>
      </c>
      <c r="K210" s="4">
        <v>23400.18</v>
      </c>
      <c r="L210" s="4">
        <v>3753.98</v>
      </c>
    </row>
    <row r="211" spans="1:12" x14ac:dyDescent="0.3">
      <c r="A211" t="s">
        <v>313</v>
      </c>
      <c r="B211" s="2">
        <v>45806</v>
      </c>
      <c r="C211" t="s">
        <v>66</v>
      </c>
      <c r="D211" t="s">
        <v>21</v>
      </c>
      <c r="E211" t="s">
        <v>105</v>
      </c>
      <c r="F211" t="s">
        <v>16</v>
      </c>
      <c r="G211" t="s">
        <v>68</v>
      </c>
      <c r="H211" t="s">
        <v>83</v>
      </c>
      <c r="I211">
        <v>4</v>
      </c>
      <c r="J211" s="3">
        <v>0.05</v>
      </c>
      <c r="K211" s="4">
        <v>23819.48</v>
      </c>
      <c r="L211" s="4">
        <v>3925.92</v>
      </c>
    </row>
    <row r="212" spans="1:12" x14ac:dyDescent="0.3">
      <c r="A212" t="s">
        <v>314</v>
      </c>
      <c r="B212" s="2">
        <v>45806</v>
      </c>
      <c r="C212" t="s">
        <v>150</v>
      </c>
      <c r="D212" t="s">
        <v>33</v>
      </c>
      <c r="E212" t="s">
        <v>140</v>
      </c>
      <c r="F212" t="s">
        <v>28</v>
      </c>
      <c r="G212" t="s">
        <v>71</v>
      </c>
      <c r="H212" t="s">
        <v>72</v>
      </c>
      <c r="I212">
        <v>1</v>
      </c>
      <c r="J212" s="3">
        <v>0.05</v>
      </c>
      <c r="K212" s="4">
        <v>3746.82</v>
      </c>
      <c r="L212" s="4">
        <v>745.56</v>
      </c>
    </row>
    <row r="213" spans="1:12" x14ac:dyDescent="0.3">
      <c r="A213" t="s">
        <v>315</v>
      </c>
      <c r="B213" s="2">
        <v>45807</v>
      </c>
      <c r="C213" t="s">
        <v>229</v>
      </c>
      <c r="D213" t="s">
        <v>14</v>
      </c>
      <c r="E213" t="s">
        <v>97</v>
      </c>
      <c r="F213" t="s">
        <v>23</v>
      </c>
      <c r="G213" t="s">
        <v>58</v>
      </c>
      <c r="H213" t="s">
        <v>101</v>
      </c>
      <c r="I213">
        <v>5</v>
      </c>
      <c r="J213" s="3">
        <v>0</v>
      </c>
      <c r="K213" s="4">
        <v>130732.75</v>
      </c>
      <c r="L213" s="4">
        <v>31817.99</v>
      </c>
    </row>
    <row r="214" spans="1:12" x14ac:dyDescent="0.3">
      <c r="A214" t="s">
        <v>316</v>
      </c>
      <c r="B214" s="2">
        <v>45809</v>
      </c>
      <c r="C214" t="s">
        <v>109</v>
      </c>
      <c r="D214" t="s">
        <v>14</v>
      </c>
      <c r="E214" t="s">
        <v>54</v>
      </c>
      <c r="F214" t="s">
        <v>23</v>
      </c>
      <c r="G214" t="s">
        <v>58</v>
      </c>
      <c r="H214" t="s">
        <v>78</v>
      </c>
      <c r="I214">
        <v>6</v>
      </c>
      <c r="J214" s="3">
        <v>0.15</v>
      </c>
      <c r="K214" s="4">
        <v>170663.04000000001</v>
      </c>
      <c r="L214" s="4">
        <v>17139.52</v>
      </c>
    </row>
    <row r="215" spans="1:12" x14ac:dyDescent="0.3">
      <c r="A215" t="s">
        <v>317</v>
      </c>
      <c r="B215" s="2">
        <v>45809</v>
      </c>
      <c r="C215" t="s">
        <v>32</v>
      </c>
      <c r="D215" t="s">
        <v>21</v>
      </c>
      <c r="E215" t="s">
        <v>57</v>
      </c>
      <c r="F215" t="s">
        <v>23</v>
      </c>
      <c r="G215" t="s">
        <v>48</v>
      </c>
      <c r="H215" t="s">
        <v>49</v>
      </c>
      <c r="I215">
        <v>6</v>
      </c>
      <c r="J215" s="3">
        <v>0.1</v>
      </c>
      <c r="K215" s="4">
        <v>287438.64</v>
      </c>
      <c r="L215" s="4">
        <v>61692.82</v>
      </c>
    </row>
    <row r="216" spans="1:12" x14ac:dyDescent="0.3">
      <c r="A216" t="s">
        <v>318</v>
      </c>
      <c r="B216" s="2">
        <v>45809</v>
      </c>
      <c r="C216" t="s">
        <v>85</v>
      </c>
      <c r="D216" t="s">
        <v>14</v>
      </c>
      <c r="E216" t="s">
        <v>114</v>
      </c>
      <c r="F216" t="s">
        <v>23</v>
      </c>
      <c r="G216" t="s">
        <v>48</v>
      </c>
      <c r="H216" t="s">
        <v>124</v>
      </c>
      <c r="I216">
        <v>4</v>
      </c>
      <c r="J216" s="3">
        <v>0.2</v>
      </c>
      <c r="K216" s="4">
        <v>157667.72</v>
      </c>
      <c r="L216" s="4">
        <v>22714.33</v>
      </c>
    </row>
    <row r="217" spans="1:12" x14ac:dyDescent="0.3">
      <c r="A217" t="s">
        <v>319</v>
      </c>
      <c r="B217" s="2">
        <v>45809</v>
      </c>
      <c r="C217" t="s">
        <v>38</v>
      </c>
      <c r="D217" t="s">
        <v>14</v>
      </c>
      <c r="E217" t="s">
        <v>114</v>
      </c>
      <c r="F217" t="s">
        <v>28</v>
      </c>
      <c r="G217" t="s">
        <v>71</v>
      </c>
      <c r="H217" t="s">
        <v>72</v>
      </c>
      <c r="I217">
        <v>6</v>
      </c>
      <c r="J217" s="3">
        <v>0</v>
      </c>
      <c r="K217" s="4">
        <v>22137.599999999999</v>
      </c>
      <c r="L217" s="4">
        <v>2786.79</v>
      </c>
    </row>
    <row r="218" spans="1:12" x14ac:dyDescent="0.3">
      <c r="A218" t="s">
        <v>320</v>
      </c>
      <c r="B218" s="2">
        <v>45810</v>
      </c>
      <c r="C218" t="s">
        <v>147</v>
      </c>
      <c r="D218" t="s">
        <v>21</v>
      </c>
      <c r="E218" t="s">
        <v>22</v>
      </c>
      <c r="F218" t="s">
        <v>16</v>
      </c>
      <c r="G218" t="s">
        <v>62</v>
      </c>
      <c r="H218" t="s">
        <v>167</v>
      </c>
      <c r="I218">
        <v>5</v>
      </c>
      <c r="J218" s="3">
        <v>0</v>
      </c>
      <c r="K218" s="4">
        <v>8394.65</v>
      </c>
      <c r="L218" s="4">
        <v>1682.65</v>
      </c>
    </row>
    <row r="219" spans="1:12" x14ac:dyDescent="0.3">
      <c r="A219" t="s">
        <v>321</v>
      </c>
      <c r="B219" s="2">
        <v>45811</v>
      </c>
      <c r="C219" t="s">
        <v>95</v>
      </c>
      <c r="D219" t="s">
        <v>14</v>
      </c>
      <c r="E219" t="s">
        <v>15</v>
      </c>
      <c r="F219" t="s">
        <v>23</v>
      </c>
      <c r="G219" t="s">
        <v>35</v>
      </c>
      <c r="H219" t="s">
        <v>155</v>
      </c>
      <c r="I219">
        <v>6</v>
      </c>
      <c r="J219" s="3">
        <v>0.1</v>
      </c>
      <c r="K219" s="4">
        <v>232788.36</v>
      </c>
      <c r="L219" s="4">
        <v>22655.46</v>
      </c>
    </row>
    <row r="220" spans="1:12" x14ac:dyDescent="0.3">
      <c r="A220" t="s">
        <v>322</v>
      </c>
      <c r="B220" s="2">
        <v>45811</v>
      </c>
      <c r="C220" t="s">
        <v>104</v>
      </c>
      <c r="D220" t="s">
        <v>33</v>
      </c>
      <c r="E220" t="s">
        <v>140</v>
      </c>
      <c r="F220" t="s">
        <v>28</v>
      </c>
      <c r="G220" t="s">
        <v>74</v>
      </c>
      <c r="H220" t="s">
        <v>80</v>
      </c>
      <c r="I220">
        <v>4</v>
      </c>
      <c r="J220" s="3">
        <v>0.1</v>
      </c>
      <c r="K220" s="4">
        <v>5786.2</v>
      </c>
      <c r="L220" s="4">
        <v>1097.6400000000001</v>
      </c>
    </row>
    <row r="221" spans="1:12" x14ac:dyDescent="0.3">
      <c r="A221" t="s">
        <v>323</v>
      </c>
      <c r="B221" s="2">
        <v>45813</v>
      </c>
      <c r="C221" t="s">
        <v>51</v>
      </c>
      <c r="D221" t="s">
        <v>14</v>
      </c>
      <c r="E221" t="s">
        <v>114</v>
      </c>
      <c r="F221" t="s">
        <v>28</v>
      </c>
      <c r="G221" t="s">
        <v>71</v>
      </c>
      <c r="H221" t="s">
        <v>72</v>
      </c>
      <c r="I221">
        <v>6</v>
      </c>
      <c r="J221" s="3">
        <v>0.15</v>
      </c>
      <c r="K221" s="4">
        <v>3801.48</v>
      </c>
      <c r="L221" s="4">
        <v>719.4</v>
      </c>
    </row>
    <row r="222" spans="1:12" x14ac:dyDescent="0.3">
      <c r="A222" t="s">
        <v>324</v>
      </c>
      <c r="B222" s="2">
        <v>45813</v>
      </c>
      <c r="C222" t="s">
        <v>32</v>
      </c>
      <c r="D222" t="s">
        <v>33</v>
      </c>
      <c r="E222" t="s">
        <v>34</v>
      </c>
      <c r="F222" t="s">
        <v>23</v>
      </c>
      <c r="G222" t="s">
        <v>24</v>
      </c>
      <c r="H222" t="s">
        <v>132</v>
      </c>
      <c r="I222">
        <v>2</v>
      </c>
      <c r="J222" s="3">
        <v>0.05</v>
      </c>
      <c r="K222" s="4">
        <v>61656.84</v>
      </c>
      <c r="L222" s="4">
        <v>8045.22</v>
      </c>
    </row>
    <row r="223" spans="1:12" x14ac:dyDescent="0.3">
      <c r="A223" t="s">
        <v>325</v>
      </c>
      <c r="B223" s="2">
        <v>45814</v>
      </c>
      <c r="C223" t="s">
        <v>143</v>
      </c>
      <c r="D223" t="s">
        <v>14</v>
      </c>
      <c r="E223" t="s">
        <v>15</v>
      </c>
      <c r="F223" t="s">
        <v>16</v>
      </c>
      <c r="G223" t="s">
        <v>41</v>
      </c>
      <c r="H223" t="s">
        <v>177</v>
      </c>
      <c r="I223">
        <v>4</v>
      </c>
      <c r="J223" s="3">
        <v>0.1</v>
      </c>
      <c r="K223" s="4">
        <v>36107.199999999997</v>
      </c>
      <c r="L223" s="4">
        <v>6465.41</v>
      </c>
    </row>
    <row r="224" spans="1:12" x14ac:dyDescent="0.3">
      <c r="A224" t="s">
        <v>326</v>
      </c>
      <c r="B224" s="2">
        <v>45814</v>
      </c>
      <c r="C224" t="s">
        <v>20</v>
      </c>
      <c r="D224" t="s">
        <v>14</v>
      </c>
      <c r="E224" t="s">
        <v>97</v>
      </c>
      <c r="F224" t="s">
        <v>23</v>
      </c>
      <c r="G224" t="s">
        <v>35</v>
      </c>
      <c r="H224" t="s">
        <v>155</v>
      </c>
      <c r="I224">
        <v>4</v>
      </c>
      <c r="J224" s="3">
        <v>0.15</v>
      </c>
      <c r="K224" s="4">
        <v>136320.72</v>
      </c>
      <c r="L224" s="4">
        <v>6164.18</v>
      </c>
    </row>
    <row r="225" spans="1:12" x14ac:dyDescent="0.3">
      <c r="A225" t="s">
        <v>327</v>
      </c>
      <c r="B225" s="2">
        <v>45815</v>
      </c>
      <c r="C225" t="s">
        <v>77</v>
      </c>
      <c r="D225" t="s">
        <v>39</v>
      </c>
      <c r="E225" t="s">
        <v>40</v>
      </c>
      <c r="F225" t="s">
        <v>28</v>
      </c>
      <c r="G225" t="s">
        <v>29</v>
      </c>
      <c r="H225" t="s">
        <v>98</v>
      </c>
      <c r="I225">
        <v>5</v>
      </c>
      <c r="J225" s="3">
        <v>0.1</v>
      </c>
      <c r="K225" s="4">
        <v>9754.2999999999993</v>
      </c>
      <c r="L225" s="4">
        <v>547.9</v>
      </c>
    </row>
    <row r="226" spans="1:12" x14ac:dyDescent="0.3">
      <c r="A226" t="s">
        <v>328</v>
      </c>
      <c r="B226" s="2">
        <v>45815</v>
      </c>
      <c r="C226" t="s">
        <v>20</v>
      </c>
      <c r="D226" t="s">
        <v>14</v>
      </c>
      <c r="E226" t="s">
        <v>54</v>
      </c>
      <c r="F226" t="s">
        <v>28</v>
      </c>
      <c r="G226" t="s">
        <v>74</v>
      </c>
      <c r="H226" t="s">
        <v>75</v>
      </c>
      <c r="I226">
        <v>1</v>
      </c>
      <c r="J226" s="3">
        <v>0.1</v>
      </c>
      <c r="K226" s="4">
        <v>2054.2199999999998</v>
      </c>
      <c r="L226" s="4">
        <v>245.74</v>
      </c>
    </row>
    <row r="227" spans="1:12" x14ac:dyDescent="0.3">
      <c r="A227" t="s">
        <v>329</v>
      </c>
      <c r="B227" s="2">
        <v>45817</v>
      </c>
      <c r="C227" t="s">
        <v>82</v>
      </c>
      <c r="D227" t="s">
        <v>33</v>
      </c>
      <c r="E227" t="s">
        <v>45</v>
      </c>
      <c r="F227" t="s">
        <v>23</v>
      </c>
      <c r="G227" t="s">
        <v>58</v>
      </c>
      <c r="H227" t="s">
        <v>101</v>
      </c>
      <c r="I227">
        <v>3</v>
      </c>
      <c r="J227" s="3">
        <v>0.2</v>
      </c>
      <c r="K227" s="4">
        <v>144597.03</v>
      </c>
      <c r="L227" s="4">
        <v>2730.55</v>
      </c>
    </row>
    <row r="228" spans="1:12" x14ac:dyDescent="0.3">
      <c r="A228" t="s">
        <v>330</v>
      </c>
      <c r="B228" s="2">
        <v>45817</v>
      </c>
      <c r="C228" t="s">
        <v>100</v>
      </c>
      <c r="D228" t="s">
        <v>33</v>
      </c>
      <c r="E228" t="s">
        <v>45</v>
      </c>
      <c r="F228" t="s">
        <v>28</v>
      </c>
      <c r="G228" t="s">
        <v>71</v>
      </c>
      <c r="H228" t="s">
        <v>72</v>
      </c>
      <c r="I228">
        <v>1</v>
      </c>
      <c r="J228" s="3">
        <v>0.2</v>
      </c>
      <c r="K228" s="4">
        <v>3070.12</v>
      </c>
      <c r="L228" s="4">
        <v>238.43</v>
      </c>
    </row>
    <row r="229" spans="1:12" x14ac:dyDescent="0.3">
      <c r="A229" t="s">
        <v>331</v>
      </c>
      <c r="B229" s="2">
        <v>45818</v>
      </c>
      <c r="C229" t="s">
        <v>61</v>
      </c>
      <c r="D229" t="s">
        <v>39</v>
      </c>
      <c r="E229" t="s">
        <v>52</v>
      </c>
      <c r="F229" t="s">
        <v>23</v>
      </c>
      <c r="G229" t="s">
        <v>35</v>
      </c>
      <c r="H229" t="s">
        <v>36</v>
      </c>
      <c r="I229">
        <v>2</v>
      </c>
      <c r="J229" s="3">
        <v>0.05</v>
      </c>
      <c r="K229" s="4">
        <v>33723.800000000003</v>
      </c>
      <c r="L229" s="4">
        <v>5170.57</v>
      </c>
    </row>
    <row r="230" spans="1:12" x14ac:dyDescent="0.3">
      <c r="A230" t="s">
        <v>332</v>
      </c>
      <c r="B230" s="2">
        <v>45818</v>
      </c>
      <c r="C230" t="s">
        <v>229</v>
      </c>
      <c r="D230" t="s">
        <v>33</v>
      </c>
      <c r="E230" t="s">
        <v>45</v>
      </c>
      <c r="F230" t="s">
        <v>23</v>
      </c>
      <c r="G230" t="s">
        <v>24</v>
      </c>
      <c r="H230" t="s">
        <v>129</v>
      </c>
      <c r="I230">
        <v>5</v>
      </c>
      <c r="J230" s="3">
        <v>0.05</v>
      </c>
      <c r="K230" s="4">
        <v>59427.95</v>
      </c>
      <c r="L230" s="4">
        <v>4611.78</v>
      </c>
    </row>
    <row r="231" spans="1:12" x14ac:dyDescent="0.3">
      <c r="A231" t="s">
        <v>333</v>
      </c>
      <c r="B231" s="2">
        <v>45819</v>
      </c>
      <c r="C231" t="s">
        <v>143</v>
      </c>
      <c r="D231" t="s">
        <v>33</v>
      </c>
      <c r="E231" t="s">
        <v>45</v>
      </c>
      <c r="F231" t="s">
        <v>28</v>
      </c>
      <c r="G231" t="s">
        <v>74</v>
      </c>
      <c r="H231" t="s">
        <v>75</v>
      </c>
      <c r="I231">
        <v>7</v>
      </c>
      <c r="J231" s="3">
        <v>0.05</v>
      </c>
      <c r="K231" s="4">
        <v>34277.32</v>
      </c>
      <c r="L231" s="4">
        <v>7194.43</v>
      </c>
    </row>
    <row r="232" spans="1:12" x14ac:dyDescent="0.3">
      <c r="A232" t="s">
        <v>334</v>
      </c>
      <c r="B232" s="2">
        <v>45819</v>
      </c>
      <c r="C232" t="s">
        <v>109</v>
      </c>
      <c r="D232" t="s">
        <v>21</v>
      </c>
      <c r="E232" t="s">
        <v>67</v>
      </c>
      <c r="F232" t="s">
        <v>23</v>
      </c>
      <c r="G232" t="s">
        <v>48</v>
      </c>
      <c r="H232" t="s">
        <v>118</v>
      </c>
      <c r="I232">
        <v>1</v>
      </c>
      <c r="J232" s="3">
        <v>0</v>
      </c>
      <c r="K232" s="4">
        <v>25708.29</v>
      </c>
      <c r="L232" s="4">
        <v>2069.4299999999998</v>
      </c>
    </row>
    <row r="233" spans="1:12" x14ac:dyDescent="0.3">
      <c r="A233" t="s">
        <v>335</v>
      </c>
      <c r="B233" s="2">
        <v>45820</v>
      </c>
      <c r="C233" t="s">
        <v>111</v>
      </c>
      <c r="D233" t="s">
        <v>33</v>
      </c>
      <c r="E233" t="s">
        <v>45</v>
      </c>
      <c r="F233" t="s">
        <v>28</v>
      </c>
      <c r="G233" t="s">
        <v>71</v>
      </c>
      <c r="H233" t="s">
        <v>72</v>
      </c>
      <c r="I233">
        <v>5</v>
      </c>
      <c r="J233" s="3">
        <v>0</v>
      </c>
      <c r="K233" s="4">
        <v>23376.85</v>
      </c>
      <c r="L233" s="4">
        <v>3542.28</v>
      </c>
    </row>
    <row r="234" spans="1:12" x14ac:dyDescent="0.3">
      <c r="A234" t="s">
        <v>336</v>
      </c>
      <c r="B234" s="2">
        <v>45821</v>
      </c>
      <c r="C234" t="s">
        <v>32</v>
      </c>
      <c r="D234" t="s">
        <v>33</v>
      </c>
      <c r="E234" t="s">
        <v>86</v>
      </c>
      <c r="F234" t="s">
        <v>16</v>
      </c>
      <c r="G234" t="s">
        <v>17</v>
      </c>
      <c r="H234" t="s">
        <v>88</v>
      </c>
      <c r="I234">
        <v>1</v>
      </c>
      <c r="J234" s="3">
        <v>0.1</v>
      </c>
      <c r="K234" s="4">
        <v>4218.7700000000004</v>
      </c>
      <c r="L234" s="4">
        <v>436.24</v>
      </c>
    </row>
    <row r="235" spans="1:12" x14ac:dyDescent="0.3">
      <c r="A235" t="s">
        <v>337</v>
      </c>
      <c r="B235" s="2">
        <v>45822</v>
      </c>
      <c r="C235" t="s">
        <v>138</v>
      </c>
      <c r="D235" t="s">
        <v>14</v>
      </c>
      <c r="E235" t="s">
        <v>15</v>
      </c>
      <c r="F235" t="s">
        <v>23</v>
      </c>
      <c r="G235" t="s">
        <v>48</v>
      </c>
      <c r="H235" t="s">
        <v>124</v>
      </c>
      <c r="I235">
        <v>5</v>
      </c>
      <c r="J235" s="3">
        <v>0.2</v>
      </c>
      <c r="K235" s="4">
        <v>40404.1</v>
      </c>
      <c r="L235" s="4">
        <v>3670.42</v>
      </c>
    </row>
    <row r="236" spans="1:12" x14ac:dyDescent="0.3">
      <c r="A236" t="s">
        <v>338</v>
      </c>
      <c r="B236" s="2">
        <v>45822</v>
      </c>
      <c r="C236" t="s">
        <v>13</v>
      </c>
      <c r="D236" t="s">
        <v>21</v>
      </c>
      <c r="E236" t="s">
        <v>67</v>
      </c>
      <c r="F236" t="s">
        <v>23</v>
      </c>
      <c r="G236" t="s">
        <v>48</v>
      </c>
      <c r="H236" t="s">
        <v>49</v>
      </c>
      <c r="I236">
        <v>6</v>
      </c>
      <c r="J236" s="3">
        <v>0.2</v>
      </c>
      <c r="K236" s="4">
        <v>249739.8</v>
      </c>
      <c r="L236" s="4">
        <v>2964.23</v>
      </c>
    </row>
    <row r="237" spans="1:12" x14ac:dyDescent="0.3">
      <c r="A237" t="s">
        <v>339</v>
      </c>
      <c r="B237" s="2">
        <v>45823</v>
      </c>
      <c r="C237" t="s">
        <v>38</v>
      </c>
      <c r="D237" t="s">
        <v>33</v>
      </c>
      <c r="E237" t="s">
        <v>45</v>
      </c>
      <c r="F237" t="s">
        <v>16</v>
      </c>
      <c r="G237" t="s">
        <v>62</v>
      </c>
      <c r="H237" t="s">
        <v>180</v>
      </c>
      <c r="I237">
        <v>2</v>
      </c>
      <c r="J237" s="3">
        <v>0.1</v>
      </c>
      <c r="K237" s="4">
        <v>14883.66</v>
      </c>
      <c r="L237" s="4">
        <v>861.01</v>
      </c>
    </row>
    <row r="238" spans="1:12" x14ac:dyDescent="0.3">
      <c r="A238" t="s">
        <v>340</v>
      </c>
      <c r="B238" s="2">
        <v>45825</v>
      </c>
      <c r="C238" t="s">
        <v>95</v>
      </c>
      <c r="D238" t="s">
        <v>33</v>
      </c>
      <c r="E238" t="s">
        <v>45</v>
      </c>
      <c r="F238" t="s">
        <v>23</v>
      </c>
      <c r="G238" t="s">
        <v>48</v>
      </c>
      <c r="H238" t="s">
        <v>49</v>
      </c>
      <c r="I238">
        <v>4</v>
      </c>
      <c r="J238" s="3">
        <v>0.2</v>
      </c>
      <c r="K238" s="4">
        <v>53313.279999999999</v>
      </c>
      <c r="L238" s="4">
        <v>557.70000000000005</v>
      </c>
    </row>
    <row r="239" spans="1:12" x14ac:dyDescent="0.3">
      <c r="A239" t="s">
        <v>341</v>
      </c>
      <c r="B239" s="2">
        <v>45825</v>
      </c>
      <c r="C239" t="s">
        <v>95</v>
      </c>
      <c r="D239" t="s">
        <v>33</v>
      </c>
      <c r="E239" t="s">
        <v>45</v>
      </c>
      <c r="F239" t="s">
        <v>28</v>
      </c>
      <c r="G239" t="s">
        <v>29</v>
      </c>
      <c r="H239" t="s">
        <v>30</v>
      </c>
      <c r="I239">
        <v>4</v>
      </c>
      <c r="J239" s="3">
        <v>0.2</v>
      </c>
      <c r="K239" s="4">
        <v>12808.72</v>
      </c>
      <c r="L239" s="4">
        <v>509.96</v>
      </c>
    </row>
    <row r="240" spans="1:12" x14ac:dyDescent="0.3">
      <c r="A240" t="s">
        <v>342</v>
      </c>
      <c r="B240" s="2">
        <v>45827</v>
      </c>
      <c r="C240" t="s">
        <v>38</v>
      </c>
      <c r="D240" t="s">
        <v>39</v>
      </c>
      <c r="E240" t="s">
        <v>40</v>
      </c>
      <c r="F240" t="s">
        <v>28</v>
      </c>
      <c r="G240" t="s">
        <v>29</v>
      </c>
      <c r="H240" t="s">
        <v>98</v>
      </c>
      <c r="I240">
        <v>5</v>
      </c>
      <c r="J240" s="3">
        <v>0.2</v>
      </c>
      <c r="K240" s="4">
        <v>13943.55</v>
      </c>
      <c r="L240" s="4">
        <v>1231.67</v>
      </c>
    </row>
    <row r="241" spans="1:12" x14ac:dyDescent="0.3">
      <c r="A241" t="s">
        <v>343</v>
      </c>
      <c r="B241" s="2">
        <v>45827</v>
      </c>
      <c r="C241" t="s">
        <v>95</v>
      </c>
      <c r="D241" t="s">
        <v>21</v>
      </c>
      <c r="E241" t="s">
        <v>67</v>
      </c>
      <c r="F241" t="s">
        <v>16</v>
      </c>
      <c r="G241" t="s">
        <v>41</v>
      </c>
      <c r="H241" t="s">
        <v>177</v>
      </c>
      <c r="I241">
        <v>6</v>
      </c>
      <c r="J241" s="3">
        <v>0.2</v>
      </c>
      <c r="K241" s="4">
        <v>3016.38</v>
      </c>
      <c r="L241" s="4">
        <v>301.39</v>
      </c>
    </row>
    <row r="242" spans="1:12" x14ac:dyDescent="0.3">
      <c r="A242" t="s">
        <v>344</v>
      </c>
      <c r="B242" s="2">
        <v>45830</v>
      </c>
      <c r="C242" t="s">
        <v>61</v>
      </c>
      <c r="D242" t="s">
        <v>39</v>
      </c>
      <c r="E242" t="s">
        <v>47</v>
      </c>
      <c r="F242" t="s">
        <v>23</v>
      </c>
      <c r="G242" t="s">
        <v>35</v>
      </c>
      <c r="H242" t="s">
        <v>155</v>
      </c>
      <c r="I242">
        <v>4</v>
      </c>
      <c r="J242" s="3">
        <v>0.1</v>
      </c>
      <c r="K242" s="4">
        <v>60052.56</v>
      </c>
      <c r="L242" s="4">
        <v>12450.34</v>
      </c>
    </row>
    <row r="243" spans="1:12" x14ac:dyDescent="0.3">
      <c r="A243" t="s">
        <v>345</v>
      </c>
      <c r="B243" s="2">
        <v>45830</v>
      </c>
      <c r="C243" t="s">
        <v>44</v>
      </c>
      <c r="D243" t="s">
        <v>39</v>
      </c>
      <c r="E243" t="s">
        <v>40</v>
      </c>
      <c r="F243" t="s">
        <v>16</v>
      </c>
      <c r="G243" t="s">
        <v>17</v>
      </c>
      <c r="H243" t="s">
        <v>153</v>
      </c>
      <c r="I243">
        <v>5</v>
      </c>
      <c r="J243" s="3">
        <v>0.1</v>
      </c>
      <c r="K243" s="4">
        <v>34934.25</v>
      </c>
      <c r="L243" s="4">
        <v>4040.24</v>
      </c>
    </row>
    <row r="244" spans="1:12" x14ac:dyDescent="0.3">
      <c r="A244" t="s">
        <v>346</v>
      </c>
      <c r="B244" s="2">
        <v>45831</v>
      </c>
      <c r="C244" t="s">
        <v>32</v>
      </c>
      <c r="D244" t="s">
        <v>39</v>
      </c>
      <c r="E244" t="s">
        <v>40</v>
      </c>
      <c r="F244" t="s">
        <v>23</v>
      </c>
      <c r="G244" t="s">
        <v>58</v>
      </c>
      <c r="H244" t="s">
        <v>90</v>
      </c>
      <c r="I244">
        <v>2</v>
      </c>
      <c r="J244" s="3">
        <v>0.1</v>
      </c>
      <c r="K244" s="4">
        <v>52139.32</v>
      </c>
      <c r="L244" s="4">
        <v>6968.23</v>
      </c>
    </row>
    <row r="245" spans="1:12" x14ac:dyDescent="0.3">
      <c r="A245" t="s">
        <v>347</v>
      </c>
      <c r="B245" s="2">
        <v>45832</v>
      </c>
      <c r="C245" t="s">
        <v>51</v>
      </c>
      <c r="D245" t="s">
        <v>14</v>
      </c>
      <c r="E245" t="s">
        <v>114</v>
      </c>
      <c r="F245" t="s">
        <v>28</v>
      </c>
      <c r="G245" t="s">
        <v>29</v>
      </c>
      <c r="H245" t="s">
        <v>98</v>
      </c>
      <c r="I245">
        <v>4</v>
      </c>
      <c r="J245" s="3">
        <v>0.15</v>
      </c>
      <c r="K245" s="4">
        <v>13092.44</v>
      </c>
      <c r="L245" s="4">
        <v>2047.72</v>
      </c>
    </row>
    <row r="246" spans="1:12" x14ac:dyDescent="0.3">
      <c r="A246" t="s">
        <v>348</v>
      </c>
      <c r="B246" s="2">
        <v>45833</v>
      </c>
      <c r="C246" t="s">
        <v>38</v>
      </c>
      <c r="D246" t="s">
        <v>39</v>
      </c>
      <c r="E246" t="s">
        <v>128</v>
      </c>
      <c r="F246" t="s">
        <v>28</v>
      </c>
      <c r="G246" t="s">
        <v>92</v>
      </c>
      <c r="H246" t="s">
        <v>204</v>
      </c>
      <c r="I246">
        <v>1</v>
      </c>
      <c r="J246" s="3">
        <v>0.1</v>
      </c>
      <c r="K246" s="4">
        <v>4223.09</v>
      </c>
      <c r="L246" s="4">
        <v>795.78</v>
      </c>
    </row>
    <row r="247" spans="1:12" x14ac:dyDescent="0.3">
      <c r="A247" t="s">
        <v>349</v>
      </c>
      <c r="B247" s="2">
        <v>45833</v>
      </c>
      <c r="C247" t="s">
        <v>100</v>
      </c>
      <c r="D247" t="s">
        <v>39</v>
      </c>
      <c r="E247" t="s">
        <v>52</v>
      </c>
      <c r="F247" t="s">
        <v>23</v>
      </c>
      <c r="G247" t="s">
        <v>35</v>
      </c>
      <c r="H247" t="s">
        <v>36</v>
      </c>
      <c r="I247">
        <v>5</v>
      </c>
      <c r="J247" s="3">
        <v>0.1</v>
      </c>
      <c r="K247" s="4">
        <v>112319.55</v>
      </c>
      <c r="L247" s="4">
        <v>21903.52</v>
      </c>
    </row>
    <row r="248" spans="1:12" x14ac:dyDescent="0.3">
      <c r="A248" t="s">
        <v>350</v>
      </c>
      <c r="B248" s="2">
        <v>45833</v>
      </c>
      <c r="C248" t="s">
        <v>44</v>
      </c>
      <c r="D248" t="s">
        <v>33</v>
      </c>
      <c r="E248" t="s">
        <v>140</v>
      </c>
      <c r="F248" t="s">
        <v>23</v>
      </c>
      <c r="G248" t="s">
        <v>24</v>
      </c>
      <c r="H248" t="s">
        <v>25</v>
      </c>
      <c r="I248">
        <v>4</v>
      </c>
      <c r="J248" s="3">
        <v>0.15</v>
      </c>
      <c r="K248" s="4">
        <v>113346.68</v>
      </c>
      <c r="L248" s="4">
        <v>6341.88</v>
      </c>
    </row>
    <row r="249" spans="1:12" x14ac:dyDescent="0.3">
      <c r="A249" t="s">
        <v>351</v>
      </c>
      <c r="B249" s="2">
        <v>45833</v>
      </c>
      <c r="C249" t="s">
        <v>109</v>
      </c>
      <c r="D249" t="s">
        <v>21</v>
      </c>
      <c r="E249" t="s">
        <v>67</v>
      </c>
      <c r="F249" t="s">
        <v>28</v>
      </c>
      <c r="G249" t="s">
        <v>74</v>
      </c>
      <c r="H249" t="s">
        <v>159</v>
      </c>
      <c r="I249">
        <v>1</v>
      </c>
      <c r="J249" s="3">
        <v>0.05</v>
      </c>
      <c r="K249" s="4">
        <v>2256.2800000000002</v>
      </c>
      <c r="L249" s="4">
        <v>211.84</v>
      </c>
    </row>
    <row r="250" spans="1:12" x14ac:dyDescent="0.3">
      <c r="A250" t="s">
        <v>352</v>
      </c>
      <c r="B250" s="2">
        <v>45834</v>
      </c>
      <c r="C250" t="s">
        <v>85</v>
      </c>
      <c r="D250" t="s">
        <v>21</v>
      </c>
      <c r="E250" t="s">
        <v>105</v>
      </c>
      <c r="F250" t="s">
        <v>23</v>
      </c>
      <c r="G250" t="s">
        <v>35</v>
      </c>
      <c r="H250" t="s">
        <v>36</v>
      </c>
      <c r="I250">
        <v>5</v>
      </c>
      <c r="J250" s="3">
        <v>0</v>
      </c>
      <c r="K250" s="4">
        <v>5354.45</v>
      </c>
      <c r="L250" s="4">
        <v>627.76</v>
      </c>
    </row>
    <row r="251" spans="1:12" x14ac:dyDescent="0.3">
      <c r="A251" t="s">
        <v>353</v>
      </c>
      <c r="B251" s="2">
        <v>45834</v>
      </c>
      <c r="C251" t="s">
        <v>85</v>
      </c>
      <c r="D251" t="s">
        <v>21</v>
      </c>
      <c r="E251" t="s">
        <v>105</v>
      </c>
      <c r="F251" t="s">
        <v>23</v>
      </c>
      <c r="G251" t="s">
        <v>58</v>
      </c>
      <c r="H251" t="s">
        <v>101</v>
      </c>
      <c r="I251">
        <v>1</v>
      </c>
      <c r="J251" s="3">
        <v>0.1</v>
      </c>
      <c r="K251" s="4">
        <v>23859.7</v>
      </c>
      <c r="L251" s="4">
        <v>1616.61</v>
      </c>
    </row>
    <row r="252" spans="1:12" x14ac:dyDescent="0.3">
      <c r="A252" t="s">
        <v>354</v>
      </c>
      <c r="B252" s="2">
        <v>45835</v>
      </c>
      <c r="C252" t="s">
        <v>229</v>
      </c>
      <c r="D252" t="s">
        <v>14</v>
      </c>
      <c r="E252" t="s">
        <v>15</v>
      </c>
      <c r="F252" t="s">
        <v>23</v>
      </c>
      <c r="G252" t="s">
        <v>58</v>
      </c>
      <c r="H252" t="s">
        <v>59</v>
      </c>
      <c r="I252">
        <v>6</v>
      </c>
      <c r="J252" s="3">
        <v>0.1</v>
      </c>
      <c r="K252" s="4">
        <v>298918.32</v>
      </c>
      <c r="L252" s="4">
        <v>54908.79</v>
      </c>
    </row>
    <row r="253" spans="1:12" x14ac:dyDescent="0.3">
      <c r="A253" t="s">
        <v>355</v>
      </c>
      <c r="B253" s="2">
        <v>45836</v>
      </c>
      <c r="C253" t="s">
        <v>100</v>
      </c>
      <c r="D253" t="s">
        <v>14</v>
      </c>
      <c r="E253" t="s">
        <v>15</v>
      </c>
      <c r="F253" t="s">
        <v>23</v>
      </c>
      <c r="G253" t="s">
        <v>24</v>
      </c>
      <c r="H253" t="s">
        <v>129</v>
      </c>
      <c r="I253">
        <v>5</v>
      </c>
      <c r="J253" s="3">
        <v>0</v>
      </c>
      <c r="K253" s="4">
        <v>157981.15</v>
      </c>
      <c r="L253" s="4">
        <v>38452.99</v>
      </c>
    </row>
    <row r="254" spans="1:12" x14ac:dyDescent="0.3">
      <c r="A254" t="s">
        <v>356</v>
      </c>
      <c r="B254" s="2">
        <v>45837</v>
      </c>
      <c r="C254" t="s">
        <v>143</v>
      </c>
      <c r="D254" t="s">
        <v>14</v>
      </c>
      <c r="E254" t="s">
        <v>15</v>
      </c>
      <c r="F254" t="s">
        <v>28</v>
      </c>
      <c r="G254" t="s">
        <v>92</v>
      </c>
      <c r="H254" t="s">
        <v>204</v>
      </c>
      <c r="I254">
        <v>1</v>
      </c>
      <c r="J254" s="3">
        <v>0</v>
      </c>
      <c r="K254" s="4">
        <v>2247.08</v>
      </c>
      <c r="L254" s="4">
        <v>483.84</v>
      </c>
    </row>
    <row r="255" spans="1:12" x14ac:dyDescent="0.3">
      <c r="A255" t="s">
        <v>357</v>
      </c>
      <c r="B255" s="2">
        <v>45838</v>
      </c>
      <c r="C255" t="s">
        <v>82</v>
      </c>
      <c r="D255" t="s">
        <v>39</v>
      </c>
      <c r="E255" t="s">
        <v>40</v>
      </c>
      <c r="F255" t="s">
        <v>23</v>
      </c>
      <c r="G255" t="s">
        <v>58</v>
      </c>
      <c r="H255" t="s">
        <v>59</v>
      </c>
      <c r="I255">
        <v>2</v>
      </c>
      <c r="J255" s="3">
        <v>0.2</v>
      </c>
      <c r="K255" s="4">
        <v>46709.66</v>
      </c>
      <c r="L255" s="4">
        <v>3222.99</v>
      </c>
    </row>
    <row r="256" spans="1:12" x14ac:dyDescent="0.3">
      <c r="A256" t="s">
        <v>358</v>
      </c>
      <c r="B256" s="2">
        <v>45838</v>
      </c>
      <c r="C256" t="s">
        <v>109</v>
      </c>
      <c r="D256" t="s">
        <v>33</v>
      </c>
      <c r="E256" t="s">
        <v>45</v>
      </c>
      <c r="F256" t="s">
        <v>28</v>
      </c>
      <c r="G256" t="s">
        <v>74</v>
      </c>
      <c r="H256" t="s">
        <v>159</v>
      </c>
      <c r="I256">
        <v>7</v>
      </c>
      <c r="J256" s="3">
        <v>0.1</v>
      </c>
      <c r="K256" s="4">
        <v>4995.0600000000004</v>
      </c>
      <c r="L256" s="4">
        <v>250.27</v>
      </c>
    </row>
    <row r="257" spans="1:12" x14ac:dyDescent="0.3">
      <c r="A257" t="s">
        <v>359</v>
      </c>
      <c r="B257" s="2">
        <v>45838</v>
      </c>
      <c r="C257" t="s">
        <v>61</v>
      </c>
      <c r="D257" t="s">
        <v>33</v>
      </c>
      <c r="E257" t="s">
        <v>45</v>
      </c>
      <c r="F257" t="s">
        <v>28</v>
      </c>
      <c r="G257" t="s">
        <v>71</v>
      </c>
      <c r="H257" t="s">
        <v>72</v>
      </c>
      <c r="I257">
        <v>2</v>
      </c>
      <c r="J257" s="3">
        <v>0.05</v>
      </c>
      <c r="K257" s="4">
        <v>764.08</v>
      </c>
      <c r="L257" s="4">
        <v>105.11</v>
      </c>
    </row>
    <row r="258" spans="1:12" x14ac:dyDescent="0.3">
      <c r="A258" t="s">
        <v>360</v>
      </c>
      <c r="B258" s="2">
        <v>45839</v>
      </c>
      <c r="C258" t="s">
        <v>135</v>
      </c>
      <c r="D258" t="s">
        <v>39</v>
      </c>
      <c r="E258" t="s">
        <v>128</v>
      </c>
      <c r="F258" t="s">
        <v>23</v>
      </c>
      <c r="G258" t="s">
        <v>58</v>
      </c>
      <c r="H258" t="s">
        <v>101</v>
      </c>
      <c r="I258">
        <v>3</v>
      </c>
      <c r="J258" s="3">
        <v>0.15</v>
      </c>
      <c r="K258" s="4">
        <v>106699.23</v>
      </c>
      <c r="L258" s="4">
        <v>11354.99</v>
      </c>
    </row>
    <row r="259" spans="1:12" x14ac:dyDescent="0.3">
      <c r="A259" t="s">
        <v>361</v>
      </c>
      <c r="B259" s="2">
        <v>45840</v>
      </c>
      <c r="C259" t="s">
        <v>77</v>
      </c>
      <c r="D259" t="s">
        <v>14</v>
      </c>
      <c r="E259" t="s">
        <v>114</v>
      </c>
      <c r="F259" t="s">
        <v>23</v>
      </c>
      <c r="G259" t="s">
        <v>35</v>
      </c>
      <c r="H259" t="s">
        <v>36</v>
      </c>
      <c r="I259">
        <v>7</v>
      </c>
      <c r="J259" s="3">
        <v>0.15</v>
      </c>
      <c r="K259" s="4">
        <v>86829.33</v>
      </c>
      <c r="L259" s="4">
        <v>3310.99</v>
      </c>
    </row>
    <row r="260" spans="1:12" x14ac:dyDescent="0.3">
      <c r="A260" t="s">
        <v>362</v>
      </c>
      <c r="B260" s="2">
        <v>45841</v>
      </c>
      <c r="C260" t="s">
        <v>44</v>
      </c>
      <c r="D260" t="s">
        <v>21</v>
      </c>
      <c r="E260" t="s">
        <v>105</v>
      </c>
      <c r="F260" t="s">
        <v>23</v>
      </c>
      <c r="G260" t="s">
        <v>24</v>
      </c>
      <c r="H260" t="s">
        <v>129</v>
      </c>
      <c r="I260">
        <v>1</v>
      </c>
      <c r="J260" s="3">
        <v>0.15</v>
      </c>
      <c r="K260" s="4">
        <v>43952.86</v>
      </c>
      <c r="L260" s="4">
        <v>8453.6</v>
      </c>
    </row>
    <row r="261" spans="1:12" x14ac:dyDescent="0.3">
      <c r="A261" t="s">
        <v>363</v>
      </c>
      <c r="B261" s="2">
        <v>45842</v>
      </c>
      <c r="C261" t="s">
        <v>138</v>
      </c>
      <c r="D261" t="s">
        <v>39</v>
      </c>
      <c r="E261" t="s">
        <v>128</v>
      </c>
      <c r="F261" t="s">
        <v>28</v>
      </c>
      <c r="G261" t="s">
        <v>29</v>
      </c>
      <c r="H261" t="s">
        <v>30</v>
      </c>
      <c r="I261">
        <v>7</v>
      </c>
      <c r="J261" s="3">
        <v>0.1</v>
      </c>
      <c r="K261" s="4">
        <v>9419.9</v>
      </c>
      <c r="L261" s="4">
        <v>1206.73</v>
      </c>
    </row>
    <row r="262" spans="1:12" x14ac:dyDescent="0.3">
      <c r="A262" t="s">
        <v>364</v>
      </c>
      <c r="B262" s="2">
        <v>45844</v>
      </c>
      <c r="C262" t="s">
        <v>82</v>
      </c>
      <c r="D262" t="s">
        <v>21</v>
      </c>
      <c r="E262" t="s">
        <v>67</v>
      </c>
      <c r="F262" t="s">
        <v>23</v>
      </c>
      <c r="G262" t="s">
        <v>35</v>
      </c>
      <c r="H262" t="s">
        <v>36</v>
      </c>
      <c r="I262">
        <v>7</v>
      </c>
      <c r="J262" s="3">
        <v>0.2</v>
      </c>
      <c r="K262" s="4">
        <v>315890.96000000002</v>
      </c>
      <c r="L262" s="4">
        <v>47484.94</v>
      </c>
    </row>
    <row r="263" spans="1:12" x14ac:dyDescent="0.3">
      <c r="A263" t="s">
        <v>365</v>
      </c>
      <c r="B263" s="2">
        <v>45844</v>
      </c>
      <c r="C263" t="s">
        <v>150</v>
      </c>
      <c r="D263" t="s">
        <v>21</v>
      </c>
      <c r="E263" t="s">
        <v>67</v>
      </c>
      <c r="F263" t="s">
        <v>16</v>
      </c>
      <c r="G263" t="s">
        <v>17</v>
      </c>
      <c r="H263" t="s">
        <v>153</v>
      </c>
      <c r="I263">
        <v>6</v>
      </c>
      <c r="J263" s="3">
        <v>0.2</v>
      </c>
      <c r="K263" s="4">
        <v>28373.64</v>
      </c>
      <c r="L263" s="4">
        <v>1564.78</v>
      </c>
    </row>
    <row r="264" spans="1:12" x14ac:dyDescent="0.3">
      <c r="A264" t="s">
        <v>366</v>
      </c>
      <c r="B264" s="2">
        <v>45844</v>
      </c>
      <c r="C264" t="s">
        <v>85</v>
      </c>
      <c r="D264" t="s">
        <v>21</v>
      </c>
      <c r="E264" t="s">
        <v>67</v>
      </c>
      <c r="F264" t="s">
        <v>16</v>
      </c>
      <c r="G264" t="s">
        <v>68</v>
      </c>
      <c r="H264" t="s">
        <v>175</v>
      </c>
      <c r="I264">
        <v>7</v>
      </c>
      <c r="J264" s="3">
        <v>0.15</v>
      </c>
      <c r="K264" s="4">
        <v>4018</v>
      </c>
      <c r="L264" s="4">
        <v>630.01</v>
      </c>
    </row>
    <row r="265" spans="1:12" x14ac:dyDescent="0.3">
      <c r="A265" t="s">
        <v>367</v>
      </c>
      <c r="B265" s="2">
        <v>45845</v>
      </c>
      <c r="C265" t="s">
        <v>229</v>
      </c>
      <c r="D265" t="s">
        <v>39</v>
      </c>
      <c r="E265" t="s">
        <v>52</v>
      </c>
      <c r="F265" t="s">
        <v>16</v>
      </c>
      <c r="G265" t="s">
        <v>62</v>
      </c>
      <c r="H265" t="s">
        <v>63</v>
      </c>
      <c r="I265">
        <v>2</v>
      </c>
      <c r="J265" s="3">
        <v>0.2</v>
      </c>
      <c r="K265" s="4">
        <v>21944.36</v>
      </c>
      <c r="L265" s="4">
        <v>1494.61</v>
      </c>
    </row>
    <row r="266" spans="1:12" x14ac:dyDescent="0.3">
      <c r="A266" t="s">
        <v>368</v>
      </c>
      <c r="B266" s="2">
        <v>45845</v>
      </c>
      <c r="C266" t="s">
        <v>85</v>
      </c>
      <c r="D266" t="s">
        <v>33</v>
      </c>
      <c r="E266" t="s">
        <v>86</v>
      </c>
      <c r="F266" t="s">
        <v>23</v>
      </c>
      <c r="G266" t="s">
        <v>58</v>
      </c>
      <c r="H266" t="s">
        <v>78</v>
      </c>
      <c r="I266">
        <v>2</v>
      </c>
      <c r="J266" s="3">
        <v>0.1</v>
      </c>
      <c r="K266" s="4">
        <v>88683.839999999997</v>
      </c>
      <c r="L266" s="4">
        <v>9114.81</v>
      </c>
    </row>
    <row r="267" spans="1:12" x14ac:dyDescent="0.3">
      <c r="A267" t="s">
        <v>369</v>
      </c>
      <c r="B267" s="2">
        <v>45845</v>
      </c>
      <c r="C267" t="s">
        <v>82</v>
      </c>
      <c r="D267" t="s">
        <v>33</v>
      </c>
      <c r="E267" t="s">
        <v>140</v>
      </c>
      <c r="F267" t="s">
        <v>23</v>
      </c>
      <c r="G267" t="s">
        <v>58</v>
      </c>
      <c r="H267" t="s">
        <v>59</v>
      </c>
      <c r="I267">
        <v>5</v>
      </c>
      <c r="J267" s="3">
        <v>0.1</v>
      </c>
      <c r="K267" s="4">
        <v>195841.95</v>
      </c>
      <c r="L267" s="4">
        <v>34149.89</v>
      </c>
    </row>
    <row r="268" spans="1:12" x14ac:dyDescent="0.3">
      <c r="A268" t="s">
        <v>370</v>
      </c>
      <c r="B268" s="2">
        <v>45845</v>
      </c>
      <c r="C268" t="s">
        <v>135</v>
      </c>
      <c r="D268" t="s">
        <v>33</v>
      </c>
      <c r="E268" t="s">
        <v>140</v>
      </c>
      <c r="F268" t="s">
        <v>23</v>
      </c>
      <c r="G268" t="s">
        <v>24</v>
      </c>
      <c r="H268" t="s">
        <v>129</v>
      </c>
      <c r="I268">
        <v>7</v>
      </c>
      <c r="J268" s="3">
        <v>0.15</v>
      </c>
      <c r="K268" s="4">
        <v>144315.99</v>
      </c>
      <c r="L268" s="4">
        <v>17527.55</v>
      </c>
    </row>
    <row r="269" spans="1:12" x14ac:dyDescent="0.3">
      <c r="A269" t="s">
        <v>371</v>
      </c>
      <c r="B269" s="2">
        <v>45845</v>
      </c>
      <c r="C269" t="s">
        <v>100</v>
      </c>
      <c r="D269" t="s">
        <v>21</v>
      </c>
      <c r="E269" t="s">
        <v>57</v>
      </c>
      <c r="F269" t="s">
        <v>28</v>
      </c>
      <c r="G269" t="s">
        <v>74</v>
      </c>
      <c r="H269" t="s">
        <v>80</v>
      </c>
      <c r="I269">
        <v>7</v>
      </c>
      <c r="J269" s="3">
        <v>0.2</v>
      </c>
      <c r="K269" s="4">
        <v>17827.18</v>
      </c>
      <c r="L269" s="4">
        <v>1657.95</v>
      </c>
    </row>
    <row r="270" spans="1:12" x14ac:dyDescent="0.3">
      <c r="A270" t="s">
        <v>372</v>
      </c>
      <c r="B270" s="2">
        <v>45846</v>
      </c>
      <c r="C270" t="s">
        <v>27</v>
      </c>
      <c r="D270" t="s">
        <v>21</v>
      </c>
      <c r="E270" t="s">
        <v>22</v>
      </c>
      <c r="F270" t="s">
        <v>16</v>
      </c>
      <c r="G270" t="s">
        <v>17</v>
      </c>
      <c r="H270" t="s">
        <v>18</v>
      </c>
      <c r="I270">
        <v>4</v>
      </c>
      <c r="J270" s="3">
        <v>0.1</v>
      </c>
      <c r="K270" s="4">
        <v>44237.56</v>
      </c>
      <c r="L270" s="4">
        <v>7703.04</v>
      </c>
    </row>
    <row r="271" spans="1:12" x14ac:dyDescent="0.3">
      <c r="A271" t="s">
        <v>373</v>
      </c>
      <c r="B271" s="2">
        <v>45846</v>
      </c>
      <c r="C271" t="s">
        <v>109</v>
      </c>
      <c r="D271" t="s">
        <v>14</v>
      </c>
      <c r="E271" t="s">
        <v>15</v>
      </c>
      <c r="F271" t="s">
        <v>28</v>
      </c>
      <c r="G271" t="s">
        <v>29</v>
      </c>
      <c r="H271" t="s">
        <v>98</v>
      </c>
      <c r="I271">
        <v>4</v>
      </c>
      <c r="J271" s="3">
        <v>0.2</v>
      </c>
      <c r="K271" s="4">
        <v>11356.04</v>
      </c>
      <c r="L271" s="4">
        <v>1691.05</v>
      </c>
    </row>
    <row r="272" spans="1:12" x14ac:dyDescent="0.3">
      <c r="A272" t="s">
        <v>374</v>
      </c>
      <c r="B272" s="2">
        <v>45846</v>
      </c>
      <c r="C272" t="s">
        <v>147</v>
      </c>
      <c r="D272" t="s">
        <v>39</v>
      </c>
      <c r="E272" t="s">
        <v>52</v>
      </c>
      <c r="F272" t="s">
        <v>28</v>
      </c>
      <c r="G272" t="s">
        <v>71</v>
      </c>
      <c r="H272" t="s">
        <v>121</v>
      </c>
      <c r="I272">
        <v>7</v>
      </c>
      <c r="J272" s="3">
        <v>0.1</v>
      </c>
      <c r="K272" s="4">
        <v>15992.06</v>
      </c>
      <c r="L272" s="4">
        <v>1968.18</v>
      </c>
    </row>
    <row r="273" spans="1:12" x14ac:dyDescent="0.3">
      <c r="A273" t="s">
        <v>375</v>
      </c>
      <c r="B273" s="2">
        <v>45846</v>
      </c>
      <c r="C273" t="s">
        <v>56</v>
      </c>
      <c r="D273" t="s">
        <v>33</v>
      </c>
      <c r="E273" t="s">
        <v>34</v>
      </c>
      <c r="F273" t="s">
        <v>23</v>
      </c>
      <c r="G273" t="s">
        <v>35</v>
      </c>
      <c r="H273" t="s">
        <v>155</v>
      </c>
      <c r="I273">
        <v>1</v>
      </c>
      <c r="J273" s="3">
        <v>0.2</v>
      </c>
      <c r="K273" s="4">
        <v>15540.12</v>
      </c>
      <c r="L273" s="4">
        <v>1205.04</v>
      </c>
    </row>
    <row r="274" spans="1:12" x14ac:dyDescent="0.3">
      <c r="A274" t="s">
        <v>376</v>
      </c>
      <c r="B274" s="2">
        <v>45847</v>
      </c>
      <c r="C274" t="s">
        <v>143</v>
      </c>
      <c r="D274" t="s">
        <v>21</v>
      </c>
      <c r="E274" t="s">
        <v>67</v>
      </c>
      <c r="F274" t="s">
        <v>28</v>
      </c>
      <c r="G274" t="s">
        <v>74</v>
      </c>
      <c r="H274" t="s">
        <v>75</v>
      </c>
      <c r="I274">
        <v>5</v>
      </c>
      <c r="J274" s="3">
        <v>0.05</v>
      </c>
      <c r="K274" s="4">
        <v>10792.9</v>
      </c>
      <c r="L274" s="4">
        <v>1312.96</v>
      </c>
    </row>
    <row r="275" spans="1:12" x14ac:dyDescent="0.3">
      <c r="A275" t="s">
        <v>377</v>
      </c>
      <c r="B275" s="2">
        <v>45848</v>
      </c>
      <c r="C275" t="s">
        <v>66</v>
      </c>
      <c r="D275" t="s">
        <v>14</v>
      </c>
      <c r="E275" t="s">
        <v>97</v>
      </c>
      <c r="F275" t="s">
        <v>28</v>
      </c>
      <c r="G275" t="s">
        <v>29</v>
      </c>
      <c r="H275" t="s">
        <v>98</v>
      </c>
      <c r="I275">
        <v>5</v>
      </c>
      <c r="J275" s="3">
        <v>0.05</v>
      </c>
      <c r="K275" s="4">
        <v>22961.4</v>
      </c>
      <c r="L275" s="4">
        <v>3002.11</v>
      </c>
    </row>
    <row r="276" spans="1:12" x14ac:dyDescent="0.3">
      <c r="A276" t="s">
        <v>378</v>
      </c>
      <c r="B276" s="2">
        <v>45848</v>
      </c>
      <c r="C276" t="s">
        <v>104</v>
      </c>
      <c r="D276" t="s">
        <v>39</v>
      </c>
      <c r="E276" t="s">
        <v>128</v>
      </c>
      <c r="F276" t="s">
        <v>23</v>
      </c>
      <c r="G276" t="s">
        <v>35</v>
      </c>
      <c r="H276" t="s">
        <v>155</v>
      </c>
      <c r="I276">
        <v>3</v>
      </c>
      <c r="J276" s="3">
        <v>0.05</v>
      </c>
      <c r="K276" s="4">
        <v>67795.56</v>
      </c>
      <c r="L276" s="4">
        <v>11722.97</v>
      </c>
    </row>
    <row r="277" spans="1:12" x14ac:dyDescent="0.3">
      <c r="A277" t="s">
        <v>379</v>
      </c>
      <c r="B277" s="2">
        <v>45848</v>
      </c>
      <c r="C277" t="s">
        <v>147</v>
      </c>
      <c r="D277" t="s">
        <v>33</v>
      </c>
      <c r="E277" t="s">
        <v>45</v>
      </c>
      <c r="F277" t="s">
        <v>28</v>
      </c>
      <c r="G277" t="s">
        <v>92</v>
      </c>
      <c r="H277" t="s">
        <v>93</v>
      </c>
      <c r="I277">
        <v>7</v>
      </c>
      <c r="J277" s="3">
        <v>0.1</v>
      </c>
      <c r="K277" s="4">
        <v>9908.7099999999991</v>
      </c>
      <c r="L277" s="4">
        <v>731.4</v>
      </c>
    </row>
    <row r="278" spans="1:12" x14ac:dyDescent="0.3">
      <c r="A278" t="s">
        <v>380</v>
      </c>
      <c r="B278" s="2">
        <v>45849</v>
      </c>
      <c r="C278" t="s">
        <v>32</v>
      </c>
      <c r="D278" t="s">
        <v>33</v>
      </c>
      <c r="E278" t="s">
        <v>34</v>
      </c>
      <c r="F278" t="s">
        <v>28</v>
      </c>
      <c r="G278" t="s">
        <v>74</v>
      </c>
      <c r="H278" t="s">
        <v>159</v>
      </c>
      <c r="I278">
        <v>2</v>
      </c>
      <c r="J278" s="3">
        <v>0.15</v>
      </c>
      <c r="K278" s="4">
        <v>5693.68</v>
      </c>
      <c r="L278" s="4">
        <v>167.04</v>
      </c>
    </row>
    <row r="279" spans="1:12" x14ac:dyDescent="0.3">
      <c r="A279" t="s">
        <v>381</v>
      </c>
      <c r="B279" s="2">
        <v>45850</v>
      </c>
      <c r="C279" t="s">
        <v>104</v>
      </c>
      <c r="D279" t="s">
        <v>33</v>
      </c>
      <c r="E279" t="s">
        <v>140</v>
      </c>
      <c r="F279" t="s">
        <v>28</v>
      </c>
      <c r="G279" t="s">
        <v>71</v>
      </c>
      <c r="H279" t="s">
        <v>72</v>
      </c>
      <c r="I279">
        <v>3</v>
      </c>
      <c r="J279" s="3">
        <v>0.2</v>
      </c>
      <c r="K279" s="4">
        <v>7389.3</v>
      </c>
      <c r="L279" s="4">
        <v>1281.73</v>
      </c>
    </row>
    <row r="280" spans="1:12" x14ac:dyDescent="0.3">
      <c r="A280" t="s">
        <v>382</v>
      </c>
      <c r="B280" s="2">
        <v>45851</v>
      </c>
      <c r="C280" t="s">
        <v>56</v>
      </c>
      <c r="D280" t="s">
        <v>39</v>
      </c>
      <c r="E280" t="s">
        <v>52</v>
      </c>
      <c r="F280" t="s">
        <v>28</v>
      </c>
      <c r="G280" t="s">
        <v>71</v>
      </c>
      <c r="H280" t="s">
        <v>121</v>
      </c>
      <c r="I280">
        <v>7</v>
      </c>
      <c r="J280" s="3">
        <v>0.1</v>
      </c>
      <c r="K280" s="4">
        <v>25201.4</v>
      </c>
      <c r="L280" s="4">
        <v>4576.53</v>
      </c>
    </row>
    <row r="281" spans="1:12" x14ac:dyDescent="0.3">
      <c r="A281" t="s">
        <v>383</v>
      </c>
      <c r="B281" s="2">
        <v>45852</v>
      </c>
      <c r="C281" t="s">
        <v>77</v>
      </c>
      <c r="D281" t="s">
        <v>33</v>
      </c>
      <c r="E281" t="s">
        <v>34</v>
      </c>
      <c r="F281" t="s">
        <v>16</v>
      </c>
      <c r="G281" t="s">
        <v>17</v>
      </c>
      <c r="H281" t="s">
        <v>18</v>
      </c>
      <c r="I281">
        <v>1</v>
      </c>
      <c r="J281" s="3">
        <v>0.1</v>
      </c>
      <c r="K281" s="4">
        <v>6739.21</v>
      </c>
      <c r="L281" s="4">
        <v>724.54</v>
      </c>
    </row>
    <row r="282" spans="1:12" x14ac:dyDescent="0.3">
      <c r="A282" t="s">
        <v>384</v>
      </c>
      <c r="B282" s="2">
        <v>45852</v>
      </c>
      <c r="C282" t="s">
        <v>32</v>
      </c>
      <c r="D282" t="s">
        <v>14</v>
      </c>
      <c r="E282" t="s">
        <v>54</v>
      </c>
      <c r="F282" t="s">
        <v>16</v>
      </c>
      <c r="G282" t="s">
        <v>62</v>
      </c>
      <c r="H282" t="s">
        <v>63</v>
      </c>
      <c r="I282">
        <v>3</v>
      </c>
      <c r="J282" s="3">
        <v>0.05</v>
      </c>
      <c r="K282" s="4">
        <v>24530.73</v>
      </c>
      <c r="L282" s="4">
        <v>4043.38</v>
      </c>
    </row>
    <row r="283" spans="1:12" x14ac:dyDescent="0.3">
      <c r="A283" t="s">
        <v>385</v>
      </c>
      <c r="B283" s="2">
        <v>45854</v>
      </c>
      <c r="C283" t="s">
        <v>20</v>
      </c>
      <c r="D283" t="s">
        <v>39</v>
      </c>
      <c r="E283" t="s">
        <v>52</v>
      </c>
      <c r="F283" t="s">
        <v>23</v>
      </c>
      <c r="G283" t="s">
        <v>58</v>
      </c>
      <c r="H283" t="s">
        <v>59</v>
      </c>
      <c r="I283">
        <v>3</v>
      </c>
      <c r="J283" s="3">
        <v>0.05</v>
      </c>
      <c r="K283" s="4">
        <v>32475.93</v>
      </c>
      <c r="L283" s="4">
        <v>2548.91</v>
      </c>
    </row>
    <row r="284" spans="1:12" x14ac:dyDescent="0.3">
      <c r="A284" t="s">
        <v>386</v>
      </c>
      <c r="B284" s="2">
        <v>45854</v>
      </c>
      <c r="C284" t="s">
        <v>104</v>
      </c>
      <c r="D284" t="s">
        <v>33</v>
      </c>
      <c r="E284" t="s">
        <v>34</v>
      </c>
      <c r="F284" t="s">
        <v>16</v>
      </c>
      <c r="G284" t="s">
        <v>62</v>
      </c>
      <c r="H284" t="s">
        <v>63</v>
      </c>
      <c r="I284">
        <v>6</v>
      </c>
      <c r="J284" s="3">
        <v>0.2</v>
      </c>
      <c r="K284" s="4">
        <v>66008.460000000006</v>
      </c>
      <c r="L284" s="4">
        <v>8808.2000000000007</v>
      </c>
    </row>
    <row r="285" spans="1:12" x14ac:dyDescent="0.3">
      <c r="A285" t="s">
        <v>387</v>
      </c>
      <c r="B285" s="2">
        <v>45855</v>
      </c>
      <c r="C285" t="s">
        <v>229</v>
      </c>
      <c r="D285" t="s">
        <v>21</v>
      </c>
      <c r="E285" t="s">
        <v>22</v>
      </c>
      <c r="F285" t="s">
        <v>28</v>
      </c>
      <c r="G285" t="s">
        <v>29</v>
      </c>
      <c r="H285" t="s">
        <v>98</v>
      </c>
      <c r="I285">
        <v>2</v>
      </c>
      <c r="J285" s="3">
        <v>0</v>
      </c>
      <c r="K285" s="4">
        <v>3454.68</v>
      </c>
      <c r="L285" s="4">
        <v>696.15</v>
      </c>
    </row>
    <row r="286" spans="1:12" x14ac:dyDescent="0.3">
      <c r="A286" t="s">
        <v>388</v>
      </c>
      <c r="B286" s="2">
        <v>45856</v>
      </c>
      <c r="C286" t="s">
        <v>150</v>
      </c>
      <c r="D286" t="s">
        <v>14</v>
      </c>
      <c r="E286" t="s">
        <v>15</v>
      </c>
      <c r="F286" t="s">
        <v>28</v>
      </c>
      <c r="G286" t="s">
        <v>92</v>
      </c>
      <c r="H286" t="s">
        <v>93</v>
      </c>
      <c r="I286">
        <v>7</v>
      </c>
      <c r="J286" s="3">
        <v>0.2</v>
      </c>
      <c r="K286" s="4">
        <v>33163.480000000003</v>
      </c>
      <c r="L286" s="4">
        <v>2696.4</v>
      </c>
    </row>
    <row r="287" spans="1:12" x14ac:dyDescent="0.3">
      <c r="A287" t="s">
        <v>389</v>
      </c>
      <c r="B287" s="2">
        <v>45857</v>
      </c>
      <c r="C287" t="s">
        <v>13</v>
      </c>
      <c r="D287" t="s">
        <v>33</v>
      </c>
      <c r="E287" t="s">
        <v>140</v>
      </c>
      <c r="F287" t="s">
        <v>23</v>
      </c>
      <c r="G287" t="s">
        <v>48</v>
      </c>
      <c r="H287" t="s">
        <v>118</v>
      </c>
      <c r="I287">
        <v>2</v>
      </c>
      <c r="J287" s="3">
        <v>0.1</v>
      </c>
      <c r="K287" s="4">
        <v>49759.42</v>
      </c>
      <c r="L287" s="4">
        <v>10593.96</v>
      </c>
    </row>
    <row r="288" spans="1:12" x14ac:dyDescent="0.3">
      <c r="A288" t="s">
        <v>390</v>
      </c>
      <c r="B288" s="2">
        <v>45857</v>
      </c>
      <c r="C288" t="s">
        <v>109</v>
      </c>
      <c r="D288" t="s">
        <v>21</v>
      </c>
      <c r="E288" t="s">
        <v>67</v>
      </c>
      <c r="F288" t="s">
        <v>16</v>
      </c>
      <c r="G288" t="s">
        <v>17</v>
      </c>
      <c r="H288" t="s">
        <v>153</v>
      </c>
      <c r="I288">
        <v>6</v>
      </c>
      <c r="J288" s="3">
        <v>0.1</v>
      </c>
      <c r="K288" s="4">
        <v>12867.06</v>
      </c>
      <c r="L288" s="4">
        <v>2632.76</v>
      </c>
    </row>
    <row r="289" spans="1:12" x14ac:dyDescent="0.3">
      <c r="A289" t="s">
        <v>391</v>
      </c>
      <c r="B289" s="2">
        <v>45859</v>
      </c>
      <c r="C289" t="s">
        <v>95</v>
      </c>
      <c r="D289" t="s">
        <v>14</v>
      </c>
      <c r="E289" t="s">
        <v>97</v>
      </c>
      <c r="F289" t="s">
        <v>23</v>
      </c>
      <c r="G289" t="s">
        <v>58</v>
      </c>
      <c r="H289" t="s">
        <v>101</v>
      </c>
      <c r="I289">
        <v>7</v>
      </c>
      <c r="J289" s="3">
        <v>0</v>
      </c>
      <c r="K289" s="4">
        <v>183860.18</v>
      </c>
      <c r="L289" s="4">
        <v>44471.68</v>
      </c>
    </row>
    <row r="290" spans="1:12" x14ac:dyDescent="0.3">
      <c r="A290" t="s">
        <v>392</v>
      </c>
      <c r="B290" s="2">
        <v>45859</v>
      </c>
      <c r="C290" t="s">
        <v>77</v>
      </c>
      <c r="D290" t="s">
        <v>33</v>
      </c>
      <c r="E290" t="s">
        <v>140</v>
      </c>
      <c r="F290" t="s">
        <v>16</v>
      </c>
      <c r="G290" t="s">
        <v>68</v>
      </c>
      <c r="H290" t="s">
        <v>69</v>
      </c>
      <c r="I290">
        <v>2</v>
      </c>
      <c r="J290" s="3">
        <v>0.2</v>
      </c>
      <c r="K290" s="4">
        <v>23325.56</v>
      </c>
      <c r="L290" s="4">
        <v>4115.16</v>
      </c>
    </row>
    <row r="291" spans="1:12" x14ac:dyDescent="0.3">
      <c r="A291" t="s">
        <v>393</v>
      </c>
      <c r="B291" s="2">
        <v>45859</v>
      </c>
      <c r="C291" t="s">
        <v>229</v>
      </c>
      <c r="D291" t="s">
        <v>33</v>
      </c>
      <c r="E291" t="s">
        <v>140</v>
      </c>
      <c r="F291" t="s">
        <v>28</v>
      </c>
      <c r="G291" t="s">
        <v>71</v>
      </c>
      <c r="H291" t="s">
        <v>72</v>
      </c>
      <c r="I291">
        <v>4</v>
      </c>
      <c r="J291" s="3">
        <v>0.1</v>
      </c>
      <c r="K291" s="4">
        <v>531.52</v>
      </c>
      <c r="L291" s="4">
        <v>60.93</v>
      </c>
    </row>
    <row r="292" spans="1:12" x14ac:dyDescent="0.3">
      <c r="A292" t="s">
        <v>394</v>
      </c>
      <c r="B292" s="2">
        <v>45860</v>
      </c>
      <c r="C292" t="s">
        <v>147</v>
      </c>
      <c r="D292" t="s">
        <v>14</v>
      </c>
      <c r="E292" t="s">
        <v>97</v>
      </c>
      <c r="F292" t="s">
        <v>23</v>
      </c>
      <c r="G292" t="s">
        <v>24</v>
      </c>
      <c r="H292" t="s">
        <v>25</v>
      </c>
      <c r="I292">
        <v>3</v>
      </c>
      <c r="J292" s="3">
        <v>0</v>
      </c>
      <c r="K292" s="4">
        <v>35809.47</v>
      </c>
      <c r="L292" s="4">
        <v>3157.83</v>
      </c>
    </row>
    <row r="293" spans="1:12" x14ac:dyDescent="0.3">
      <c r="A293" t="s">
        <v>395</v>
      </c>
      <c r="B293" s="2">
        <v>45860</v>
      </c>
      <c r="C293" t="s">
        <v>100</v>
      </c>
      <c r="D293" t="s">
        <v>33</v>
      </c>
      <c r="E293" t="s">
        <v>86</v>
      </c>
      <c r="F293" t="s">
        <v>28</v>
      </c>
      <c r="G293" t="s">
        <v>92</v>
      </c>
      <c r="H293" t="s">
        <v>93</v>
      </c>
      <c r="I293">
        <v>5</v>
      </c>
      <c r="J293" s="3">
        <v>0.05</v>
      </c>
      <c r="K293" s="4">
        <v>17032.25</v>
      </c>
      <c r="L293" s="4">
        <v>1383.2</v>
      </c>
    </row>
    <row r="294" spans="1:12" x14ac:dyDescent="0.3">
      <c r="A294" t="s">
        <v>396</v>
      </c>
      <c r="B294" s="2">
        <v>45860</v>
      </c>
      <c r="C294" t="s">
        <v>13</v>
      </c>
      <c r="D294" t="s">
        <v>33</v>
      </c>
      <c r="E294" t="s">
        <v>86</v>
      </c>
      <c r="F294" t="s">
        <v>28</v>
      </c>
      <c r="G294" t="s">
        <v>71</v>
      </c>
      <c r="H294" t="s">
        <v>72</v>
      </c>
      <c r="I294">
        <v>3</v>
      </c>
      <c r="J294" s="3">
        <v>0.1</v>
      </c>
      <c r="K294" s="4">
        <v>8786.01</v>
      </c>
      <c r="L294" s="4">
        <v>1731.34</v>
      </c>
    </row>
    <row r="295" spans="1:12" x14ac:dyDescent="0.3">
      <c r="A295" t="s">
        <v>397</v>
      </c>
      <c r="B295" s="2">
        <v>45860</v>
      </c>
      <c r="C295" t="s">
        <v>56</v>
      </c>
      <c r="D295" t="s">
        <v>21</v>
      </c>
      <c r="E295" t="s">
        <v>105</v>
      </c>
      <c r="F295" t="s">
        <v>28</v>
      </c>
      <c r="G295" t="s">
        <v>29</v>
      </c>
      <c r="H295" t="s">
        <v>30</v>
      </c>
      <c r="I295">
        <v>2</v>
      </c>
      <c r="J295" s="3">
        <v>0.15</v>
      </c>
      <c r="K295" s="4">
        <v>2943.8</v>
      </c>
      <c r="L295" s="4">
        <v>183.58</v>
      </c>
    </row>
    <row r="296" spans="1:12" x14ac:dyDescent="0.3">
      <c r="A296" t="s">
        <v>398</v>
      </c>
      <c r="B296" s="2">
        <v>45863</v>
      </c>
      <c r="C296" t="s">
        <v>51</v>
      </c>
      <c r="D296" t="s">
        <v>33</v>
      </c>
      <c r="E296" t="s">
        <v>45</v>
      </c>
      <c r="F296" t="s">
        <v>23</v>
      </c>
      <c r="G296" t="s">
        <v>24</v>
      </c>
      <c r="H296" t="s">
        <v>132</v>
      </c>
      <c r="I296">
        <v>2</v>
      </c>
      <c r="J296" s="3">
        <v>0.05</v>
      </c>
      <c r="K296" s="4">
        <v>40702.1</v>
      </c>
      <c r="L296" s="4">
        <v>9221.8799999999992</v>
      </c>
    </row>
    <row r="297" spans="1:12" x14ac:dyDescent="0.3">
      <c r="A297" t="s">
        <v>399</v>
      </c>
      <c r="B297" s="2">
        <v>45866</v>
      </c>
      <c r="C297" t="s">
        <v>32</v>
      </c>
      <c r="D297" t="s">
        <v>14</v>
      </c>
      <c r="E297" t="s">
        <v>97</v>
      </c>
      <c r="F297" t="s">
        <v>23</v>
      </c>
      <c r="G297" t="s">
        <v>35</v>
      </c>
      <c r="H297" t="s">
        <v>36</v>
      </c>
      <c r="I297">
        <v>5</v>
      </c>
      <c r="J297" s="3">
        <v>0.15</v>
      </c>
      <c r="K297" s="4">
        <v>54981.599999999999</v>
      </c>
      <c r="L297" s="4">
        <v>8449.74</v>
      </c>
    </row>
    <row r="298" spans="1:12" x14ac:dyDescent="0.3">
      <c r="A298" t="s">
        <v>400</v>
      </c>
      <c r="B298" s="2">
        <v>45870</v>
      </c>
      <c r="C298" t="s">
        <v>104</v>
      </c>
      <c r="D298" t="s">
        <v>33</v>
      </c>
      <c r="E298" t="s">
        <v>140</v>
      </c>
      <c r="F298" t="s">
        <v>16</v>
      </c>
      <c r="G298" t="s">
        <v>68</v>
      </c>
      <c r="H298" t="s">
        <v>175</v>
      </c>
      <c r="I298">
        <v>5</v>
      </c>
      <c r="J298" s="3">
        <v>0.05</v>
      </c>
      <c r="K298" s="4">
        <v>16052.3</v>
      </c>
      <c r="L298" s="4">
        <v>3480.74</v>
      </c>
    </row>
    <row r="299" spans="1:12" x14ac:dyDescent="0.3">
      <c r="A299" t="s">
        <v>401</v>
      </c>
      <c r="B299" s="2">
        <v>45870</v>
      </c>
      <c r="C299" t="s">
        <v>82</v>
      </c>
      <c r="D299" t="s">
        <v>33</v>
      </c>
      <c r="E299" t="s">
        <v>45</v>
      </c>
      <c r="F299" t="s">
        <v>28</v>
      </c>
      <c r="G299" t="s">
        <v>74</v>
      </c>
      <c r="H299" t="s">
        <v>80</v>
      </c>
      <c r="I299">
        <v>2</v>
      </c>
      <c r="J299" s="3">
        <v>0.15</v>
      </c>
      <c r="K299" s="4">
        <v>8228.7000000000007</v>
      </c>
      <c r="L299" s="4">
        <v>695.2</v>
      </c>
    </row>
    <row r="300" spans="1:12" x14ac:dyDescent="0.3">
      <c r="A300" t="s">
        <v>402</v>
      </c>
      <c r="B300" s="2">
        <v>45871</v>
      </c>
      <c r="C300" t="s">
        <v>27</v>
      </c>
      <c r="D300" t="s">
        <v>39</v>
      </c>
      <c r="E300" t="s">
        <v>47</v>
      </c>
      <c r="F300" t="s">
        <v>23</v>
      </c>
      <c r="G300" t="s">
        <v>48</v>
      </c>
      <c r="H300" t="s">
        <v>49</v>
      </c>
      <c r="I300">
        <v>2</v>
      </c>
      <c r="J300" s="3">
        <v>0.05</v>
      </c>
      <c r="K300" s="4">
        <v>22465.22</v>
      </c>
      <c r="L300" s="4">
        <v>2071.5500000000002</v>
      </c>
    </row>
    <row r="301" spans="1:12" x14ac:dyDescent="0.3">
      <c r="A301" t="s">
        <v>403</v>
      </c>
      <c r="B301" s="2">
        <v>45871</v>
      </c>
      <c r="C301" t="s">
        <v>20</v>
      </c>
      <c r="D301" t="s">
        <v>33</v>
      </c>
      <c r="E301" t="s">
        <v>34</v>
      </c>
      <c r="F301" t="s">
        <v>28</v>
      </c>
      <c r="G301" t="s">
        <v>74</v>
      </c>
      <c r="H301" t="s">
        <v>159</v>
      </c>
      <c r="I301">
        <v>1</v>
      </c>
      <c r="J301" s="3">
        <v>0</v>
      </c>
      <c r="K301" s="4">
        <v>1286.02</v>
      </c>
      <c r="L301" s="4">
        <v>227.69</v>
      </c>
    </row>
    <row r="302" spans="1:12" x14ac:dyDescent="0.3">
      <c r="A302" t="s">
        <v>404</v>
      </c>
      <c r="B302" s="2">
        <v>45871</v>
      </c>
      <c r="C302" t="s">
        <v>229</v>
      </c>
      <c r="D302" t="s">
        <v>39</v>
      </c>
      <c r="E302" t="s">
        <v>52</v>
      </c>
      <c r="F302" t="s">
        <v>23</v>
      </c>
      <c r="G302" t="s">
        <v>35</v>
      </c>
      <c r="H302" t="s">
        <v>36</v>
      </c>
      <c r="I302">
        <v>7</v>
      </c>
      <c r="J302" s="3">
        <v>0.05</v>
      </c>
      <c r="K302" s="4">
        <v>161582.54</v>
      </c>
      <c r="L302" s="4">
        <v>10624.8</v>
      </c>
    </row>
    <row r="303" spans="1:12" x14ac:dyDescent="0.3">
      <c r="A303" t="s">
        <v>405</v>
      </c>
      <c r="B303" s="2">
        <v>45871</v>
      </c>
      <c r="C303" t="s">
        <v>44</v>
      </c>
      <c r="D303" t="s">
        <v>21</v>
      </c>
      <c r="E303" t="s">
        <v>105</v>
      </c>
      <c r="F303" t="s">
        <v>16</v>
      </c>
      <c r="G303" t="s">
        <v>17</v>
      </c>
      <c r="H303" t="s">
        <v>18</v>
      </c>
      <c r="I303">
        <v>4</v>
      </c>
      <c r="J303" s="3">
        <v>0.2</v>
      </c>
      <c r="K303" s="4">
        <v>13752.68</v>
      </c>
      <c r="L303" s="4">
        <v>1192.5</v>
      </c>
    </row>
    <row r="304" spans="1:12" x14ac:dyDescent="0.3">
      <c r="A304" t="s">
        <v>406</v>
      </c>
      <c r="B304" s="2">
        <v>45872</v>
      </c>
      <c r="C304" t="s">
        <v>77</v>
      </c>
      <c r="D304" t="s">
        <v>14</v>
      </c>
      <c r="E304" t="s">
        <v>97</v>
      </c>
      <c r="F304" t="s">
        <v>23</v>
      </c>
      <c r="G304" t="s">
        <v>58</v>
      </c>
      <c r="H304" t="s">
        <v>59</v>
      </c>
      <c r="I304">
        <v>7</v>
      </c>
      <c r="J304" s="3">
        <v>0.05</v>
      </c>
      <c r="K304" s="4">
        <v>305778.27</v>
      </c>
      <c r="L304" s="4">
        <v>25062.47</v>
      </c>
    </row>
    <row r="305" spans="1:12" x14ac:dyDescent="0.3">
      <c r="A305" t="s">
        <v>407</v>
      </c>
      <c r="B305" s="2">
        <v>45872</v>
      </c>
      <c r="C305" t="s">
        <v>32</v>
      </c>
      <c r="D305" t="s">
        <v>39</v>
      </c>
      <c r="E305" t="s">
        <v>52</v>
      </c>
      <c r="F305" t="s">
        <v>16</v>
      </c>
      <c r="G305" t="s">
        <v>62</v>
      </c>
      <c r="H305" t="s">
        <v>180</v>
      </c>
      <c r="I305">
        <v>5</v>
      </c>
      <c r="J305" s="3">
        <v>0.15</v>
      </c>
      <c r="K305" s="4">
        <v>40112.65</v>
      </c>
      <c r="L305" s="4">
        <v>6917</v>
      </c>
    </row>
    <row r="306" spans="1:12" x14ac:dyDescent="0.3">
      <c r="A306" t="s">
        <v>408</v>
      </c>
      <c r="B306" s="2">
        <v>45873</v>
      </c>
      <c r="C306" t="s">
        <v>61</v>
      </c>
      <c r="D306" t="s">
        <v>14</v>
      </c>
      <c r="E306" t="s">
        <v>54</v>
      </c>
      <c r="F306" t="s">
        <v>16</v>
      </c>
      <c r="G306" t="s">
        <v>41</v>
      </c>
      <c r="H306" t="s">
        <v>177</v>
      </c>
      <c r="I306">
        <v>4</v>
      </c>
      <c r="J306" s="3">
        <v>0.1</v>
      </c>
      <c r="K306" s="4">
        <v>10182.84</v>
      </c>
      <c r="L306" s="4">
        <v>897.61</v>
      </c>
    </row>
    <row r="307" spans="1:12" x14ac:dyDescent="0.3">
      <c r="A307" t="s">
        <v>409</v>
      </c>
      <c r="B307" s="2">
        <v>45873</v>
      </c>
      <c r="C307" t="s">
        <v>61</v>
      </c>
      <c r="D307" t="s">
        <v>21</v>
      </c>
      <c r="E307" t="s">
        <v>22</v>
      </c>
      <c r="F307" t="s">
        <v>23</v>
      </c>
      <c r="G307" t="s">
        <v>48</v>
      </c>
      <c r="H307" t="s">
        <v>118</v>
      </c>
      <c r="I307">
        <v>4</v>
      </c>
      <c r="J307" s="3">
        <v>0.15</v>
      </c>
      <c r="K307" s="4">
        <v>89488.28</v>
      </c>
      <c r="L307" s="4">
        <v>17264.349999999999</v>
      </c>
    </row>
    <row r="308" spans="1:12" x14ac:dyDescent="0.3">
      <c r="A308" t="s">
        <v>410</v>
      </c>
      <c r="B308" s="2">
        <v>45875</v>
      </c>
      <c r="C308" t="s">
        <v>179</v>
      </c>
      <c r="D308" t="s">
        <v>21</v>
      </c>
      <c r="E308" t="s">
        <v>22</v>
      </c>
      <c r="F308" t="s">
        <v>28</v>
      </c>
      <c r="G308" t="s">
        <v>92</v>
      </c>
      <c r="H308" t="s">
        <v>93</v>
      </c>
      <c r="I308">
        <v>5</v>
      </c>
      <c r="J308" s="3">
        <v>0</v>
      </c>
      <c r="K308" s="4">
        <v>12100.05</v>
      </c>
      <c r="L308" s="4">
        <v>1923.84</v>
      </c>
    </row>
    <row r="309" spans="1:12" x14ac:dyDescent="0.3">
      <c r="A309" t="s">
        <v>411</v>
      </c>
      <c r="B309" s="2">
        <v>45876</v>
      </c>
      <c r="C309" t="s">
        <v>77</v>
      </c>
      <c r="D309" t="s">
        <v>33</v>
      </c>
      <c r="E309" t="s">
        <v>140</v>
      </c>
      <c r="F309" t="s">
        <v>16</v>
      </c>
      <c r="G309" t="s">
        <v>62</v>
      </c>
      <c r="H309" t="s">
        <v>63</v>
      </c>
      <c r="I309">
        <v>4</v>
      </c>
      <c r="J309" s="3">
        <v>0.1</v>
      </c>
      <c r="K309" s="4">
        <v>5405.96</v>
      </c>
      <c r="L309" s="4">
        <v>431.97</v>
      </c>
    </row>
    <row r="310" spans="1:12" x14ac:dyDescent="0.3">
      <c r="A310" t="s">
        <v>412</v>
      </c>
      <c r="B310" s="2">
        <v>45877</v>
      </c>
      <c r="C310" t="s">
        <v>27</v>
      </c>
      <c r="D310" t="s">
        <v>21</v>
      </c>
      <c r="E310" t="s">
        <v>57</v>
      </c>
      <c r="F310" t="s">
        <v>23</v>
      </c>
      <c r="G310" t="s">
        <v>58</v>
      </c>
      <c r="H310" t="s">
        <v>78</v>
      </c>
      <c r="I310">
        <v>7</v>
      </c>
      <c r="J310" s="3">
        <v>0.2</v>
      </c>
      <c r="K310" s="4">
        <v>339572.8</v>
      </c>
      <c r="L310" s="4">
        <v>17254.38</v>
      </c>
    </row>
    <row r="311" spans="1:12" x14ac:dyDescent="0.3">
      <c r="A311" t="s">
        <v>413</v>
      </c>
      <c r="B311" s="2">
        <v>45878</v>
      </c>
      <c r="C311" t="s">
        <v>66</v>
      </c>
      <c r="D311" t="s">
        <v>21</v>
      </c>
      <c r="E311" t="s">
        <v>57</v>
      </c>
      <c r="F311" t="s">
        <v>16</v>
      </c>
      <c r="G311" t="s">
        <v>68</v>
      </c>
      <c r="H311" t="s">
        <v>69</v>
      </c>
      <c r="I311">
        <v>5</v>
      </c>
      <c r="J311" s="3">
        <v>0.1</v>
      </c>
      <c r="K311" s="4">
        <v>43851.7</v>
      </c>
      <c r="L311" s="4">
        <v>5160.26</v>
      </c>
    </row>
    <row r="312" spans="1:12" x14ac:dyDescent="0.3">
      <c r="A312" t="s">
        <v>414</v>
      </c>
      <c r="B312" s="2">
        <v>45881</v>
      </c>
      <c r="C312" t="s">
        <v>179</v>
      </c>
      <c r="D312" t="s">
        <v>39</v>
      </c>
      <c r="E312" t="s">
        <v>40</v>
      </c>
      <c r="F312" t="s">
        <v>16</v>
      </c>
      <c r="G312" t="s">
        <v>17</v>
      </c>
      <c r="H312" t="s">
        <v>88</v>
      </c>
      <c r="I312">
        <v>6</v>
      </c>
      <c r="J312" s="3">
        <v>0.2</v>
      </c>
      <c r="K312" s="4">
        <v>40357.14</v>
      </c>
      <c r="L312" s="4">
        <v>3682.16</v>
      </c>
    </row>
    <row r="313" spans="1:12" x14ac:dyDescent="0.3">
      <c r="A313" t="s">
        <v>415</v>
      </c>
      <c r="B313" s="2">
        <v>45883</v>
      </c>
      <c r="C313" t="s">
        <v>51</v>
      </c>
      <c r="D313" t="s">
        <v>39</v>
      </c>
      <c r="E313" t="s">
        <v>40</v>
      </c>
      <c r="F313" t="s">
        <v>16</v>
      </c>
      <c r="G313" t="s">
        <v>17</v>
      </c>
      <c r="H313" t="s">
        <v>18</v>
      </c>
      <c r="I313">
        <v>2</v>
      </c>
      <c r="J313" s="3">
        <v>0</v>
      </c>
      <c r="K313" s="4">
        <v>19618.86</v>
      </c>
      <c r="L313" s="4">
        <v>3406.73</v>
      </c>
    </row>
    <row r="314" spans="1:12" x14ac:dyDescent="0.3">
      <c r="A314" t="s">
        <v>416</v>
      </c>
      <c r="B314" s="2">
        <v>45885</v>
      </c>
      <c r="C314" t="s">
        <v>85</v>
      </c>
      <c r="D314" t="s">
        <v>33</v>
      </c>
      <c r="E314" t="s">
        <v>86</v>
      </c>
      <c r="F314" t="s">
        <v>28</v>
      </c>
      <c r="G314" t="s">
        <v>71</v>
      </c>
      <c r="H314" t="s">
        <v>72</v>
      </c>
      <c r="I314">
        <v>4</v>
      </c>
      <c r="J314" s="3">
        <v>0.2</v>
      </c>
      <c r="K314" s="4">
        <v>8186.84</v>
      </c>
      <c r="L314" s="4">
        <v>833.23</v>
      </c>
    </row>
    <row r="315" spans="1:12" x14ac:dyDescent="0.3">
      <c r="A315" t="s">
        <v>417</v>
      </c>
      <c r="B315" s="2">
        <v>45885</v>
      </c>
      <c r="C315" t="s">
        <v>100</v>
      </c>
      <c r="D315" t="s">
        <v>33</v>
      </c>
      <c r="E315" t="s">
        <v>34</v>
      </c>
      <c r="F315" t="s">
        <v>28</v>
      </c>
      <c r="G315" t="s">
        <v>29</v>
      </c>
      <c r="H315" t="s">
        <v>30</v>
      </c>
      <c r="I315">
        <v>4</v>
      </c>
      <c r="J315" s="3">
        <v>0.1</v>
      </c>
      <c r="K315" s="4">
        <v>15583.2</v>
      </c>
      <c r="L315" s="4">
        <v>1191.8499999999999</v>
      </c>
    </row>
    <row r="316" spans="1:12" x14ac:dyDescent="0.3">
      <c r="A316" t="s">
        <v>418</v>
      </c>
      <c r="B316" s="2">
        <v>45886</v>
      </c>
      <c r="C316" t="s">
        <v>13</v>
      </c>
      <c r="D316" t="s">
        <v>21</v>
      </c>
      <c r="E316" t="s">
        <v>105</v>
      </c>
      <c r="F316" t="s">
        <v>23</v>
      </c>
      <c r="G316" t="s">
        <v>24</v>
      </c>
      <c r="H316" t="s">
        <v>25</v>
      </c>
      <c r="I316">
        <v>1</v>
      </c>
      <c r="J316" s="3">
        <v>0.2</v>
      </c>
      <c r="K316" s="4">
        <v>1170.69</v>
      </c>
      <c r="L316" s="4">
        <v>42.13</v>
      </c>
    </row>
    <row r="317" spans="1:12" x14ac:dyDescent="0.3">
      <c r="A317" t="s">
        <v>419</v>
      </c>
      <c r="B317" s="2">
        <v>45886</v>
      </c>
      <c r="C317" t="s">
        <v>66</v>
      </c>
      <c r="D317" t="s">
        <v>33</v>
      </c>
      <c r="E317" t="s">
        <v>34</v>
      </c>
      <c r="F317" t="s">
        <v>23</v>
      </c>
      <c r="G317" t="s">
        <v>58</v>
      </c>
      <c r="H317" t="s">
        <v>78</v>
      </c>
      <c r="I317">
        <v>3</v>
      </c>
      <c r="J317" s="3">
        <v>0</v>
      </c>
      <c r="K317" s="4">
        <v>105042.69</v>
      </c>
      <c r="L317" s="4">
        <v>17744.509999999998</v>
      </c>
    </row>
    <row r="318" spans="1:12" x14ac:dyDescent="0.3">
      <c r="A318" t="s">
        <v>420</v>
      </c>
      <c r="B318" s="2">
        <v>45887</v>
      </c>
      <c r="C318" t="s">
        <v>95</v>
      </c>
      <c r="D318" t="s">
        <v>21</v>
      </c>
      <c r="E318" t="s">
        <v>22</v>
      </c>
      <c r="F318" t="s">
        <v>28</v>
      </c>
      <c r="G318" t="s">
        <v>29</v>
      </c>
      <c r="H318" t="s">
        <v>30</v>
      </c>
      <c r="I318">
        <v>4</v>
      </c>
      <c r="J318" s="3">
        <v>0.1</v>
      </c>
      <c r="K318" s="4">
        <v>1939.72</v>
      </c>
      <c r="L318" s="4">
        <v>282.77999999999997</v>
      </c>
    </row>
    <row r="319" spans="1:12" x14ac:dyDescent="0.3">
      <c r="A319" t="s">
        <v>421</v>
      </c>
      <c r="B319" s="2">
        <v>45887</v>
      </c>
      <c r="C319" t="s">
        <v>143</v>
      </c>
      <c r="D319" t="s">
        <v>39</v>
      </c>
      <c r="E319" t="s">
        <v>47</v>
      </c>
      <c r="F319" t="s">
        <v>28</v>
      </c>
      <c r="G319" t="s">
        <v>74</v>
      </c>
      <c r="H319" t="s">
        <v>75</v>
      </c>
      <c r="I319">
        <v>4</v>
      </c>
      <c r="J319" s="3">
        <v>0</v>
      </c>
      <c r="K319" s="4">
        <v>9316.4</v>
      </c>
      <c r="L319" s="4">
        <v>1570.93</v>
      </c>
    </row>
    <row r="320" spans="1:12" x14ac:dyDescent="0.3">
      <c r="A320" t="s">
        <v>422</v>
      </c>
      <c r="B320" s="2">
        <v>45888</v>
      </c>
      <c r="C320" t="s">
        <v>27</v>
      </c>
      <c r="D320" t="s">
        <v>14</v>
      </c>
      <c r="E320" t="s">
        <v>114</v>
      </c>
      <c r="F320" t="s">
        <v>28</v>
      </c>
      <c r="G320" t="s">
        <v>71</v>
      </c>
      <c r="H320" t="s">
        <v>72</v>
      </c>
      <c r="I320">
        <v>4</v>
      </c>
      <c r="J320" s="3">
        <v>0.15</v>
      </c>
      <c r="K320" s="4">
        <v>17316.84</v>
      </c>
      <c r="L320" s="4">
        <v>1450.33</v>
      </c>
    </row>
    <row r="321" spans="1:12" x14ac:dyDescent="0.3">
      <c r="A321" t="s">
        <v>423</v>
      </c>
      <c r="B321" s="2">
        <v>45888</v>
      </c>
      <c r="C321" t="s">
        <v>229</v>
      </c>
      <c r="D321" t="s">
        <v>14</v>
      </c>
      <c r="E321" t="s">
        <v>97</v>
      </c>
      <c r="F321" t="s">
        <v>23</v>
      </c>
      <c r="G321" t="s">
        <v>35</v>
      </c>
      <c r="H321" t="s">
        <v>36</v>
      </c>
      <c r="I321">
        <v>7</v>
      </c>
      <c r="J321" s="3">
        <v>0.2</v>
      </c>
      <c r="K321" s="4">
        <v>278397.07</v>
      </c>
      <c r="L321" s="4">
        <v>19549.09</v>
      </c>
    </row>
    <row r="322" spans="1:12" x14ac:dyDescent="0.3">
      <c r="A322" t="s">
        <v>424</v>
      </c>
      <c r="B322" s="2">
        <v>45889</v>
      </c>
      <c r="C322" t="s">
        <v>147</v>
      </c>
      <c r="D322" t="s">
        <v>33</v>
      </c>
      <c r="E322" t="s">
        <v>140</v>
      </c>
      <c r="F322" t="s">
        <v>28</v>
      </c>
      <c r="G322" t="s">
        <v>29</v>
      </c>
      <c r="H322" t="s">
        <v>98</v>
      </c>
      <c r="I322">
        <v>4</v>
      </c>
      <c r="J322" s="3">
        <v>0.05</v>
      </c>
      <c r="K322" s="4">
        <v>12889.16</v>
      </c>
      <c r="L322" s="4">
        <v>1652.12</v>
      </c>
    </row>
    <row r="323" spans="1:12" x14ac:dyDescent="0.3">
      <c r="A323" t="s">
        <v>425</v>
      </c>
      <c r="B323" s="2">
        <v>45889</v>
      </c>
      <c r="C323" t="s">
        <v>32</v>
      </c>
      <c r="D323" t="s">
        <v>14</v>
      </c>
      <c r="E323" t="s">
        <v>15</v>
      </c>
      <c r="F323" t="s">
        <v>23</v>
      </c>
      <c r="G323" t="s">
        <v>35</v>
      </c>
      <c r="H323" t="s">
        <v>36</v>
      </c>
      <c r="I323">
        <v>1</v>
      </c>
      <c r="J323" s="3">
        <v>0.2</v>
      </c>
      <c r="K323" s="4">
        <v>31012.799999999999</v>
      </c>
      <c r="L323" s="4">
        <v>2732.41</v>
      </c>
    </row>
    <row r="324" spans="1:12" x14ac:dyDescent="0.3">
      <c r="A324" t="s">
        <v>426</v>
      </c>
      <c r="B324" s="2">
        <v>45889</v>
      </c>
      <c r="C324" t="s">
        <v>77</v>
      </c>
      <c r="D324" t="s">
        <v>21</v>
      </c>
      <c r="E324" t="s">
        <v>22</v>
      </c>
      <c r="F324" t="s">
        <v>16</v>
      </c>
      <c r="G324" t="s">
        <v>68</v>
      </c>
      <c r="H324" t="s">
        <v>175</v>
      </c>
      <c r="I324">
        <v>4</v>
      </c>
      <c r="J324" s="3">
        <v>0</v>
      </c>
      <c r="K324" s="4">
        <v>7203.04</v>
      </c>
      <c r="L324" s="4">
        <v>1420.58</v>
      </c>
    </row>
    <row r="325" spans="1:12" x14ac:dyDescent="0.3">
      <c r="A325" t="s">
        <v>427</v>
      </c>
      <c r="B325" s="2">
        <v>45890</v>
      </c>
      <c r="C325" t="s">
        <v>20</v>
      </c>
      <c r="D325" t="s">
        <v>39</v>
      </c>
      <c r="E325" t="s">
        <v>40</v>
      </c>
      <c r="F325" t="s">
        <v>23</v>
      </c>
      <c r="G325" t="s">
        <v>35</v>
      </c>
      <c r="H325" t="s">
        <v>155</v>
      </c>
      <c r="I325">
        <v>4</v>
      </c>
      <c r="J325" s="3">
        <v>0.15</v>
      </c>
      <c r="K325" s="4">
        <v>73045.36</v>
      </c>
      <c r="L325" s="4">
        <v>13806.34</v>
      </c>
    </row>
    <row r="326" spans="1:12" x14ac:dyDescent="0.3">
      <c r="A326" t="s">
        <v>428</v>
      </c>
      <c r="B326" s="2">
        <v>45893</v>
      </c>
      <c r="C326" t="s">
        <v>13</v>
      </c>
      <c r="D326" t="s">
        <v>33</v>
      </c>
      <c r="E326" t="s">
        <v>140</v>
      </c>
      <c r="F326" t="s">
        <v>23</v>
      </c>
      <c r="G326" t="s">
        <v>48</v>
      </c>
      <c r="H326" t="s">
        <v>49</v>
      </c>
      <c r="I326">
        <v>1</v>
      </c>
      <c r="J326" s="3">
        <v>0.05</v>
      </c>
      <c r="K326" s="4">
        <v>26618.91</v>
      </c>
      <c r="L326" s="4">
        <v>1874.85</v>
      </c>
    </row>
    <row r="327" spans="1:12" x14ac:dyDescent="0.3">
      <c r="A327" t="s">
        <v>429</v>
      </c>
      <c r="B327" s="2">
        <v>45894</v>
      </c>
      <c r="C327" t="s">
        <v>147</v>
      </c>
      <c r="D327" t="s">
        <v>39</v>
      </c>
      <c r="E327" t="s">
        <v>128</v>
      </c>
      <c r="F327" t="s">
        <v>16</v>
      </c>
      <c r="G327" t="s">
        <v>68</v>
      </c>
      <c r="H327" t="s">
        <v>69</v>
      </c>
      <c r="I327">
        <v>1</v>
      </c>
      <c r="J327" s="3">
        <v>0.2</v>
      </c>
      <c r="K327" s="4">
        <v>11480.95</v>
      </c>
      <c r="L327" s="4">
        <v>1308.74</v>
      </c>
    </row>
    <row r="328" spans="1:12" x14ac:dyDescent="0.3">
      <c r="A328" t="s">
        <v>430</v>
      </c>
      <c r="B328" s="2">
        <v>45894</v>
      </c>
      <c r="C328" t="s">
        <v>147</v>
      </c>
      <c r="D328" t="s">
        <v>39</v>
      </c>
      <c r="E328" t="s">
        <v>40</v>
      </c>
      <c r="F328" t="s">
        <v>28</v>
      </c>
      <c r="G328" t="s">
        <v>92</v>
      </c>
      <c r="H328" t="s">
        <v>93</v>
      </c>
      <c r="I328">
        <v>7</v>
      </c>
      <c r="J328" s="3">
        <v>0.1</v>
      </c>
      <c r="K328" s="4">
        <v>13100.85</v>
      </c>
      <c r="L328" s="4">
        <v>2773.41</v>
      </c>
    </row>
    <row r="329" spans="1:12" x14ac:dyDescent="0.3">
      <c r="A329" t="s">
        <v>431</v>
      </c>
      <c r="B329" s="2">
        <v>45895</v>
      </c>
      <c r="C329" t="s">
        <v>100</v>
      </c>
      <c r="D329" t="s">
        <v>39</v>
      </c>
      <c r="E329" t="s">
        <v>52</v>
      </c>
      <c r="F329" t="s">
        <v>16</v>
      </c>
      <c r="G329" t="s">
        <v>41</v>
      </c>
      <c r="H329" t="s">
        <v>177</v>
      </c>
      <c r="I329">
        <v>7</v>
      </c>
      <c r="J329" s="3">
        <v>0.05</v>
      </c>
      <c r="K329" s="4">
        <v>5953.01</v>
      </c>
      <c r="L329" s="4">
        <v>824.85</v>
      </c>
    </row>
    <row r="330" spans="1:12" x14ac:dyDescent="0.3">
      <c r="A330" t="s">
        <v>432</v>
      </c>
      <c r="B330" s="2">
        <v>45896</v>
      </c>
      <c r="C330" t="s">
        <v>66</v>
      </c>
      <c r="D330" t="s">
        <v>39</v>
      </c>
      <c r="E330" t="s">
        <v>128</v>
      </c>
      <c r="F330" t="s">
        <v>23</v>
      </c>
      <c r="G330" t="s">
        <v>58</v>
      </c>
      <c r="H330" t="s">
        <v>101</v>
      </c>
      <c r="I330">
        <v>7</v>
      </c>
      <c r="J330" s="3">
        <v>0</v>
      </c>
      <c r="K330" s="4">
        <v>334862.64</v>
      </c>
      <c r="L330" s="4">
        <v>30174.53</v>
      </c>
    </row>
    <row r="331" spans="1:12" x14ac:dyDescent="0.3">
      <c r="A331" t="s">
        <v>433</v>
      </c>
      <c r="B331" s="2">
        <v>45896</v>
      </c>
      <c r="C331" t="s">
        <v>66</v>
      </c>
      <c r="D331" t="s">
        <v>33</v>
      </c>
      <c r="E331" t="s">
        <v>86</v>
      </c>
      <c r="F331" t="s">
        <v>23</v>
      </c>
      <c r="G331" t="s">
        <v>48</v>
      </c>
      <c r="H331" t="s">
        <v>49</v>
      </c>
      <c r="I331">
        <v>3</v>
      </c>
      <c r="J331" s="3">
        <v>0.15</v>
      </c>
      <c r="K331" s="4">
        <v>6703.32</v>
      </c>
      <c r="L331" s="4">
        <v>662.03</v>
      </c>
    </row>
    <row r="332" spans="1:12" x14ac:dyDescent="0.3">
      <c r="A332" t="s">
        <v>434</v>
      </c>
      <c r="B332" s="2">
        <v>45896</v>
      </c>
      <c r="C332" t="s">
        <v>85</v>
      </c>
      <c r="D332" t="s">
        <v>39</v>
      </c>
      <c r="E332" t="s">
        <v>47</v>
      </c>
      <c r="F332" t="s">
        <v>28</v>
      </c>
      <c r="G332" t="s">
        <v>29</v>
      </c>
      <c r="H332" t="s">
        <v>30</v>
      </c>
      <c r="I332">
        <v>1</v>
      </c>
      <c r="J332" s="3">
        <v>0.2</v>
      </c>
      <c r="K332" s="4">
        <v>2528.9499999999998</v>
      </c>
      <c r="L332" s="4">
        <v>170.26</v>
      </c>
    </row>
    <row r="333" spans="1:12" x14ac:dyDescent="0.3">
      <c r="A333" t="s">
        <v>435</v>
      </c>
      <c r="B333" s="2">
        <v>45897</v>
      </c>
      <c r="C333" t="s">
        <v>143</v>
      </c>
      <c r="D333" t="s">
        <v>14</v>
      </c>
      <c r="E333" t="s">
        <v>54</v>
      </c>
      <c r="F333" t="s">
        <v>23</v>
      </c>
      <c r="G333" t="s">
        <v>24</v>
      </c>
      <c r="H333" t="s">
        <v>129</v>
      </c>
      <c r="I333">
        <v>5</v>
      </c>
      <c r="J333" s="3">
        <v>0.15</v>
      </c>
      <c r="K333" s="4">
        <v>180733.6</v>
      </c>
      <c r="L333" s="4">
        <v>30201.25</v>
      </c>
    </row>
    <row r="334" spans="1:12" x14ac:dyDescent="0.3">
      <c r="A334" t="s">
        <v>436</v>
      </c>
      <c r="B334" s="2">
        <v>45898</v>
      </c>
      <c r="C334" t="s">
        <v>32</v>
      </c>
      <c r="D334" t="s">
        <v>21</v>
      </c>
      <c r="E334" t="s">
        <v>22</v>
      </c>
      <c r="F334" t="s">
        <v>16</v>
      </c>
      <c r="G334" t="s">
        <v>17</v>
      </c>
      <c r="H334" t="s">
        <v>153</v>
      </c>
      <c r="I334">
        <v>6</v>
      </c>
      <c r="J334" s="3">
        <v>0</v>
      </c>
      <c r="K334" s="4">
        <v>58253.1</v>
      </c>
      <c r="L334" s="4">
        <v>9792.59</v>
      </c>
    </row>
    <row r="335" spans="1:12" x14ac:dyDescent="0.3">
      <c r="A335" t="s">
        <v>437</v>
      </c>
      <c r="B335" s="2">
        <v>45899</v>
      </c>
      <c r="C335" t="s">
        <v>104</v>
      </c>
      <c r="D335" t="s">
        <v>39</v>
      </c>
      <c r="E335" t="s">
        <v>128</v>
      </c>
      <c r="F335" t="s">
        <v>28</v>
      </c>
      <c r="G335" t="s">
        <v>71</v>
      </c>
      <c r="H335" t="s">
        <v>121</v>
      </c>
      <c r="I335">
        <v>7</v>
      </c>
      <c r="J335" s="3">
        <v>0.15</v>
      </c>
      <c r="K335" s="4">
        <v>8768.5499999999993</v>
      </c>
      <c r="L335" s="4">
        <v>1527.27</v>
      </c>
    </row>
    <row r="336" spans="1:12" x14ac:dyDescent="0.3">
      <c r="A336" t="s">
        <v>438</v>
      </c>
      <c r="B336" s="2">
        <v>45900</v>
      </c>
      <c r="C336" t="s">
        <v>38</v>
      </c>
      <c r="D336" t="s">
        <v>33</v>
      </c>
      <c r="E336" t="s">
        <v>34</v>
      </c>
      <c r="F336" t="s">
        <v>28</v>
      </c>
      <c r="G336" t="s">
        <v>71</v>
      </c>
      <c r="H336" t="s">
        <v>72</v>
      </c>
      <c r="I336">
        <v>4</v>
      </c>
      <c r="J336" s="3">
        <v>0.2</v>
      </c>
      <c r="K336" s="4">
        <v>18622.080000000002</v>
      </c>
      <c r="L336" s="4">
        <v>1122.1199999999999</v>
      </c>
    </row>
    <row r="337" spans="1:12" x14ac:dyDescent="0.3">
      <c r="A337" t="s">
        <v>439</v>
      </c>
      <c r="B337" s="2">
        <v>45900</v>
      </c>
      <c r="C337" t="s">
        <v>20</v>
      </c>
      <c r="D337" t="s">
        <v>14</v>
      </c>
      <c r="E337" t="s">
        <v>114</v>
      </c>
      <c r="F337" t="s">
        <v>23</v>
      </c>
      <c r="G337" t="s">
        <v>24</v>
      </c>
      <c r="H337" t="s">
        <v>129</v>
      </c>
      <c r="I337">
        <v>7</v>
      </c>
      <c r="J337" s="3">
        <v>0.2</v>
      </c>
      <c r="K337" s="4">
        <v>167530.85999999999</v>
      </c>
      <c r="L337" s="4">
        <v>6862.07</v>
      </c>
    </row>
    <row r="338" spans="1:12" x14ac:dyDescent="0.3">
      <c r="A338" t="s">
        <v>440</v>
      </c>
      <c r="B338" s="2">
        <v>45903</v>
      </c>
      <c r="C338" t="s">
        <v>56</v>
      </c>
      <c r="D338" t="s">
        <v>14</v>
      </c>
      <c r="E338" t="s">
        <v>54</v>
      </c>
      <c r="F338" t="s">
        <v>28</v>
      </c>
      <c r="G338" t="s">
        <v>71</v>
      </c>
      <c r="H338" t="s">
        <v>72</v>
      </c>
      <c r="I338">
        <v>7</v>
      </c>
      <c r="J338" s="3">
        <v>0</v>
      </c>
      <c r="K338" s="4">
        <v>25789.96</v>
      </c>
      <c r="L338" s="4">
        <v>3435.7</v>
      </c>
    </row>
    <row r="339" spans="1:12" x14ac:dyDescent="0.3">
      <c r="A339" t="s">
        <v>441</v>
      </c>
      <c r="B339" s="2">
        <v>45905</v>
      </c>
      <c r="C339" t="s">
        <v>32</v>
      </c>
      <c r="D339" t="s">
        <v>21</v>
      </c>
      <c r="E339" t="s">
        <v>67</v>
      </c>
      <c r="F339" t="s">
        <v>28</v>
      </c>
      <c r="G339" t="s">
        <v>71</v>
      </c>
      <c r="H339" t="s">
        <v>121</v>
      </c>
      <c r="I339">
        <v>4</v>
      </c>
      <c r="J339" s="3">
        <v>0.15</v>
      </c>
      <c r="K339" s="4">
        <v>10958.56</v>
      </c>
      <c r="L339" s="4">
        <v>1788.64</v>
      </c>
    </row>
    <row r="340" spans="1:12" x14ac:dyDescent="0.3">
      <c r="A340" t="s">
        <v>442</v>
      </c>
      <c r="B340" s="2">
        <v>45906</v>
      </c>
      <c r="C340" t="s">
        <v>66</v>
      </c>
      <c r="D340" t="s">
        <v>39</v>
      </c>
      <c r="E340" t="s">
        <v>47</v>
      </c>
      <c r="F340" t="s">
        <v>16</v>
      </c>
      <c r="G340" t="s">
        <v>17</v>
      </c>
      <c r="H340" t="s">
        <v>88</v>
      </c>
      <c r="I340">
        <v>2</v>
      </c>
      <c r="J340" s="3">
        <v>0.1</v>
      </c>
      <c r="K340" s="4">
        <v>10739.84</v>
      </c>
      <c r="L340" s="4">
        <v>2291.73</v>
      </c>
    </row>
    <row r="341" spans="1:12" x14ac:dyDescent="0.3">
      <c r="A341" t="s">
        <v>443</v>
      </c>
      <c r="B341" s="2">
        <v>45908</v>
      </c>
      <c r="C341" t="s">
        <v>13</v>
      </c>
      <c r="D341" t="s">
        <v>33</v>
      </c>
      <c r="E341" t="s">
        <v>86</v>
      </c>
      <c r="F341" t="s">
        <v>28</v>
      </c>
      <c r="G341" t="s">
        <v>29</v>
      </c>
      <c r="H341" t="s">
        <v>98</v>
      </c>
      <c r="I341">
        <v>1</v>
      </c>
      <c r="J341" s="3">
        <v>0.2</v>
      </c>
      <c r="K341" s="4">
        <v>756.67</v>
      </c>
      <c r="L341" s="4">
        <v>87.36</v>
      </c>
    </row>
    <row r="342" spans="1:12" x14ac:dyDescent="0.3">
      <c r="A342" t="s">
        <v>444</v>
      </c>
      <c r="B342" s="2">
        <v>45908</v>
      </c>
      <c r="C342" t="s">
        <v>32</v>
      </c>
      <c r="D342" t="s">
        <v>33</v>
      </c>
      <c r="E342" t="s">
        <v>140</v>
      </c>
      <c r="F342" t="s">
        <v>23</v>
      </c>
      <c r="G342" t="s">
        <v>58</v>
      </c>
      <c r="H342" t="s">
        <v>90</v>
      </c>
      <c r="I342">
        <v>7</v>
      </c>
      <c r="J342" s="3">
        <v>0.1</v>
      </c>
      <c r="K342" s="4">
        <v>310607.43</v>
      </c>
      <c r="L342" s="4">
        <v>50339.33</v>
      </c>
    </row>
    <row r="343" spans="1:12" x14ac:dyDescent="0.3">
      <c r="A343" t="s">
        <v>445</v>
      </c>
      <c r="B343" s="2">
        <v>45908</v>
      </c>
      <c r="C343" t="s">
        <v>20</v>
      </c>
      <c r="D343" t="s">
        <v>39</v>
      </c>
      <c r="E343" t="s">
        <v>47</v>
      </c>
      <c r="F343" t="s">
        <v>23</v>
      </c>
      <c r="G343" t="s">
        <v>58</v>
      </c>
      <c r="H343" t="s">
        <v>78</v>
      </c>
      <c r="I343">
        <v>6</v>
      </c>
      <c r="J343" s="3">
        <v>0.15</v>
      </c>
      <c r="K343" s="4">
        <v>56869.440000000002</v>
      </c>
      <c r="L343" s="4">
        <v>5614</v>
      </c>
    </row>
    <row r="344" spans="1:12" x14ac:dyDescent="0.3">
      <c r="A344" t="s">
        <v>446</v>
      </c>
      <c r="B344" s="2">
        <v>45909</v>
      </c>
      <c r="C344" t="s">
        <v>66</v>
      </c>
      <c r="D344" t="s">
        <v>39</v>
      </c>
      <c r="E344" t="s">
        <v>128</v>
      </c>
      <c r="F344" t="s">
        <v>23</v>
      </c>
      <c r="G344" t="s">
        <v>58</v>
      </c>
      <c r="H344" t="s">
        <v>78</v>
      </c>
      <c r="I344">
        <v>3</v>
      </c>
      <c r="J344" s="3">
        <v>0.1</v>
      </c>
      <c r="K344" s="4">
        <v>107365.68</v>
      </c>
      <c r="L344" s="4">
        <v>11195.36</v>
      </c>
    </row>
    <row r="345" spans="1:12" x14ac:dyDescent="0.3">
      <c r="A345" t="s">
        <v>447</v>
      </c>
      <c r="B345" s="2">
        <v>45909</v>
      </c>
      <c r="C345" t="s">
        <v>179</v>
      </c>
      <c r="D345" t="s">
        <v>39</v>
      </c>
      <c r="E345" t="s">
        <v>40</v>
      </c>
      <c r="F345" t="s">
        <v>28</v>
      </c>
      <c r="G345" t="s">
        <v>71</v>
      </c>
      <c r="H345" t="s">
        <v>72</v>
      </c>
      <c r="I345">
        <v>2</v>
      </c>
      <c r="J345" s="3">
        <v>0.15</v>
      </c>
      <c r="K345" s="4">
        <v>9825.24</v>
      </c>
      <c r="L345" s="4">
        <v>1154.8599999999999</v>
      </c>
    </row>
    <row r="346" spans="1:12" x14ac:dyDescent="0.3">
      <c r="A346" t="s">
        <v>448</v>
      </c>
      <c r="B346" s="2">
        <v>45909</v>
      </c>
      <c r="C346" t="s">
        <v>100</v>
      </c>
      <c r="D346" t="s">
        <v>14</v>
      </c>
      <c r="E346" t="s">
        <v>54</v>
      </c>
      <c r="F346" t="s">
        <v>23</v>
      </c>
      <c r="G346" t="s">
        <v>24</v>
      </c>
      <c r="H346" t="s">
        <v>129</v>
      </c>
      <c r="I346">
        <v>3</v>
      </c>
      <c r="J346" s="3">
        <v>0</v>
      </c>
      <c r="K346" s="4">
        <v>100829.52</v>
      </c>
      <c r="L346" s="4">
        <v>9977.7900000000009</v>
      </c>
    </row>
    <row r="347" spans="1:12" x14ac:dyDescent="0.3">
      <c r="A347" t="s">
        <v>449</v>
      </c>
      <c r="B347" s="2">
        <v>45911</v>
      </c>
      <c r="C347" t="s">
        <v>82</v>
      </c>
      <c r="D347" t="s">
        <v>14</v>
      </c>
      <c r="E347" t="s">
        <v>97</v>
      </c>
      <c r="F347" t="s">
        <v>23</v>
      </c>
      <c r="G347" t="s">
        <v>58</v>
      </c>
      <c r="H347" t="s">
        <v>78</v>
      </c>
      <c r="I347">
        <v>2</v>
      </c>
      <c r="J347" s="3">
        <v>0.1</v>
      </c>
      <c r="K347" s="4">
        <v>60577.9</v>
      </c>
      <c r="L347" s="4">
        <v>5504.68</v>
      </c>
    </row>
    <row r="348" spans="1:12" x14ac:dyDescent="0.3">
      <c r="A348" t="s">
        <v>450</v>
      </c>
      <c r="B348" s="2">
        <v>45912</v>
      </c>
      <c r="C348" t="s">
        <v>135</v>
      </c>
      <c r="D348" t="s">
        <v>39</v>
      </c>
      <c r="E348" t="s">
        <v>128</v>
      </c>
      <c r="F348" t="s">
        <v>28</v>
      </c>
      <c r="G348" t="s">
        <v>92</v>
      </c>
      <c r="H348" t="s">
        <v>93</v>
      </c>
      <c r="I348">
        <v>7</v>
      </c>
      <c r="J348" s="3">
        <v>0.05</v>
      </c>
      <c r="K348" s="4">
        <v>2086.84</v>
      </c>
      <c r="L348" s="4">
        <v>139.44999999999999</v>
      </c>
    </row>
    <row r="349" spans="1:12" x14ac:dyDescent="0.3">
      <c r="A349" t="s">
        <v>451</v>
      </c>
      <c r="B349" s="2">
        <v>45912</v>
      </c>
      <c r="C349" t="s">
        <v>56</v>
      </c>
      <c r="D349" t="s">
        <v>14</v>
      </c>
      <c r="E349" t="s">
        <v>97</v>
      </c>
      <c r="F349" t="s">
        <v>23</v>
      </c>
      <c r="G349" t="s">
        <v>58</v>
      </c>
      <c r="H349" t="s">
        <v>78</v>
      </c>
      <c r="I349">
        <v>6</v>
      </c>
      <c r="J349" s="3">
        <v>0.2</v>
      </c>
      <c r="K349" s="4">
        <v>104952.9</v>
      </c>
      <c r="L349" s="4">
        <v>4235.12</v>
      </c>
    </row>
    <row r="350" spans="1:12" x14ac:dyDescent="0.3">
      <c r="A350" t="s">
        <v>452</v>
      </c>
      <c r="B350" s="2">
        <v>45913</v>
      </c>
      <c r="C350" t="s">
        <v>111</v>
      </c>
      <c r="D350" t="s">
        <v>21</v>
      </c>
      <c r="E350" t="s">
        <v>67</v>
      </c>
      <c r="F350" t="s">
        <v>16</v>
      </c>
      <c r="G350" t="s">
        <v>68</v>
      </c>
      <c r="H350" t="s">
        <v>69</v>
      </c>
      <c r="I350">
        <v>3</v>
      </c>
      <c r="J350" s="3">
        <v>0.1</v>
      </c>
      <c r="K350" s="4">
        <v>35961.81</v>
      </c>
      <c r="L350" s="4">
        <v>7325.68</v>
      </c>
    </row>
    <row r="351" spans="1:12" x14ac:dyDescent="0.3">
      <c r="A351" t="s">
        <v>453</v>
      </c>
      <c r="B351" s="2">
        <v>45914</v>
      </c>
      <c r="C351" t="s">
        <v>135</v>
      </c>
      <c r="D351" t="s">
        <v>33</v>
      </c>
      <c r="E351" t="s">
        <v>86</v>
      </c>
      <c r="F351" t="s">
        <v>28</v>
      </c>
      <c r="G351" t="s">
        <v>29</v>
      </c>
      <c r="H351" t="s">
        <v>30</v>
      </c>
      <c r="I351">
        <v>5</v>
      </c>
      <c r="J351" s="3">
        <v>0.15</v>
      </c>
      <c r="K351" s="4">
        <v>24628.6</v>
      </c>
      <c r="L351" s="4">
        <v>1199.23</v>
      </c>
    </row>
    <row r="352" spans="1:12" x14ac:dyDescent="0.3">
      <c r="A352" t="s">
        <v>454</v>
      </c>
      <c r="B352" s="2">
        <v>45915</v>
      </c>
      <c r="C352" t="s">
        <v>100</v>
      </c>
      <c r="D352" t="s">
        <v>33</v>
      </c>
      <c r="E352" t="s">
        <v>140</v>
      </c>
      <c r="F352" t="s">
        <v>16</v>
      </c>
      <c r="G352" t="s">
        <v>41</v>
      </c>
      <c r="H352" t="s">
        <v>177</v>
      </c>
      <c r="I352">
        <v>3</v>
      </c>
      <c r="J352" s="3">
        <v>0.05</v>
      </c>
      <c r="K352" s="4">
        <v>25838.400000000001</v>
      </c>
      <c r="L352" s="4">
        <v>3808.67</v>
      </c>
    </row>
    <row r="353" spans="1:12" x14ac:dyDescent="0.3">
      <c r="A353" t="s">
        <v>455</v>
      </c>
      <c r="B353" s="2">
        <v>45915</v>
      </c>
      <c r="C353" t="s">
        <v>32</v>
      </c>
      <c r="D353" t="s">
        <v>21</v>
      </c>
      <c r="E353" t="s">
        <v>57</v>
      </c>
      <c r="F353" t="s">
        <v>23</v>
      </c>
      <c r="G353" t="s">
        <v>48</v>
      </c>
      <c r="H353" t="s">
        <v>49</v>
      </c>
      <c r="I353">
        <v>7</v>
      </c>
      <c r="J353" s="3">
        <v>0.1</v>
      </c>
      <c r="K353" s="4">
        <v>245007.77</v>
      </c>
      <c r="L353" s="4">
        <v>29465.1</v>
      </c>
    </row>
    <row r="354" spans="1:12" x14ac:dyDescent="0.3">
      <c r="A354" t="s">
        <v>456</v>
      </c>
      <c r="B354" s="2">
        <v>45915</v>
      </c>
      <c r="C354" t="s">
        <v>77</v>
      </c>
      <c r="D354" t="s">
        <v>14</v>
      </c>
      <c r="E354" t="s">
        <v>97</v>
      </c>
      <c r="F354" t="s">
        <v>23</v>
      </c>
      <c r="G354" t="s">
        <v>24</v>
      </c>
      <c r="H354" t="s">
        <v>132</v>
      </c>
      <c r="I354">
        <v>4</v>
      </c>
      <c r="J354" s="3">
        <v>0.1</v>
      </c>
      <c r="K354" s="4">
        <v>118480.64</v>
      </c>
      <c r="L354" s="4">
        <v>21464.12</v>
      </c>
    </row>
    <row r="355" spans="1:12" x14ac:dyDescent="0.3">
      <c r="A355" t="s">
        <v>457</v>
      </c>
      <c r="B355" s="2">
        <v>45917</v>
      </c>
      <c r="C355" t="s">
        <v>66</v>
      </c>
      <c r="D355" t="s">
        <v>39</v>
      </c>
      <c r="E355" t="s">
        <v>40</v>
      </c>
      <c r="F355" t="s">
        <v>23</v>
      </c>
      <c r="G355" t="s">
        <v>35</v>
      </c>
      <c r="H355" t="s">
        <v>155</v>
      </c>
      <c r="I355">
        <v>7</v>
      </c>
      <c r="J355" s="3">
        <v>0.2</v>
      </c>
      <c r="K355" s="4">
        <v>84431.27</v>
      </c>
      <c r="L355" s="4">
        <v>9674.75</v>
      </c>
    </row>
    <row r="356" spans="1:12" x14ac:dyDescent="0.3">
      <c r="A356" t="s">
        <v>458</v>
      </c>
      <c r="B356" s="2">
        <v>45917</v>
      </c>
      <c r="C356" t="s">
        <v>38</v>
      </c>
      <c r="D356" t="s">
        <v>14</v>
      </c>
      <c r="E356" t="s">
        <v>15</v>
      </c>
      <c r="F356" t="s">
        <v>23</v>
      </c>
      <c r="G356" t="s">
        <v>48</v>
      </c>
      <c r="H356" t="s">
        <v>118</v>
      </c>
      <c r="I356">
        <v>5</v>
      </c>
      <c r="J356" s="3">
        <v>0.05</v>
      </c>
      <c r="K356" s="4">
        <v>242517.8</v>
      </c>
      <c r="L356" s="4">
        <v>33699.839999999997</v>
      </c>
    </row>
    <row r="357" spans="1:12" x14ac:dyDescent="0.3">
      <c r="A357" t="s">
        <v>459</v>
      </c>
      <c r="B357" s="2">
        <v>45917</v>
      </c>
      <c r="C357" t="s">
        <v>111</v>
      </c>
      <c r="D357" t="s">
        <v>14</v>
      </c>
      <c r="E357" t="s">
        <v>114</v>
      </c>
      <c r="F357" t="s">
        <v>23</v>
      </c>
      <c r="G357" t="s">
        <v>48</v>
      </c>
      <c r="H357" t="s">
        <v>118</v>
      </c>
      <c r="I357">
        <v>3</v>
      </c>
      <c r="J357" s="3">
        <v>0.1</v>
      </c>
      <c r="K357" s="4">
        <v>53885.91</v>
      </c>
      <c r="L357" s="4">
        <v>8215.19</v>
      </c>
    </row>
    <row r="358" spans="1:12" x14ac:dyDescent="0.3">
      <c r="A358" t="s">
        <v>460</v>
      </c>
      <c r="B358" s="2">
        <v>45919</v>
      </c>
      <c r="C358" t="s">
        <v>150</v>
      </c>
      <c r="D358" t="s">
        <v>39</v>
      </c>
      <c r="E358" t="s">
        <v>52</v>
      </c>
      <c r="F358" t="s">
        <v>23</v>
      </c>
      <c r="G358" t="s">
        <v>58</v>
      </c>
      <c r="H358" t="s">
        <v>59</v>
      </c>
      <c r="I358">
        <v>5</v>
      </c>
      <c r="J358" s="3">
        <v>0.2</v>
      </c>
      <c r="K358" s="4">
        <v>75154.2</v>
      </c>
      <c r="L358" s="4">
        <v>11425.82</v>
      </c>
    </row>
    <row r="359" spans="1:12" x14ac:dyDescent="0.3">
      <c r="A359" t="s">
        <v>461</v>
      </c>
      <c r="B359" s="2">
        <v>45919</v>
      </c>
      <c r="C359" t="s">
        <v>85</v>
      </c>
      <c r="D359" t="s">
        <v>14</v>
      </c>
      <c r="E359" t="s">
        <v>54</v>
      </c>
      <c r="F359" t="s">
        <v>28</v>
      </c>
      <c r="G359" t="s">
        <v>71</v>
      </c>
      <c r="H359" t="s">
        <v>121</v>
      </c>
      <c r="I359">
        <v>4</v>
      </c>
      <c r="J359" s="3">
        <v>0.1</v>
      </c>
      <c r="K359" s="4">
        <v>8462.52</v>
      </c>
      <c r="L359" s="4">
        <v>1297.8399999999999</v>
      </c>
    </row>
    <row r="360" spans="1:12" x14ac:dyDescent="0.3">
      <c r="A360" t="s">
        <v>462</v>
      </c>
      <c r="B360" s="2">
        <v>45919</v>
      </c>
      <c r="C360" t="s">
        <v>32</v>
      </c>
      <c r="D360" t="s">
        <v>21</v>
      </c>
      <c r="E360" t="s">
        <v>57</v>
      </c>
      <c r="F360" t="s">
        <v>16</v>
      </c>
      <c r="G360" t="s">
        <v>17</v>
      </c>
      <c r="H360" t="s">
        <v>153</v>
      </c>
      <c r="I360">
        <v>6</v>
      </c>
      <c r="J360" s="3">
        <v>0.2</v>
      </c>
      <c r="K360" s="4">
        <v>15604.38</v>
      </c>
      <c r="L360" s="4">
        <v>1685.28</v>
      </c>
    </row>
    <row r="361" spans="1:12" x14ac:dyDescent="0.3">
      <c r="A361" t="s">
        <v>463</v>
      </c>
      <c r="B361" s="2">
        <v>45920</v>
      </c>
      <c r="C361" t="s">
        <v>38</v>
      </c>
      <c r="D361" t="s">
        <v>21</v>
      </c>
      <c r="E361" t="s">
        <v>67</v>
      </c>
      <c r="F361" t="s">
        <v>28</v>
      </c>
      <c r="G361" t="s">
        <v>74</v>
      </c>
      <c r="H361" t="s">
        <v>75</v>
      </c>
      <c r="I361">
        <v>1</v>
      </c>
      <c r="J361" s="3">
        <v>0.2</v>
      </c>
      <c r="K361" s="4">
        <v>1930.2</v>
      </c>
      <c r="L361" s="4">
        <v>227.06</v>
      </c>
    </row>
    <row r="362" spans="1:12" x14ac:dyDescent="0.3">
      <c r="A362" t="s">
        <v>464</v>
      </c>
      <c r="B362" s="2">
        <v>45920</v>
      </c>
      <c r="C362" t="s">
        <v>51</v>
      </c>
      <c r="D362" t="s">
        <v>33</v>
      </c>
      <c r="E362" t="s">
        <v>34</v>
      </c>
      <c r="F362" t="s">
        <v>28</v>
      </c>
      <c r="G362" t="s">
        <v>29</v>
      </c>
      <c r="H362" t="s">
        <v>30</v>
      </c>
      <c r="I362">
        <v>2</v>
      </c>
      <c r="J362" s="3">
        <v>0</v>
      </c>
      <c r="K362" s="4">
        <v>8037.86</v>
      </c>
      <c r="L362" s="4">
        <v>1418.22</v>
      </c>
    </row>
    <row r="363" spans="1:12" x14ac:dyDescent="0.3">
      <c r="A363" t="s">
        <v>465</v>
      </c>
      <c r="B363" s="2">
        <v>45921</v>
      </c>
      <c r="C363" t="s">
        <v>150</v>
      </c>
      <c r="D363" t="s">
        <v>14</v>
      </c>
      <c r="E363" t="s">
        <v>54</v>
      </c>
      <c r="F363" t="s">
        <v>23</v>
      </c>
      <c r="G363" t="s">
        <v>58</v>
      </c>
      <c r="H363" t="s">
        <v>78</v>
      </c>
      <c r="I363">
        <v>3</v>
      </c>
      <c r="J363" s="3">
        <v>0.15</v>
      </c>
      <c r="K363" s="4">
        <v>136615.67999999999</v>
      </c>
      <c r="L363" s="4">
        <v>7989.3</v>
      </c>
    </row>
    <row r="364" spans="1:12" x14ac:dyDescent="0.3">
      <c r="A364" t="s">
        <v>466</v>
      </c>
      <c r="B364" s="2">
        <v>45921</v>
      </c>
      <c r="C364" t="s">
        <v>150</v>
      </c>
      <c r="D364" t="s">
        <v>21</v>
      </c>
      <c r="E364" t="s">
        <v>57</v>
      </c>
      <c r="F364" t="s">
        <v>23</v>
      </c>
      <c r="G364" t="s">
        <v>58</v>
      </c>
      <c r="H364" t="s">
        <v>90</v>
      </c>
      <c r="I364">
        <v>7</v>
      </c>
      <c r="J364" s="3">
        <v>0.15</v>
      </c>
      <c r="K364" s="4">
        <v>272823.95</v>
      </c>
      <c r="L364" s="4">
        <v>23620.06</v>
      </c>
    </row>
    <row r="365" spans="1:12" x14ac:dyDescent="0.3">
      <c r="A365" t="s">
        <v>467</v>
      </c>
      <c r="B365" s="2">
        <v>45922</v>
      </c>
      <c r="C365" t="s">
        <v>32</v>
      </c>
      <c r="D365" t="s">
        <v>14</v>
      </c>
      <c r="E365" t="s">
        <v>15</v>
      </c>
      <c r="F365" t="s">
        <v>23</v>
      </c>
      <c r="G365" t="s">
        <v>48</v>
      </c>
      <c r="H365" t="s">
        <v>118</v>
      </c>
      <c r="I365">
        <v>5</v>
      </c>
      <c r="J365" s="3">
        <v>0.05</v>
      </c>
      <c r="K365" s="4">
        <v>216380.1</v>
      </c>
      <c r="L365" s="4">
        <v>31150.28</v>
      </c>
    </row>
    <row r="366" spans="1:12" x14ac:dyDescent="0.3">
      <c r="A366" t="s">
        <v>468</v>
      </c>
      <c r="B366" s="2">
        <v>45923</v>
      </c>
      <c r="C366" t="s">
        <v>147</v>
      </c>
      <c r="D366" t="s">
        <v>21</v>
      </c>
      <c r="E366" t="s">
        <v>57</v>
      </c>
      <c r="F366" t="s">
        <v>16</v>
      </c>
      <c r="G366" t="s">
        <v>41</v>
      </c>
      <c r="H366" t="s">
        <v>42</v>
      </c>
      <c r="I366">
        <v>7</v>
      </c>
      <c r="J366" s="3">
        <v>0.1</v>
      </c>
      <c r="K366" s="4">
        <v>20653.36</v>
      </c>
      <c r="L366" s="4">
        <v>4029.66</v>
      </c>
    </row>
    <row r="367" spans="1:12" x14ac:dyDescent="0.3">
      <c r="A367" t="s">
        <v>469</v>
      </c>
      <c r="B367" s="2">
        <v>45924</v>
      </c>
      <c r="C367" t="s">
        <v>56</v>
      </c>
      <c r="D367" t="s">
        <v>33</v>
      </c>
      <c r="E367" t="s">
        <v>34</v>
      </c>
      <c r="F367" t="s">
        <v>28</v>
      </c>
      <c r="G367" t="s">
        <v>92</v>
      </c>
      <c r="H367" t="s">
        <v>204</v>
      </c>
      <c r="I367">
        <v>3</v>
      </c>
      <c r="J367" s="3">
        <v>0</v>
      </c>
      <c r="K367" s="4">
        <v>5528.4</v>
      </c>
      <c r="L367" s="4">
        <v>1120.3900000000001</v>
      </c>
    </row>
    <row r="368" spans="1:12" x14ac:dyDescent="0.3">
      <c r="A368" t="s">
        <v>470</v>
      </c>
      <c r="B368" s="2">
        <v>45925</v>
      </c>
      <c r="C368" t="s">
        <v>56</v>
      </c>
      <c r="D368" t="s">
        <v>14</v>
      </c>
      <c r="E368" t="s">
        <v>97</v>
      </c>
      <c r="F368" t="s">
        <v>23</v>
      </c>
      <c r="G368" t="s">
        <v>58</v>
      </c>
      <c r="H368" t="s">
        <v>101</v>
      </c>
      <c r="I368">
        <v>6</v>
      </c>
      <c r="J368" s="3">
        <v>0.1</v>
      </c>
      <c r="K368" s="4">
        <v>207218.82</v>
      </c>
      <c r="L368" s="4">
        <v>31836.16</v>
      </c>
    </row>
    <row r="369" spans="1:12" x14ac:dyDescent="0.3">
      <c r="A369" t="s">
        <v>471</v>
      </c>
      <c r="B369" s="2">
        <v>45926</v>
      </c>
      <c r="C369" t="s">
        <v>229</v>
      </c>
      <c r="D369" t="s">
        <v>21</v>
      </c>
      <c r="E369" t="s">
        <v>105</v>
      </c>
      <c r="F369" t="s">
        <v>16</v>
      </c>
      <c r="G369" t="s">
        <v>62</v>
      </c>
      <c r="H369" t="s">
        <v>63</v>
      </c>
      <c r="I369">
        <v>2</v>
      </c>
      <c r="J369" s="3">
        <v>0.15</v>
      </c>
      <c r="K369" s="4">
        <v>4029.76</v>
      </c>
      <c r="L369" s="4">
        <v>671.05</v>
      </c>
    </row>
    <row r="370" spans="1:12" x14ac:dyDescent="0.3">
      <c r="A370" t="s">
        <v>472</v>
      </c>
      <c r="B370" s="2">
        <v>45926</v>
      </c>
      <c r="C370" t="s">
        <v>100</v>
      </c>
      <c r="D370" t="s">
        <v>33</v>
      </c>
      <c r="E370" t="s">
        <v>86</v>
      </c>
      <c r="F370" t="s">
        <v>28</v>
      </c>
      <c r="G370" t="s">
        <v>74</v>
      </c>
      <c r="H370" t="s">
        <v>75</v>
      </c>
      <c r="I370">
        <v>6</v>
      </c>
      <c r="J370" s="3">
        <v>0.1</v>
      </c>
      <c r="K370" s="4">
        <v>11954.64</v>
      </c>
      <c r="L370" s="4">
        <v>914.69</v>
      </c>
    </row>
    <row r="371" spans="1:12" x14ac:dyDescent="0.3">
      <c r="A371" t="s">
        <v>473</v>
      </c>
      <c r="B371" s="2">
        <v>45927</v>
      </c>
      <c r="C371" t="s">
        <v>82</v>
      </c>
      <c r="D371" t="s">
        <v>21</v>
      </c>
      <c r="E371" t="s">
        <v>67</v>
      </c>
      <c r="F371" t="s">
        <v>16</v>
      </c>
      <c r="G371" t="s">
        <v>41</v>
      </c>
      <c r="H371" t="s">
        <v>42</v>
      </c>
      <c r="I371">
        <v>2</v>
      </c>
      <c r="J371" s="3">
        <v>0.05</v>
      </c>
      <c r="K371" s="4">
        <v>7254.84</v>
      </c>
      <c r="L371" s="4">
        <v>1495.33</v>
      </c>
    </row>
    <row r="372" spans="1:12" x14ac:dyDescent="0.3">
      <c r="A372" t="s">
        <v>474</v>
      </c>
      <c r="B372" s="2">
        <v>45928</v>
      </c>
      <c r="C372" t="s">
        <v>56</v>
      </c>
      <c r="D372" t="s">
        <v>21</v>
      </c>
      <c r="E372" t="s">
        <v>22</v>
      </c>
      <c r="F372" t="s">
        <v>28</v>
      </c>
      <c r="G372" t="s">
        <v>71</v>
      </c>
      <c r="H372" t="s">
        <v>121</v>
      </c>
      <c r="I372">
        <v>6</v>
      </c>
      <c r="J372" s="3">
        <v>0</v>
      </c>
      <c r="K372" s="4">
        <v>6361.92</v>
      </c>
      <c r="L372" s="4">
        <v>1548.49</v>
      </c>
    </row>
    <row r="373" spans="1:12" x14ac:dyDescent="0.3">
      <c r="A373" t="s">
        <v>475</v>
      </c>
      <c r="B373" s="2">
        <v>45928</v>
      </c>
      <c r="C373" t="s">
        <v>32</v>
      </c>
      <c r="D373" t="s">
        <v>21</v>
      </c>
      <c r="E373" t="s">
        <v>67</v>
      </c>
      <c r="F373" t="s">
        <v>23</v>
      </c>
      <c r="G373" t="s">
        <v>58</v>
      </c>
      <c r="H373" t="s">
        <v>78</v>
      </c>
      <c r="I373">
        <v>5</v>
      </c>
      <c r="J373" s="3">
        <v>0.1</v>
      </c>
      <c r="K373" s="4">
        <v>117160.6</v>
      </c>
      <c r="L373" s="4">
        <v>21919.62</v>
      </c>
    </row>
    <row r="374" spans="1:12" x14ac:dyDescent="0.3">
      <c r="A374" t="s">
        <v>476</v>
      </c>
      <c r="B374" s="2">
        <v>45928</v>
      </c>
      <c r="C374" t="s">
        <v>38</v>
      </c>
      <c r="D374" t="s">
        <v>21</v>
      </c>
      <c r="E374" t="s">
        <v>22</v>
      </c>
      <c r="F374" t="s">
        <v>16</v>
      </c>
      <c r="G374" t="s">
        <v>68</v>
      </c>
      <c r="H374" t="s">
        <v>83</v>
      </c>
      <c r="I374">
        <v>3</v>
      </c>
      <c r="J374" s="3">
        <v>0</v>
      </c>
      <c r="K374" s="4">
        <v>5883.6</v>
      </c>
      <c r="L374" s="4">
        <v>1298.73</v>
      </c>
    </row>
    <row r="375" spans="1:12" x14ac:dyDescent="0.3">
      <c r="A375" t="s">
        <v>477</v>
      </c>
      <c r="B375" s="2">
        <v>45929</v>
      </c>
      <c r="C375" t="s">
        <v>51</v>
      </c>
      <c r="D375" t="s">
        <v>21</v>
      </c>
      <c r="E375" t="s">
        <v>22</v>
      </c>
      <c r="F375" t="s">
        <v>28</v>
      </c>
      <c r="G375" t="s">
        <v>74</v>
      </c>
      <c r="H375" t="s">
        <v>80</v>
      </c>
      <c r="I375">
        <v>6</v>
      </c>
      <c r="J375" s="3">
        <v>0.2</v>
      </c>
      <c r="K375" s="4">
        <v>5283.54</v>
      </c>
      <c r="L375" s="4">
        <v>85.31</v>
      </c>
    </row>
    <row r="376" spans="1:12" x14ac:dyDescent="0.3">
      <c r="A376" t="s">
        <v>478</v>
      </c>
      <c r="B376" s="2">
        <v>45930</v>
      </c>
      <c r="C376" t="s">
        <v>82</v>
      </c>
      <c r="D376" t="s">
        <v>33</v>
      </c>
      <c r="E376" t="s">
        <v>140</v>
      </c>
      <c r="F376" t="s">
        <v>16</v>
      </c>
      <c r="G376" t="s">
        <v>17</v>
      </c>
      <c r="H376" t="s">
        <v>88</v>
      </c>
      <c r="I376">
        <v>2</v>
      </c>
      <c r="J376" s="3">
        <v>0.1</v>
      </c>
      <c r="K376" s="4">
        <v>6452.94</v>
      </c>
      <c r="L376" s="4">
        <v>334.33</v>
      </c>
    </row>
    <row r="377" spans="1:12" x14ac:dyDescent="0.3">
      <c r="A377" t="s">
        <v>479</v>
      </c>
      <c r="B377" s="2">
        <v>45930</v>
      </c>
      <c r="C377" t="s">
        <v>77</v>
      </c>
      <c r="D377" t="s">
        <v>33</v>
      </c>
      <c r="E377" t="s">
        <v>45</v>
      </c>
      <c r="F377" t="s">
        <v>28</v>
      </c>
      <c r="G377" t="s">
        <v>92</v>
      </c>
      <c r="H377" t="s">
        <v>93</v>
      </c>
      <c r="I377">
        <v>6</v>
      </c>
      <c r="J377" s="3">
        <v>0</v>
      </c>
      <c r="K377" s="4">
        <v>15198.9</v>
      </c>
      <c r="L377" s="4">
        <v>2042.86</v>
      </c>
    </row>
    <row r="378" spans="1:12" x14ac:dyDescent="0.3">
      <c r="A378" t="s">
        <v>480</v>
      </c>
      <c r="B378" s="2">
        <v>45930</v>
      </c>
      <c r="C378" t="s">
        <v>66</v>
      </c>
      <c r="D378" t="s">
        <v>33</v>
      </c>
      <c r="E378" t="s">
        <v>140</v>
      </c>
      <c r="F378" t="s">
        <v>28</v>
      </c>
      <c r="G378" t="s">
        <v>74</v>
      </c>
      <c r="H378" t="s">
        <v>159</v>
      </c>
      <c r="I378">
        <v>7</v>
      </c>
      <c r="J378" s="3">
        <v>0</v>
      </c>
      <c r="K378" s="4">
        <v>33078.57</v>
      </c>
      <c r="L378" s="4">
        <v>3238.79</v>
      </c>
    </row>
    <row r="379" spans="1:12" x14ac:dyDescent="0.3">
      <c r="A379" t="s">
        <v>481</v>
      </c>
      <c r="B379" s="2">
        <v>45931</v>
      </c>
      <c r="C379" t="s">
        <v>229</v>
      </c>
      <c r="D379" t="s">
        <v>39</v>
      </c>
      <c r="E379" t="s">
        <v>52</v>
      </c>
      <c r="F379" t="s">
        <v>23</v>
      </c>
      <c r="G379" t="s">
        <v>35</v>
      </c>
      <c r="H379" t="s">
        <v>155</v>
      </c>
      <c r="I379">
        <v>6</v>
      </c>
      <c r="J379" s="3">
        <v>0.1</v>
      </c>
      <c r="K379" s="4">
        <v>292531.38</v>
      </c>
      <c r="L379" s="4">
        <v>47725.59</v>
      </c>
    </row>
    <row r="380" spans="1:12" x14ac:dyDescent="0.3">
      <c r="A380" t="s">
        <v>482</v>
      </c>
      <c r="B380" s="2">
        <v>45932</v>
      </c>
      <c r="C380" t="s">
        <v>27</v>
      </c>
      <c r="D380" t="s">
        <v>21</v>
      </c>
      <c r="E380" t="s">
        <v>67</v>
      </c>
      <c r="F380" t="s">
        <v>28</v>
      </c>
      <c r="G380" t="s">
        <v>29</v>
      </c>
      <c r="H380" t="s">
        <v>30</v>
      </c>
      <c r="I380">
        <v>4</v>
      </c>
      <c r="J380" s="3">
        <v>0</v>
      </c>
      <c r="K380" s="4">
        <v>752.92</v>
      </c>
      <c r="L380" s="4">
        <v>99.24</v>
      </c>
    </row>
    <row r="381" spans="1:12" x14ac:dyDescent="0.3">
      <c r="A381" t="s">
        <v>483</v>
      </c>
      <c r="B381" s="2">
        <v>45932</v>
      </c>
      <c r="C381" t="s">
        <v>13</v>
      </c>
      <c r="D381" t="s">
        <v>21</v>
      </c>
      <c r="E381" t="s">
        <v>57</v>
      </c>
      <c r="F381" t="s">
        <v>16</v>
      </c>
      <c r="G381" t="s">
        <v>41</v>
      </c>
      <c r="H381" t="s">
        <v>177</v>
      </c>
      <c r="I381">
        <v>1</v>
      </c>
      <c r="J381" s="3">
        <v>0</v>
      </c>
      <c r="K381" s="4">
        <v>1913.59</v>
      </c>
      <c r="L381" s="4">
        <v>387.24</v>
      </c>
    </row>
    <row r="382" spans="1:12" x14ac:dyDescent="0.3">
      <c r="A382" t="s">
        <v>484</v>
      </c>
      <c r="B382" s="2">
        <v>45934</v>
      </c>
      <c r="C382" t="s">
        <v>85</v>
      </c>
      <c r="D382" t="s">
        <v>33</v>
      </c>
      <c r="E382" t="s">
        <v>34</v>
      </c>
      <c r="F382" t="s">
        <v>28</v>
      </c>
      <c r="G382" t="s">
        <v>71</v>
      </c>
      <c r="H382" t="s">
        <v>121</v>
      </c>
      <c r="I382">
        <v>6</v>
      </c>
      <c r="J382" s="3">
        <v>0.2</v>
      </c>
      <c r="K382" s="4">
        <v>6320.04</v>
      </c>
      <c r="L382" s="4">
        <v>726.49</v>
      </c>
    </row>
    <row r="383" spans="1:12" x14ac:dyDescent="0.3">
      <c r="A383" t="s">
        <v>485</v>
      </c>
      <c r="B383" s="2">
        <v>45934</v>
      </c>
      <c r="C383" t="s">
        <v>135</v>
      </c>
      <c r="D383" t="s">
        <v>39</v>
      </c>
      <c r="E383" t="s">
        <v>128</v>
      </c>
      <c r="F383" t="s">
        <v>16</v>
      </c>
      <c r="G383" t="s">
        <v>17</v>
      </c>
      <c r="H383" t="s">
        <v>153</v>
      </c>
      <c r="I383">
        <v>5</v>
      </c>
      <c r="J383" s="3">
        <v>0.05</v>
      </c>
      <c r="K383" s="4">
        <v>38202.25</v>
      </c>
      <c r="L383" s="4">
        <v>5939.16</v>
      </c>
    </row>
    <row r="384" spans="1:12" x14ac:dyDescent="0.3">
      <c r="A384" t="s">
        <v>486</v>
      </c>
      <c r="B384" s="2">
        <v>45935</v>
      </c>
      <c r="C384" t="s">
        <v>56</v>
      </c>
      <c r="D384" t="s">
        <v>21</v>
      </c>
      <c r="E384" t="s">
        <v>105</v>
      </c>
      <c r="F384" t="s">
        <v>16</v>
      </c>
      <c r="G384" t="s">
        <v>17</v>
      </c>
      <c r="H384" t="s">
        <v>88</v>
      </c>
      <c r="I384">
        <v>5</v>
      </c>
      <c r="J384" s="3">
        <v>0</v>
      </c>
      <c r="K384" s="4">
        <v>37803.300000000003</v>
      </c>
      <c r="L384" s="4">
        <v>3910.39</v>
      </c>
    </row>
    <row r="385" spans="1:12" x14ac:dyDescent="0.3">
      <c r="A385" t="s">
        <v>487</v>
      </c>
      <c r="B385" s="2">
        <v>45935</v>
      </c>
      <c r="C385" t="s">
        <v>100</v>
      </c>
      <c r="D385" t="s">
        <v>39</v>
      </c>
      <c r="E385" t="s">
        <v>40</v>
      </c>
      <c r="F385" t="s">
        <v>23</v>
      </c>
      <c r="G385" t="s">
        <v>35</v>
      </c>
      <c r="H385" t="s">
        <v>36</v>
      </c>
      <c r="I385">
        <v>5</v>
      </c>
      <c r="J385" s="3">
        <v>0.1</v>
      </c>
      <c r="K385" s="4">
        <v>149225.54999999999</v>
      </c>
      <c r="L385" s="4">
        <v>14263.46</v>
      </c>
    </row>
    <row r="386" spans="1:12" x14ac:dyDescent="0.3">
      <c r="A386" t="s">
        <v>488</v>
      </c>
      <c r="B386" s="2">
        <v>45935</v>
      </c>
      <c r="C386" t="s">
        <v>95</v>
      </c>
      <c r="D386" t="s">
        <v>14</v>
      </c>
      <c r="E386" t="s">
        <v>15</v>
      </c>
      <c r="F386" t="s">
        <v>28</v>
      </c>
      <c r="G386" t="s">
        <v>71</v>
      </c>
      <c r="H386" t="s">
        <v>121</v>
      </c>
      <c r="I386">
        <v>7</v>
      </c>
      <c r="J386" s="3">
        <v>0.15</v>
      </c>
      <c r="K386" s="4">
        <v>11073.02</v>
      </c>
      <c r="L386" s="4">
        <v>1466.37</v>
      </c>
    </row>
    <row r="387" spans="1:12" x14ac:dyDescent="0.3">
      <c r="A387" t="s">
        <v>489</v>
      </c>
      <c r="B387" s="2">
        <v>45936</v>
      </c>
      <c r="C387" t="s">
        <v>27</v>
      </c>
      <c r="D387" t="s">
        <v>39</v>
      </c>
      <c r="E387" t="s">
        <v>128</v>
      </c>
      <c r="F387" t="s">
        <v>16</v>
      </c>
      <c r="G387" t="s">
        <v>17</v>
      </c>
      <c r="H387" t="s">
        <v>153</v>
      </c>
      <c r="I387">
        <v>4</v>
      </c>
      <c r="J387" s="3">
        <v>0.05</v>
      </c>
      <c r="K387" s="4">
        <v>20811.84</v>
      </c>
      <c r="L387" s="4">
        <v>4538.78</v>
      </c>
    </row>
    <row r="388" spans="1:12" x14ac:dyDescent="0.3">
      <c r="A388" t="s">
        <v>490</v>
      </c>
      <c r="B388" s="2">
        <v>45937</v>
      </c>
      <c r="C388" t="s">
        <v>77</v>
      </c>
      <c r="D388" t="s">
        <v>14</v>
      </c>
      <c r="E388" t="s">
        <v>114</v>
      </c>
      <c r="F388" t="s">
        <v>28</v>
      </c>
      <c r="G388" t="s">
        <v>29</v>
      </c>
      <c r="H388" t="s">
        <v>98</v>
      </c>
      <c r="I388">
        <v>2</v>
      </c>
      <c r="J388" s="3">
        <v>0.1</v>
      </c>
      <c r="K388" s="4">
        <v>5744.62</v>
      </c>
      <c r="L388" s="4">
        <v>1132.1099999999999</v>
      </c>
    </row>
    <row r="389" spans="1:12" x14ac:dyDescent="0.3">
      <c r="A389" t="s">
        <v>491</v>
      </c>
      <c r="B389" s="2">
        <v>45937</v>
      </c>
      <c r="C389" t="s">
        <v>135</v>
      </c>
      <c r="D389" t="s">
        <v>33</v>
      </c>
      <c r="E389" t="s">
        <v>45</v>
      </c>
      <c r="F389" t="s">
        <v>28</v>
      </c>
      <c r="G389" t="s">
        <v>71</v>
      </c>
      <c r="H389" t="s">
        <v>72</v>
      </c>
      <c r="I389">
        <v>3</v>
      </c>
      <c r="J389" s="3">
        <v>0.05</v>
      </c>
      <c r="K389" s="4">
        <v>9167.34</v>
      </c>
      <c r="L389" s="4">
        <v>1984.17</v>
      </c>
    </row>
    <row r="390" spans="1:12" x14ac:dyDescent="0.3">
      <c r="A390" t="s">
        <v>492</v>
      </c>
      <c r="B390" s="2">
        <v>45937</v>
      </c>
      <c r="C390" t="s">
        <v>13</v>
      </c>
      <c r="D390" t="s">
        <v>33</v>
      </c>
      <c r="E390" t="s">
        <v>34</v>
      </c>
      <c r="F390" t="s">
        <v>28</v>
      </c>
      <c r="G390" t="s">
        <v>71</v>
      </c>
      <c r="H390" t="s">
        <v>72</v>
      </c>
      <c r="I390">
        <v>4</v>
      </c>
      <c r="J390" s="3">
        <v>0.2</v>
      </c>
      <c r="K390" s="4">
        <v>12297.88</v>
      </c>
      <c r="L390" s="4">
        <v>417.6</v>
      </c>
    </row>
    <row r="391" spans="1:12" x14ac:dyDescent="0.3">
      <c r="A391" t="s">
        <v>493</v>
      </c>
      <c r="B391" s="2">
        <v>45938</v>
      </c>
      <c r="C391" t="s">
        <v>82</v>
      </c>
      <c r="D391" t="s">
        <v>21</v>
      </c>
      <c r="E391" t="s">
        <v>105</v>
      </c>
      <c r="F391" t="s">
        <v>28</v>
      </c>
      <c r="G391" t="s">
        <v>71</v>
      </c>
      <c r="H391" t="s">
        <v>121</v>
      </c>
      <c r="I391">
        <v>4</v>
      </c>
      <c r="J391" s="3">
        <v>0.15</v>
      </c>
      <c r="K391" s="4">
        <v>11429.92</v>
      </c>
      <c r="L391" s="4">
        <v>1233.81</v>
      </c>
    </row>
    <row r="392" spans="1:12" x14ac:dyDescent="0.3">
      <c r="A392" t="s">
        <v>494</v>
      </c>
      <c r="B392" s="2">
        <v>45938</v>
      </c>
      <c r="C392" t="s">
        <v>104</v>
      </c>
      <c r="D392" t="s">
        <v>39</v>
      </c>
      <c r="E392" t="s">
        <v>40</v>
      </c>
      <c r="F392" t="s">
        <v>23</v>
      </c>
      <c r="G392" t="s">
        <v>58</v>
      </c>
      <c r="H392" t="s">
        <v>78</v>
      </c>
      <c r="I392">
        <v>7</v>
      </c>
      <c r="J392" s="3">
        <v>0.05</v>
      </c>
      <c r="K392" s="4">
        <v>60996.11</v>
      </c>
      <c r="L392" s="4">
        <v>3909.02</v>
      </c>
    </row>
    <row r="393" spans="1:12" x14ac:dyDescent="0.3">
      <c r="A393" t="s">
        <v>495</v>
      </c>
      <c r="B393" s="2">
        <v>45939</v>
      </c>
      <c r="C393" t="s">
        <v>147</v>
      </c>
      <c r="D393" t="s">
        <v>33</v>
      </c>
      <c r="E393" t="s">
        <v>86</v>
      </c>
      <c r="F393" t="s">
        <v>16</v>
      </c>
      <c r="G393" t="s">
        <v>68</v>
      </c>
      <c r="H393" t="s">
        <v>175</v>
      </c>
      <c r="I393">
        <v>6</v>
      </c>
      <c r="J393" s="3">
        <v>0.2</v>
      </c>
      <c r="K393" s="4">
        <v>66168.72</v>
      </c>
      <c r="L393" s="4">
        <v>8884.74</v>
      </c>
    </row>
    <row r="394" spans="1:12" x14ac:dyDescent="0.3">
      <c r="A394" t="s">
        <v>496</v>
      </c>
      <c r="B394" s="2">
        <v>45940</v>
      </c>
      <c r="C394" t="s">
        <v>95</v>
      </c>
      <c r="D394" t="s">
        <v>39</v>
      </c>
      <c r="E394" t="s">
        <v>128</v>
      </c>
      <c r="F394" t="s">
        <v>28</v>
      </c>
      <c r="G394" t="s">
        <v>29</v>
      </c>
      <c r="H394" t="s">
        <v>30</v>
      </c>
      <c r="I394">
        <v>5</v>
      </c>
      <c r="J394" s="3">
        <v>0.1</v>
      </c>
      <c r="K394" s="4">
        <v>13076.5</v>
      </c>
      <c r="L394" s="4">
        <v>1880.69</v>
      </c>
    </row>
    <row r="395" spans="1:12" x14ac:dyDescent="0.3">
      <c r="A395" t="s">
        <v>497</v>
      </c>
      <c r="B395" s="2">
        <v>45942</v>
      </c>
      <c r="C395" t="s">
        <v>27</v>
      </c>
      <c r="D395" t="s">
        <v>21</v>
      </c>
      <c r="E395" t="s">
        <v>105</v>
      </c>
      <c r="F395" t="s">
        <v>23</v>
      </c>
      <c r="G395" t="s">
        <v>58</v>
      </c>
      <c r="H395" t="s">
        <v>59</v>
      </c>
      <c r="I395">
        <v>2</v>
      </c>
      <c r="J395" s="3">
        <v>0.1</v>
      </c>
      <c r="K395" s="4">
        <v>37212.92</v>
      </c>
      <c r="L395" s="4">
        <v>5462.03</v>
      </c>
    </row>
    <row r="396" spans="1:12" x14ac:dyDescent="0.3">
      <c r="A396" t="s">
        <v>498</v>
      </c>
      <c r="B396" s="2">
        <v>45942</v>
      </c>
      <c r="C396" t="s">
        <v>95</v>
      </c>
      <c r="D396" t="s">
        <v>21</v>
      </c>
      <c r="E396" t="s">
        <v>22</v>
      </c>
      <c r="F396" t="s">
        <v>16</v>
      </c>
      <c r="G396" t="s">
        <v>68</v>
      </c>
      <c r="H396" t="s">
        <v>175</v>
      </c>
      <c r="I396">
        <v>1</v>
      </c>
      <c r="J396" s="3">
        <v>0.2</v>
      </c>
      <c r="K396" s="4">
        <v>11541.56</v>
      </c>
      <c r="L396" s="4">
        <v>1985.06</v>
      </c>
    </row>
    <row r="397" spans="1:12" x14ac:dyDescent="0.3">
      <c r="A397" t="s">
        <v>499</v>
      </c>
      <c r="B397" s="2">
        <v>45943</v>
      </c>
      <c r="C397" t="s">
        <v>138</v>
      </c>
      <c r="D397" t="s">
        <v>14</v>
      </c>
      <c r="E397" t="s">
        <v>114</v>
      </c>
      <c r="F397" t="s">
        <v>23</v>
      </c>
      <c r="G397" t="s">
        <v>48</v>
      </c>
      <c r="H397" t="s">
        <v>124</v>
      </c>
      <c r="I397">
        <v>5</v>
      </c>
      <c r="J397" s="3">
        <v>0.2</v>
      </c>
      <c r="K397" s="4">
        <v>193284.45</v>
      </c>
      <c r="L397" s="4">
        <v>25200.560000000001</v>
      </c>
    </row>
    <row r="398" spans="1:12" x14ac:dyDescent="0.3">
      <c r="A398" t="s">
        <v>500</v>
      </c>
      <c r="B398" s="2">
        <v>45944</v>
      </c>
      <c r="C398" t="s">
        <v>20</v>
      </c>
      <c r="D398" t="s">
        <v>14</v>
      </c>
      <c r="E398" t="s">
        <v>97</v>
      </c>
      <c r="F398" t="s">
        <v>16</v>
      </c>
      <c r="G398" t="s">
        <v>68</v>
      </c>
      <c r="H398" t="s">
        <v>175</v>
      </c>
      <c r="I398">
        <v>5</v>
      </c>
      <c r="J398" s="3">
        <v>0.05</v>
      </c>
      <c r="K398" s="4">
        <v>47393.8</v>
      </c>
      <c r="L398" s="4">
        <v>4668.21</v>
      </c>
    </row>
    <row r="399" spans="1:12" x14ac:dyDescent="0.3">
      <c r="A399" t="s">
        <v>501</v>
      </c>
      <c r="B399" s="2">
        <v>45946</v>
      </c>
      <c r="C399" t="s">
        <v>111</v>
      </c>
      <c r="D399" t="s">
        <v>14</v>
      </c>
      <c r="E399" t="s">
        <v>15</v>
      </c>
      <c r="F399" t="s">
        <v>23</v>
      </c>
      <c r="G399" t="s">
        <v>24</v>
      </c>
      <c r="H399" t="s">
        <v>129</v>
      </c>
      <c r="I399">
        <v>3</v>
      </c>
      <c r="J399" s="3">
        <v>0.15</v>
      </c>
      <c r="K399" s="4">
        <v>130540.53</v>
      </c>
      <c r="L399" s="4">
        <v>22465.88</v>
      </c>
    </row>
    <row r="400" spans="1:12" x14ac:dyDescent="0.3">
      <c r="A400" t="s">
        <v>502</v>
      </c>
      <c r="B400" s="2">
        <v>45946</v>
      </c>
      <c r="C400" t="s">
        <v>66</v>
      </c>
      <c r="D400" t="s">
        <v>21</v>
      </c>
      <c r="E400" t="s">
        <v>57</v>
      </c>
      <c r="F400" t="s">
        <v>23</v>
      </c>
      <c r="G400" t="s">
        <v>24</v>
      </c>
      <c r="H400" t="s">
        <v>132</v>
      </c>
      <c r="I400">
        <v>6</v>
      </c>
      <c r="J400" s="3">
        <v>0.2</v>
      </c>
      <c r="K400" s="4">
        <v>215591.7</v>
      </c>
      <c r="L400" s="4">
        <v>34289.89</v>
      </c>
    </row>
    <row r="401" spans="1:12" x14ac:dyDescent="0.3">
      <c r="A401" t="s">
        <v>503</v>
      </c>
      <c r="B401" s="2">
        <v>45946</v>
      </c>
      <c r="C401" t="s">
        <v>38</v>
      </c>
      <c r="D401" t="s">
        <v>21</v>
      </c>
      <c r="E401" t="s">
        <v>22</v>
      </c>
      <c r="F401" t="s">
        <v>23</v>
      </c>
      <c r="G401" t="s">
        <v>24</v>
      </c>
      <c r="H401" t="s">
        <v>132</v>
      </c>
      <c r="I401">
        <v>1</v>
      </c>
      <c r="J401" s="3">
        <v>0</v>
      </c>
      <c r="K401" s="4">
        <v>24434.21</v>
      </c>
      <c r="L401" s="4">
        <v>3519.64</v>
      </c>
    </row>
    <row r="402" spans="1:12" x14ac:dyDescent="0.3">
      <c r="A402" t="s">
        <v>504</v>
      </c>
      <c r="B402" s="2">
        <v>45947</v>
      </c>
      <c r="C402" t="s">
        <v>82</v>
      </c>
      <c r="D402" t="s">
        <v>21</v>
      </c>
      <c r="E402" t="s">
        <v>67</v>
      </c>
      <c r="F402" t="s">
        <v>23</v>
      </c>
      <c r="G402" t="s">
        <v>35</v>
      </c>
      <c r="H402" t="s">
        <v>155</v>
      </c>
      <c r="I402">
        <v>4</v>
      </c>
      <c r="J402" s="3">
        <v>0.15</v>
      </c>
      <c r="K402" s="4">
        <v>87928.16</v>
      </c>
      <c r="L402" s="4">
        <v>3087.36</v>
      </c>
    </row>
    <row r="403" spans="1:12" x14ac:dyDescent="0.3">
      <c r="A403" t="s">
        <v>505</v>
      </c>
      <c r="B403" s="2">
        <v>45949</v>
      </c>
      <c r="C403" t="s">
        <v>229</v>
      </c>
      <c r="D403" t="s">
        <v>33</v>
      </c>
      <c r="E403" t="s">
        <v>86</v>
      </c>
      <c r="F403" t="s">
        <v>23</v>
      </c>
      <c r="G403" t="s">
        <v>35</v>
      </c>
      <c r="H403" t="s">
        <v>155</v>
      </c>
      <c r="I403">
        <v>3</v>
      </c>
      <c r="J403" s="3">
        <v>0.15</v>
      </c>
      <c r="K403" s="4">
        <v>48986.61</v>
      </c>
      <c r="L403" s="4">
        <v>1781.83</v>
      </c>
    </row>
    <row r="404" spans="1:12" x14ac:dyDescent="0.3">
      <c r="A404" t="s">
        <v>506</v>
      </c>
      <c r="B404" s="2">
        <v>45950</v>
      </c>
      <c r="C404" t="s">
        <v>104</v>
      </c>
      <c r="D404" t="s">
        <v>33</v>
      </c>
      <c r="E404" t="s">
        <v>34</v>
      </c>
      <c r="F404" t="s">
        <v>16</v>
      </c>
      <c r="G404" t="s">
        <v>41</v>
      </c>
      <c r="H404" t="s">
        <v>42</v>
      </c>
      <c r="I404">
        <v>3</v>
      </c>
      <c r="J404" s="3">
        <v>0.1</v>
      </c>
      <c r="K404" s="4">
        <v>21805.11</v>
      </c>
      <c r="L404" s="4">
        <v>4331.22</v>
      </c>
    </row>
    <row r="405" spans="1:12" x14ac:dyDescent="0.3">
      <c r="A405" t="s">
        <v>507</v>
      </c>
      <c r="B405" s="2">
        <v>45950</v>
      </c>
      <c r="C405" t="s">
        <v>66</v>
      </c>
      <c r="D405" t="s">
        <v>33</v>
      </c>
      <c r="E405" t="s">
        <v>45</v>
      </c>
      <c r="F405" t="s">
        <v>23</v>
      </c>
      <c r="G405" t="s">
        <v>35</v>
      </c>
      <c r="H405" t="s">
        <v>36</v>
      </c>
      <c r="I405">
        <v>4</v>
      </c>
      <c r="J405" s="3">
        <v>0.15</v>
      </c>
      <c r="K405" s="4">
        <v>76220.44</v>
      </c>
      <c r="L405" s="4">
        <v>8637.58</v>
      </c>
    </row>
    <row r="406" spans="1:12" x14ac:dyDescent="0.3">
      <c r="A406" t="s">
        <v>508</v>
      </c>
      <c r="B406" s="2">
        <v>45950</v>
      </c>
      <c r="C406" t="s">
        <v>44</v>
      </c>
      <c r="D406" t="s">
        <v>14</v>
      </c>
      <c r="E406" t="s">
        <v>15</v>
      </c>
      <c r="F406" t="s">
        <v>28</v>
      </c>
      <c r="G406" t="s">
        <v>92</v>
      </c>
      <c r="H406" t="s">
        <v>204</v>
      </c>
      <c r="I406">
        <v>2</v>
      </c>
      <c r="J406" s="3">
        <v>0.1</v>
      </c>
      <c r="K406" s="4">
        <v>585.55999999999995</v>
      </c>
      <c r="L406" s="4">
        <v>71.36</v>
      </c>
    </row>
    <row r="407" spans="1:12" x14ac:dyDescent="0.3">
      <c r="A407" t="s">
        <v>509</v>
      </c>
      <c r="B407" s="2">
        <v>45950</v>
      </c>
      <c r="C407" t="s">
        <v>13</v>
      </c>
      <c r="D407" t="s">
        <v>21</v>
      </c>
      <c r="E407" t="s">
        <v>67</v>
      </c>
      <c r="F407" t="s">
        <v>16</v>
      </c>
      <c r="G407" t="s">
        <v>62</v>
      </c>
      <c r="H407" t="s">
        <v>180</v>
      </c>
      <c r="I407">
        <v>1</v>
      </c>
      <c r="J407" s="3">
        <v>0</v>
      </c>
      <c r="K407" s="4">
        <v>10968.9</v>
      </c>
      <c r="L407" s="4">
        <v>1081.6400000000001</v>
      </c>
    </row>
    <row r="408" spans="1:12" x14ac:dyDescent="0.3">
      <c r="A408" t="s">
        <v>510</v>
      </c>
      <c r="B408" s="2">
        <v>45951</v>
      </c>
      <c r="C408" t="s">
        <v>77</v>
      </c>
      <c r="D408" t="s">
        <v>21</v>
      </c>
      <c r="E408" t="s">
        <v>57</v>
      </c>
      <c r="F408" t="s">
        <v>16</v>
      </c>
      <c r="G408" t="s">
        <v>62</v>
      </c>
      <c r="H408" t="s">
        <v>180</v>
      </c>
      <c r="I408">
        <v>7</v>
      </c>
      <c r="J408" s="3">
        <v>0</v>
      </c>
      <c r="K408" s="4">
        <v>50452.92</v>
      </c>
      <c r="L408" s="4">
        <v>6955.59</v>
      </c>
    </row>
    <row r="409" spans="1:12" x14ac:dyDescent="0.3">
      <c r="A409" t="s">
        <v>511</v>
      </c>
      <c r="B409" s="2">
        <v>45951</v>
      </c>
      <c r="C409" t="s">
        <v>150</v>
      </c>
      <c r="D409" t="s">
        <v>21</v>
      </c>
      <c r="E409" t="s">
        <v>57</v>
      </c>
      <c r="F409" t="s">
        <v>23</v>
      </c>
      <c r="G409" t="s">
        <v>24</v>
      </c>
      <c r="H409" t="s">
        <v>25</v>
      </c>
      <c r="I409">
        <v>2</v>
      </c>
      <c r="J409" s="3">
        <v>0.15</v>
      </c>
      <c r="K409" s="4">
        <v>31114.3</v>
      </c>
      <c r="L409" s="4">
        <v>4737.47</v>
      </c>
    </row>
    <row r="410" spans="1:12" x14ac:dyDescent="0.3">
      <c r="A410" t="s">
        <v>512</v>
      </c>
      <c r="B410" s="2">
        <v>45951</v>
      </c>
      <c r="C410" t="s">
        <v>229</v>
      </c>
      <c r="D410" t="s">
        <v>21</v>
      </c>
      <c r="E410" t="s">
        <v>105</v>
      </c>
      <c r="F410" t="s">
        <v>16</v>
      </c>
      <c r="G410" t="s">
        <v>68</v>
      </c>
      <c r="H410" t="s">
        <v>83</v>
      </c>
      <c r="I410">
        <v>2</v>
      </c>
      <c r="J410" s="3">
        <v>0.1</v>
      </c>
      <c r="K410" s="4">
        <v>15642.82</v>
      </c>
      <c r="L410" s="4">
        <v>945.93</v>
      </c>
    </row>
    <row r="411" spans="1:12" x14ac:dyDescent="0.3">
      <c r="A411" t="s">
        <v>513</v>
      </c>
      <c r="B411" s="2">
        <v>45952</v>
      </c>
      <c r="C411" t="s">
        <v>66</v>
      </c>
      <c r="D411" t="s">
        <v>14</v>
      </c>
      <c r="E411" t="s">
        <v>114</v>
      </c>
      <c r="F411" t="s">
        <v>16</v>
      </c>
      <c r="G411" t="s">
        <v>62</v>
      </c>
      <c r="H411" t="s">
        <v>180</v>
      </c>
      <c r="I411">
        <v>3</v>
      </c>
      <c r="J411" s="3">
        <v>0.2</v>
      </c>
      <c r="K411" s="4">
        <v>27804.42</v>
      </c>
      <c r="L411" s="4">
        <v>4484.3</v>
      </c>
    </row>
    <row r="412" spans="1:12" x14ac:dyDescent="0.3">
      <c r="A412" t="s">
        <v>514</v>
      </c>
      <c r="B412" s="2">
        <v>45952</v>
      </c>
      <c r="C412" t="s">
        <v>229</v>
      </c>
      <c r="D412" t="s">
        <v>14</v>
      </c>
      <c r="E412" t="s">
        <v>15</v>
      </c>
      <c r="F412" t="s">
        <v>23</v>
      </c>
      <c r="G412" t="s">
        <v>48</v>
      </c>
      <c r="H412" t="s">
        <v>124</v>
      </c>
      <c r="I412">
        <v>3</v>
      </c>
      <c r="J412" s="3">
        <v>0</v>
      </c>
      <c r="K412" s="4">
        <v>66879.149999999994</v>
      </c>
      <c r="L412" s="4">
        <v>5430.25</v>
      </c>
    </row>
    <row r="413" spans="1:12" x14ac:dyDescent="0.3">
      <c r="A413" t="s">
        <v>515</v>
      </c>
      <c r="B413" s="2">
        <v>45953</v>
      </c>
      <c r="C413" t="s">
        <v>77</v>
      </c>
      <c r="D413" t="s">
        <v>14</v>
      </c>
      <c r="E413" t="s">
        <v>114</v>
      </c>
      <c r="F413" t="s">
        <v>16</v>
      </c>
      <c r="G413" t="s">
        <v>62</v>
      </c>
      <c r="H413" t="s">
        <v>63</v>
      </c>
      <c r="I413">
        <v>4</v>
      </c>
      <c r="J413" s="3">
        <v>0.1</v>
      </c>
      <c r="K413" s="4">
        <v>42524.76</v>
      </c>
      <c r="L413" s="4">
        <v>3440.65</v>
      </c>
    </row>
    <row r="414" spans="1:12" x14ac:dyDescent="0.3">
      <c r="A414" t="s">
        <v>516</v>
      </c>
      <c r="B414" s="2">
        <v>45956</v>
      </c>
      <c r="C414" t="s">
        <v>38</v>
      </c>
      <c r="D414" t="s">
        <v>21</v>
      </c>
      <c r="E414" t="s">
        <v>22</v>
      </c>
      <c r="F414" t="s">
        <v>23</v>
      </c>
      <c r="G414" t="s">
        <v>35</v>
      </c>
      <c r="H414" t="s">
        <v>155</v>
      </c>
      <c r="I414">
        <v>7</v>
      </c>
      <c r="J414" s="3">
        <v>0.05</v>
      </c>
      <c r="K414" s="4">
        <v>106713.04</v>
      </c>
      <c r="L414" s="4">
        <v>21366.01</v>
      </c>
    </row>
    <row r="415" spans="1:12" x14ac:dyDescent="0.3">
      <c r="A415" t="s">
        <v>517</v>
      </c>
      <c r="B415" s="2">
        <v>45957</v>
      </c>
      <c r="C415" t="s">
        <v>100</v>
      </c>
      <c r="D415" t="s">
        <v>33</v>
      </c>
      <c r="E415" t="s">
        <v>140</v>
      </c>
      <c r="F415" t="s">
        <v>23</v>
      </c>
      <c r="G415" t="s">
        <v>35</v>
      </c>
      <c r="H415" t="s">
        <v>155</v>
      </c>
      <c r="I415">
        <v>7</v>
      </c>
      <c r="J415" s="3">
        <v>0</v>
      </c>
      <c r="K415" s="4">
        <v>193238.64</v>
      </c>
      <c r="L415" s="4">
        <v>34527.78</v>
      </c>
    </row>
    <row r="416" spans="1:12" x14ac:dyDescent="0.3">
      <c r="A416" t="s">
        <v>518</v>
      </c>
      <c r="B416" s="2">
        <v>45958</v>
      </c>
      <c r="C416" t="s">
        <v>44</v>
      </c>
      <c r="D416" t="s">
        <v>14</v>
      </c>
      <c r="E416" t="s">
        <v>15</v>
      </c>
      <c r="F416" t="s">
        <v>16</v>
      </c>
      <c r="G416" t="s">
        <v>62</v>
      </c>
      <c r="H416" t="s">
        <v>180</v>
      </c>
      <c r="I416">
        <v>2</v>
      </c>
      <c r="J416" s="3">
        <v>0.05</v>
      </c>
      <c r="K416" s="4">
        <v>5642.62</v>
      </c>
      <c r="L416" s="4">
        <v>533.34</v>
      </c>
    </row>
    <row r="417" spans="1:12" x14ac:dyDescent="0.3">
      <c r="A417" t="s">
        <v>519</v>
      </c>
      <c r="B417" s="2">
        <v>45958</v>
      </c>
      <c r="C417" t="s">
        <v>27</v>
      </c>
      <c r="D417" t="s">
        <v>21</v>
      </c>
      <c r="E417" t="s">
        <v>22</v>
      </c>
      <c r="F417" t="s">
        <v>23</v>
      </c>
      <c r="G417" t="s">
        <v>48</v>
      </c>
      <c r="H417" t="s">
        <v>118</v>
      </c>
      <c r="I417">
        <v>2</v>
      </c>
      <c r="J417" s="3">
        <v>0</v>
      </c>
      <c r="K417" s="4">
        <v>80261.98</v>
      </c>
      <c r="L417" s="4">
        <v>15805.46</v>
      </c>
    </row>
    <row r="418" spans="1:12" x14ac:dyDescent="0.3">
      <c r="A418" t="s">
        <v>520</v>
      </c>
      <c r="B418" s="2">
        <v>45959</v>
      </c>
      <c r="C418" t="s">
        <v>95</v>
      </c>
      <c r="D418" t="s">
        <v>21</v>
      </c>
      <c r="E418" t="s">
        <v>105</v>
      </c>
      <c r="F418" t="s">
        <v>16</v>
      </c>
      <c r="G418" t="s">
        <v>17</v>
      </c>
      <c r="H418" t="s">
        <v>18</v>
      </c>
      <c r="I418">
        <v>5</v>
      </c>
      <c r="J418" s="3">
        <v>0.1</v>
      </c>
      <c r="K418" s="4">
        <v>7930.45</v>
      </c>
      <c r="L418" s="4">
        <v>810.6</v>
      </c>
    </row>
    <row r="419" spans="1:12" x14ac:dyDescent="0.3">
      <c r="A419" t="s">
        <v>521</v>
      </c>
      <c r="B419" s="2">
        <v>45960</v>
      </c>
      <c r="C419" t="s">
        <v>51</v>
      </c>
      <c r="D419" t="s">
        <v>33</v>
      </c>
      <c r="E419" t="s">
        <v>140</v>
      </c>
      <c r="F419" t="s">
        <v>28</v>
      </c>
      <c r="G419" t="s">
        <v>71</v>
      </c>
      <c r="H419" t="s">
        <v>72</v>
      </c>
      <c r="I419">
        <v>6</v>
      </c>
      <c r="J419" s="3">
        <v>0.1</v>
      </c>
      <c r="K419" s="4">
        <v>28770.240000000002</v>
      </c>
      <c r="L419" s="4">
        <v>4875.93</v>
      </c>
    </row>
    <row r="420" spans="1:12" x14ac:dyDescent="0.3">
      <c r="A420" t="s">
        <v>522</v>
      </c>
      <c r="B420" s="2">
        <v>45961</v>
      </c>
      <c r="C420" t="s">
        <v>147</v>
      </c>
      <c r="D420" t="s">
        <v>39</v>
      </c>
      <c r="E420" t="s">
        <v>52</v>
      </c>
      <c r="F420" t="s">
        <v>28</v>
      </c>
      <c r="G420" t="s">
        <v>92</v>
      </c>
      <c r="H420" t="s">
        <v>204</v>
      </c>
      <c r="I420">
        <v>3</v>
      </c>
      <c r="J420" s="3">
        <v>0.05</v>
      </c>
      <c r="K420" s="4">
        <v>531.41999999999996</v>
      </c>
      <c r="L420" s="4">
        <v>97.01</v>
      </c>
    </row>
    <row r="421" spans="1:12" x14ac:dyDescent="0.3">
      <c r="A421" t="s">
        <v>523</v>
      </c>
      <c r="B421" s="2">
        <v>45961</v>
      </c>
      <c r="C421" t="s">
        <v>104</v>
      </c>
      <c r="D421" t="s">
        <v>33</v>
      </c>
      <c r="E421" t="s">
        <v>140</v>
      </c>
      <c r="F421" t="s">
        <v>23</v>
      </c>
      <c r="G421" t="s">
        <v>35</v>
      </c>
      <c r="H421" t="s">
        <v>155</v>
      </c>
      <c r="I421">
        <v>7</v>
      </c>
      <c r="J421" s="3">
        <v>0.1</v>
      </c>
      <c r="K421" s="4">
        <v>189372.75</v>
      </c>
      <c r="L421" s="4">
        <v>33145.94</v>
      </c>
    </row>
    <row r="422" spans="1:12" x14ac:dyDescent="0.3">
      <c r="A422" t="s">
        <v>524</v>
      </c>
      <c r="B422" s="2">
        <v>45962</v>
      </c>
      <c r="C422" t="s">
        <v>77</v>
      </c>
      <c r="D422" t="s">
        <v>39</v>
      </c>
      <c r="E422" t="s">
        <v>40</v>
      </c>
      <c r="F422" t="s">
        <v>23</v>
      </c>
      <c r="G422" t="s">
        <v>35</v>
      </c>
      <c r="H422" t="s">
        <v>155</v>
      </c>
      <c r="I422">
        <v>3</v>
      </c>
      <c r="J422" s="3">
        <v>0.05</v>
      </c>
      <c r="K422" s="4">
        <v>35945.01</v>
      </c>
      <c r="L422" s="4">
        <v>5833.89</v>
      </c>
    </row>
    <row r="423" spans="1:12" x14ac:dyDescent="0.3">
      <c r="A423" t="s">
        <v>525</v>
      </c>
      <c r="B423" s="2">
        <v>45965</v>
      </c>
      <c r="C423" t="s">
        <v>111</v>
      </c>
      <c r="D423" t="s">
        <v>39</v>
      </c>
      <c r="E423" t="s">
        <v>40</v>
      </c>
      <c r="F423" t="s">
        <v>23</v>
      </c>
      <c r="G423" t="s">
        <v>35</v>
      </c>
      <c r="H423" t="s">
        <v>36</v>
      </c>
      <c r="I423">
        <v>7</v>
      </c>
      <c r="J423" s="3">
        <v>0.15</v>
      </c>
      <c r="K423" s="4">
        <v>109762.94</v>
      </c>
      <c r="L423" s="4">
        <v>8351.1200000000008</v>
      </c>
    </row>
    <row r="424" spans="1:12" x14ac:dyDescent="0.3">
      <c r="A424" t="s">
        <v>526</v>
      </c>
      <c r="B424" s="2">
        <v>45966</v>
      </c>
      <c r="C424" t="s">
        <v>56</v>
      </c>
      <c r="D424" t="s">
        <v>14</v>
      </c>
      <c r="E424" t="s">
        <v>54</v>
      </c>
      <c r="F424" t="s">
        <v>16</v>
      </c>
      <c r="G424" t="s">
        <v>17</v>
      </c>
      <c r="H424" t="s">
        <v>88</v>
      </c>
      <c r="I424">
        <v>7</v>
      </c>
      <c r="J424" s="3">
        <v>0.05</v>
      </c>
      <c r="K424" s="4">
        <v>40022.36</v>
      </c>
      <c r="L424" s="4">
        <v>7679.25</v>
      </c>
    </row>
    <row r="425" spans="1:12" x14ac:dyDescent="0.3">
      <c r="A425" t="s">
        <v>527</v>
      </c>
      <c r="B425" s="2">
        <v>45966</v>
      </c>
      <c r="C425" t="s">
        <v>56</v>
      </c>
      <c r="D425" t="s">
        <v>39</v>
      </c>
      <c r="E425" t="s">
        <v>47</v>
      </c>
      <c r="F425" t="s">
        <v>16</v>
      </c>
      <c r="G425" t="s">
        <v>17</v>
      </c>
      <c r="H425" t="s">
        <v>18</v>
      </c>
      <c r="I425">
        <v>3</v>
      </c>
      <c r="J425" s="3">
        <v>0.1</v>
      </c>
      <c r="K425" s="4">
        <v>20228.310000000001</v>
      </c>
      <c r="L425" s="4">
        <v>3068.84</v>
      </c>
    </row>
    <row r="426" spans="1:12" x14ac:dyDescent="0.3">
      <c r="A426" t="s">
        <v>528</v>
      </c>
      <c r="B426" s="2">
        <v>45966</v>
      </c>
      <c r="C426" t="s">
        <v>95</v>
      </c>
      <c r="D426" t="s">
        <v>33</v>
      </c>
      <c r="E426" t="s">
        <v>34</v>
      </c>
      <c r="F426" t="s">
        <v>16</v>
      </c>
      <c r="G426" t="s">
        <v>41</v>
      </c>
      <c r="H426" t="s">
        <v>42</v>
      </c>
      <c r="I426">
        <v>4</v>
      </c>
      <c r="J426" s="3">
        <v>0.05</v>
      </c>
      <c r="K426" s="4">
        <v>45173.440000000002</v>
      </c>
      <c r="L426" s="4">
        <v>4219.66</v>
      </c>
    </row>
    <row r="427" spans="1:12" x14ac:dyDescent="0.3">
      <c r="A427" t="s">
        <v>529</v>
      </c>
      <c r="B427" s="2">
        <v>45967</v>
      </c>
      <c r="C427" t="s">
        <v>82</v>
      </c>
      <c r="D427" t="s">
        <v>39</v>
      </c>
      <c r="E427" t="s">
        <v>40</v>
      </c>
      <c r="F427" t="s">
        <v>16</v>
      </c>
      <c r="G427" t="s">
        <v>41</v>
      </c>
      <c r="H427" t="s">
        <v>42</v>
      </c>
      <c r="I427">
        <v>4</v>
      </c>
      <c r="J427" s="3">
        <v>0.05</v>
      </c>
      <c r="K427" s="4">
        <v>14781.24</v>
      </c>
      <c r="L427" s="4">
        <v>3289.07</v>
      </c>
    </row>
    <row r="428" spans="1:12" x14ac:dyDescent="0.3">
      <c r="A428" t="s">
        <v>530</v>
      </c>
      <c r="B428" s="2">
        <v>45967</v>
      </c>
      <c r="C428" t="s">
        <v>82</v>
      </c>
      <c r="D428" t="s">
        <v>39</v>
      </c>
      <c r="E428" t="s">
        <v>128</v>
      </c>
      <c r="F428" t="s">
        <v>16</v>
      </c>
      <c r="G428" t="s">
        <v>17</v>
      </c>
      <c r="H428" t="s">
        <v>153</v>
      </c>
      <c r="I428">
        <v>6</v>
      </c>
      <c r="J428" s="3">
        <v>0.2</v>
      </c>
      <c r="K428" s="4">
        <v>17886.12</v>
      </c>
      <c r="L428" s="4">
        <v>2471.5700000000002</v>
      </c>
    </row>
    <row r="429" spans="1:12" x14ac:dyDescent="0.3">
      <c r="A429" t="s">
        <v>531</v>
      </c>
      <c r="B429" s="2">
        <v>45967</v>
      </c>
      <c r="C429" t="s">
        <v>138</v>
      </c>
      <c r="D429" t="s">
        <v>39</v>
      </c>
      <c r="E429" t="s">
        <v>40</v>
      </c>
      <c r="F429" t="s">
        <v>28</v>
      </c>
      <c r="G429" t="s">
        <v>92</v>
      </c>
      <c r="H429" t="s">
        <v>93</v>
      </c>
      <c r="I429">
        <v>1</v>
      </c>
      <c r="J429" s="3">
        <v>0</v>
      </c>
      <c r="K429" s="4">
        <v>1709.07</v>
      </c>
      <c r="L429" s="4">
        <v>243.2</v>
      </c>
    </row>
    <row r="430" spans="1:12" x14ac:dyDescent="0.3">
      <c r="A430" t="s">
        <v>532</v>
      </c>
      <c r="B430" s="2">
        <v>45968</v>
      </c>
      <c r="C430" t="s">
        <v>111</v>
      </c>
      <c r="D430" t="s">
        <v>14</v>
      </c>
      <c r="E430" t="s">
        <v>15</v>
      </c>
      <c r="F430" t="s">
        <v>23</v>
      </c>
      <c r="G430" t="s">
        <v>35</v>
      </c>
      <c r="H430" t="s">
        <v>36</v>
      </c>
      <c r="I430">
        <v>3</v>
      </c>
      <c r="J430" s="3">
        <v>0.15</v>
      </c>
      <c r="K430" s="4">
        <v>118454.34</v>
      </c>
      <c r="L430" s="4">
        <v>20402.84</v>
      </c>
    </row>
    <row r="431" spans="1:12" x14ac:dyDescent="0.3">
      <c r="A431" t="s">
        <v>533</v>
      </c>
      <c r="B431" s="2">
        <v>45968</v>
      </c>
      <c r="C431" t="s">
        <v>179</v>
      </c>
      <c r="D431" t="s">
        <v>14</v>
      </c>
      <c r="E431" t="s">
        <v>97</v>
      </c>
      <c r="F431" t="s">
        <v>16</v>
      </c>
      <c r="G431" t="s">
        <v>68</v>
      </c>
      <c r="H431" t="s">
        <v>175</v>
      </c>
      <c r="I431">
        <v>2</v>
      </c>
      <c r="J431" s="3">
        <v>0</v>
      </c>
      <c r="K431" s="4">
        <v>1299.04</v>
      </c>
      <c r="L431" s="4">
        <v>149.83000000000001</v>
      </c>
    </row>
    <row r="432" spans="1:12" x14ac:dyDescent="0.3">
      <c r="A432" t="s">
        <v>534</v>
      </c>
      <c r="B432" s="2">
        <v>45970</v>
      </c>
      <c r="C432" t="s">
        <v>66</v>
      </c>
      <c r="D432" t="s">
        <v>33</v>
      </c>
      <c r="E432" t="s">
        <v>34</v>
      </c>
      <c r="F432" t="s">
        <v>28</v>
      </c>
      <c r="G432" t="s">
        <v>29</v>
      </c>
      <c r="H432" t="s">
        <v>30</v>
      </c>
      <c r="I432">
        <v>5</v>
      </c>
      <c r="J432" s="3">
        <v>0.15</v>
      </c>
      <c r="K432" s="4">
        <v>5259.7</v>
      </c>
      <c r="L432" s="4">
        <v>937.41</v>
      </c>
    </row>
    <row r="433" spans="1:12" x14ac:dyDescent="0.3">
      <c r="A433" t="s">
        <v>535</v>
      </c>
      <c r="B433" s="2">
        <v>45970</v>
      </c>
      <c r="C433" t="s">
        <v>77</v>
      </c>
      <c r="D433" t="s">
        <v>39</v>
      </c>
      <c r="E433" t="s">
        <v>40</v>
      </c>
      <c r="F433" t="s">
        <v>16</v>
      </c>
      <c r="G433" t="s">
        <v>17</v>
      </c>
      <c r="H433" t="s">
        <v>153</v>
      </c>
      <c r="I433">
        <v>2</v>
      </c>
      <c r="J433" s="3">
        <v>0.2</v>
      </c>
      <c r="K433" s="4">
        <v>19562.64</v>
      </c>
      <c r="L433" s="4">
        <v>668.44</v>
      </c>
    </row>
    <row r="434" spans="1:12" x14ac:dyDescent="0.3">
      <c r="A434" t="s">
        <v>536</v>
      </c>
      <c r="B434" s="2">
        <v>45971</v>
      </c>
      <c r="C434" t="s">
        <v>143</v>
      </c>
      <c r="D434" t="s">
        <v>14</v>
      </c>
      <c r="E434" t="s">
        <v>114</v>
      </c>
      <c r="F434" t="s">
        <v>23</v>
      </c>
      <c r="G434" t="s">
        <v>58</v>
      </c>
      <c r="H434" t="s">
        <v>59</v>
      </c>
      <c r="I434">
        <v>3</v>
      </c>
      <c r="J434" s="3">
        <v>0.05</v>
      </c>
      <c r="K434" s="4">
        <v>90192.960000000006</v>
      </c>
      <c r="L434" s="4">
        <v>19206.04</v>
      </c>
    </row>
    <row r="435" spans="1:12" x14ac:dyDescent="0.3">
      <c r="A435" t="s">
        <v>537</v>
      </c>
      <c r="B435" s="2">
        <v>45971</v>
      </c>
      <c r="C435" t="s">
        <v>147</v>
      </c>
      <c r="D435" t="s">
        <v>14</v>
      </c>
      <c r="E435" t="s">
        <v>54</v>
      </c>
      <c r="F435" t="s">
        <v>16</v>
      </c>
      <c r="G435" t="s">
        <v>17</v>
      </c>
      <c r="H435" t="s">
        <v>88</v>
      </c>
      <c r="I435">
        <v>2</v>
      </c>
      <c r="J435" s="3">
        <v>0.05</v>
      </c>
      <c r="K435" s="4">
        <v>4334.2</v>
      </c>
      <c r="L435" s="4">
        <v>411.76</v>
      </c>
    </row>
    <row r="436" spans="1:12" x14ac:dyDescent="0.3">
      <c r="A436" t="s">
        <v>538</v>
      </c>
      <c r="B436" s="2">
        <v>45972</v>
      </c>
      <c r="C436" t="s">
        <v>38</v>
      </c>
      <c r="D436" t="s">
        <v>33</v>
      </c>
      <c r="E436" t="s">
        <v>140</v>
      </c>
      <c r="F436" t="s">
        <v>16</v>
      </c>
      <c r="G436" t="s">
        <v>62</v>
      </c>
      <c r="H436" t="s">
        <v>167</v>
      </c>
      <c r="I436">
        <v>1</v>
      </c>
      <c r="J436" s="3">
        <v>0</v>
      </c>
      <c r="K436" s="4">
        <v>5144.12</v>
      </c>
      <c r="L436" s="4">
        <v>633.58000000000004</v>
      </c>
    </row>
    <row r="437" spans="1:12" x14ac:dyDescent="0.3">
      <c r="A437" t="s">
        <v>539</v>
      </c>
      <c r="B437" s="2">
        <v>45973</v>
      </c>
      <c r="C437" t="s">
        <v>13</v>
      </c>
      <c r="D437" t="s">
        <v>33</v>
      </c>
      <c r="E437" t="s">
        <v>86</v>
      </c>
      <c r="F437" t="s">
        <v>16</v>
      </c>
      <c r="G437" t="s">
        <v>17</v>
      </c>
      <c r="H437" t="s">
        <v>88</v>
      </c>
      <c r="I437">
        <v>7</v>
      </c>
      <c r="J437" s="3">
        <v>0.2</v>
      </c>
      <c r="K437" s="4">
        <v>3851.26</v>
      </c>
      <c r="L437" s="4">
        <v>505.35</v>
      </c>
    </row>
    <row r="438" spans="1:12" x14ac:dyDescent="0.3">
      <c r="A438" t="s">
        <v>540</v>
      </c>
      <c r="B438" s="2">
        <v>45973</v>
      </c>
      <c r="C438" t="s">
        <v>150</v>
      </c>
      <c r="D438" t="s">
        <v>33</v>
      </c>
      <c r="E438" t="s">
        <v>86</v>
      </c>
      <c r="F438" t="s">
        <v>23</v>
      </c>
      <c r="G438" t="s">
        <v>48</v>
      </c>
      <c r="H438" t="s">
        <v>118</v>
      </c>
      <c r="I438">
        <v>6</v>
      </c>
      <c r="J438" s="3">
        <v>0</v>
      </c>
      <c r="K438" s="4">
        <v>156774.06</v>
      </c>
      <c r="L438" s="4">
        <v>30201.84</v>
      </c>
    </row>
    <row r="439" spans="1:12" x14ac:dyDescent="0.3">
      <c r="A439" t="s">
        <v>541</v>
      </c>
      <c r="B439" s="2">
        <v>45974</v>
      </c>
      <c r="C439" t="s">
        <v>179</v>
      </c>
      <c r="D439" t="s">
        <v>21</v>
      </c>
      <c r="E439" t="s">
        <v>57</v>
      </c>
      <c r="F439" t="s">
        <v>23</v>
      </c>
      <c r="G439" t="s">
        <v>35</v>
      </c>
      <c r="H439" t="s">
        <v>155</v>
      </c>
      <c r="I439">
        <v>3</v>
      </c>
      <c r="J439" s="3">
        <v>0</v>
      </c>
      <c r="K439" s="4">
        <v>86827.83</v>
      </c>
      <c r="L439" s="4">
        <v>7589.85</v>
      </c>
    </row>
    <row r="440" spans="1:12" x14ac:dyDescent="0.3">
      <c r="A440" t="s">
        <v>542</v>
      </c>
      <c r="B440" s="2">
        <v>45974</v>
      </c>
      <c r="C440" t="s">
        <v>32</v>
      </c>
      <c r="D440" t="s">
        <v>21</v>
      </c>
      <c r="E440" t="s">
        <v>22</v>
      </c>
      <c r="F440" t="s">
        <v>16</v>
      </c>
      <c r="G440" t="s">
        <v>17</v>
      </c>
      <c r="H440" t="s">
        <v>18</v>
      </c>
      <c r="I440">
        <v>3</v>
      </c>
      <c r="J440" s="3">
        <v>0</v>
      </c>
      <c r="K440" s="4">
        <v>2589.7199999999998</v>
      </c>
      <c r="L440" s="4">
        <v>230.06</v>
      </c>
    </row>
    <row r="441" spans="1:12" x14ac:dyDescent="0.3">
      <c r="A441" t="s">
        <v>543</v>
      </c>
      <c r="B441" s="2">
        <v>45975</v>
      </c>
      <c r="C441" t="s">
        <v>82</v>
      </c>
      <c r="D441" t="s">
        <v>39</v>
      </c>
      <c r="E441" t="s">
        <v>52</v>
      </c>
      <c r="F441" t="s">
        <v>16</v>
      </c>
      <c r="G441" t="s">
        <v>41</v>
      </c>
      <c r="H441" t="s">
        <v>42</v>
      </c>
      <c r="I441">
        <v>7</v>
      </c>
      <c r="J441" s="3">
        <v>0.1</v>
      </c>
      <c r="K441" s="4">
        <v>71306.27</v>
      </c>
      <c r="L441" s="4">
        <v>9566.94</v>
      </c>
    </row>
    <row r="442" spans="1:12" x14ac:dyDescent="0.3">
      <c r="A442" t="s">
        <v>544</v>
      </c>
      <c r="B442" s="2">
        <v>45975</v>
      </c>
      <c r="C442" t="s">
        <v>77</v>
      </c>
      <c r="D442" t="s">
        <v>21</v>
      </c>
      <c r="E442" t="s">
        <v>67</v>
      </c>
      <c r="F442" t="s">
        <v>23</v>
      </c>
      <c r="G442" t="s">
        <v>58</v>
      </c>
      <c r="H442" t="s">
        <v>59</v>
      </c>
      <c r="I442">
        <v>6</v>
      </c>
      <c r="J442" s="3">
        <v>0.1</v>
      </c>
      <c r="K442" s="4">
        <v>209184.36</v>
      </c>
      <c r="L442" s="4">
        <v>42807.83</v>
      </c>
    </row>
    <row r="443" spans="1:12" x14ac:dyDescent="0.3">
      <c r="A443" t="s">
        <v>545</v>
      </c>
      <c r="B443" s="2">
        <v>45975</v>
      </c>
      <c r="C443" t="s">
        <v>27</v>
      </c>
      <c r="D443" t="s">
        <v>39</v>
      </c>
      <c r="E443" t="s">
        <v>47</v>
      </c>
      <c r="F443" t="s">
        <v>16</v>
      </c>
      <c r="G443" t="s">
        <v>68</v>
      </c>
      <c r="H443" t="s">
        <v>69</v>
      </c>
      <c r="I443">
        <v>1</v>
      </c>
      <c r="J443" s="3">
        <v>0.15</v>
      </c>
      <c r="K443" s="4">
        <v>7289.96</v>
      </c>
      <c r="L443" s="4">
        <v>848.02</v>
      </c>
    </row>
    <row r="444" spans="1:12" x14ac:dyDescent="0.3">
      <c r="A444" t="s">
        <v>546</v>
      </c>
      <c r="B444" s="2">
        <v>45976</v>
      </c>
      <c r="C444" t="s">
        <v>38</v>
      </c>
      <c r="D444" t="s">
        <v>14</v>
      </c>
      <c r="E444" t="s">
        <v>54</v>
      </c>
      <c r="F444" t="s">
        <v>23</v>
      </c>
      <c r="G444" t="s">
        <v>35</v>
      </c>
      <c r="H444" t="s">
        <v>155</v>
      </c>
      <c r="I444">
        <v>6</v>
      </c>
      <c r="J444" s="3">
        <v>0.05</v>
      </c>
      <c r="K444" s="4">
        <v>101013.18</v>
      </c>
      <c r="L444" s="4">
        <v>20009.2</v>
      </c>
    </row>
    <row r="445" spans="1:12" x14ac:dyDescent="0.3">
      <c r="A445" t="s">
        <v>547</v>
      </c>
      <c r="B445" s="2">
        <v>45978</v>
      </c>
      <c r="C445" t="s">
        <v>77</v>
      </c>
      <c r="D445" t="s">
        <v>33</v>
      </c>
      <c r="E445" t="s">
        <v>34</v>
      </c>
      <c r="F445" t="s">
        <v>23</v>
      </c>
      <c r="G445" t="s">
        <v>58</v>
      </c>
      <c r="H445" t="s">
        <v>101</v>
      </c>
      <c r="I445">
        <v>7</v>
      </c>
      <c r="J445" s="3">
        <v>0.15</v>
      </c>
      <c r="K445" s="4">
        <v>321582.09999999998</v>
      </c>
      <c r="L445" s="4">
        <v>38299.85</v>
      </c>
    </row>
    <row r="446" spans="1:12" x14ac:dyDescent="0.3">
      <c r="A446" t="s">
        <v>548</v>
      </c>
      <c r="B446" s="2">
        <v>45979</v>
      </c>
      <c r="C446" t="s">
        <v>44</v>
      </c>
      <c r="D446" t="s">
        <v>14</v>
      </c>
      <c r="E446" t="s">
        <v>97</v>
      </c>
      <c r="F446" t="s">
        <v>28</v>
      </c>
      <c r="G446" t="s">
        <v>71</v>
      </c>
      <c r="H446" t="s">
        <v>121</v>
      </c>
      <c r="I446">
        <v>4</v>
      </c>
      <c r="J446" s="3">
        <v>0</v>
      </c>
      <c r="K446" s="4">
        <v>18380.96</v>
      </c>
      <c r="L446" s="4">
        <v>3003.95</v>
      </c>
    </row>
    <row r="447" spans="1:12" x14ac:dyDescent="0.3">
      <c r="A447" t="s">
        <v>549</v>
      </c>
      <c r="B447" s="2">
        <v>45980</v>
      </c>
      <c r="C447" t="s">
        <v>61</v>
      </c>
      <c r="D447" t="s">
        <v>33</v>
      </c>
      <c r="E447" t="s">
        <v>86</v>
      </c>
      <c r="F447" t="s">
        <v>23</v>
      </c>
      <c r="G447" t="s">
        <v>35</v>
      </c>
      <c r="H447" t="s">
        <v>36</v>
      </c>
      <c r="I447">
        <v>3</v>
      </c>
      <c r="J447" s="3">
        <v>0.15</v>
      </c>
      <c r="K447" s="4">
        <v>107616.06</v>
      </c>
      <c r="L447" s="4">
        <v>8893.26</v>
      </c>
    </row>
    <row r="448" spans="1:12" x14ac:dyDescent="0.3">
      <c r="A448" t="s">
        <v>550</v>
      </c>
      <c r="B448" s="2">
        <v>45980</v>
      </c>
      <c r="C448" t="s">
        <v>44</v>
      </c>
      <c r="D448" t="s">
        <v>33</v>
      </c>
      <c r="E448" t="s">
        <v>34</v>
      </c>
      <c r="F448" t="s">
        <v>23</v>
      </c>
      <c r="G448" t="s">
        <v>58</v>
      </c>
      <c r="H448" t="s">
        <v>90</v>
      </c>
      <c r="I448">
        <v>4</v>
      </c>
      <c r="J448" s="3">
        <v>0.1</v>
      </c>
      <c r="K448" s="4">
        <v>151639.35999999999</v>
      </c>
      <c r="L448" s="4">
        <v>8311.2800000000007</v>
      </c>
    </row>
    <row r="449" spans="1:12" x14ac:dyDescent="0.3">
      <c r="A449" t="s">
        <v>551</v>
      </c>
      <c r="B449" s="2">
        <v>45981</v>
      </c>
      <c r="C449" t="s">
        <v>32</v>
      </c>
      <c r="D449" t="s">
        <v>14</v>
      </c>
      <c r="E449" t="s">
        <v>97</v>
      </c>
      <c r="F449" t="s">
        <v>28</v>
      </c>
      <c r="G449" t="s">
        <v>92</v>
      </c>
      <c r="H449" t="s">
        <v>204</v>
      </c>
      <c r="I449">
        <v>1</v>
      </c>
      <c r="J449" s="3">
        <v>0</v>
      </c>
      <c r="K449" s="4">
        <v>416.97</v>
      </c>
      <c r="L449" s="4">
        <v>35.14</v>
      </c>
    </row>
    <row r="450" spans="1:12" x14ac:dyDescent="0.3">
      <c r="A450" t="s">
        <v>552</v>
      </c>
      <c r="B450" s="2">
        <v>45982</v>
      </c>
      <c r="C450" t="s">
        <v>77</v>
      </c>
      <c r="D450" t="s">
        <v>14</v>
      </c>
      <c r="E450" t="s">
        <v>54</v>
      </c>
      <c r="F450" t="s">
        <v>23</v>
      </c>
      <c r="G450" t="s">
        <v>58</v>
      </c>
      <c r="H450" t="s">
        <v>90</v>
      </c>
      <c r="I450">
        <v>3</v>
      </c>
      <c r="J450" s="3">
        <v>0</v>
      </c>
      <c r="K450" s="4">
        <v>32557.11</v>
      </c>
      <c r="L450" s="4">
        <v>7870.52</v>
      </c>
    </row>
    <row r="451" spans="1:12" x14ac:dyDescent="0.3">
      <c r="A451" t="s">
        <v>553</v>
      </c>
      <c r="B451" s="2">
        <v>45983</v>
      </c>
      <c r="C451" t="s">
        <v>82</v>
      </c>
      <c r="D451" t="s">
        <v>39</v>
      </c>
      <c r="E451" t="s">
        <v>40</v>
      </c>
      <c r="F451" t="s">
        <v>28</v>
      </c>
      <c r="G451" t="s">
        <v>71</v>
      </c>
      <c r="H451" t="s">
        <v>72</v>
      </c>
      <c r="I451">
        <v>4</v>
      </c>
      <c r="J451" s="3">
        <v>0.15</v>
      </c>
      <c r="K451" s="4">
        <v>15563.8</v>
      </c>
      <c r="L451" s="4">
        <v>1402.59</v>
      </c>
    </row>
    <row r="452" spans="1:12" x14ac:dyDescent="0.3">
      <c r="A452" t="s">
        <v>554</v>
      </c>
      <c r="B452" s="2">
        <v>45984</v>
      </c>
      <c r="C452" t="s">
        <v>13</v>
      </c>
      <c r="D452" t="s">
        <v>33</v>
      </c>
      <c r="E452" t="s">
        <v>140</v>
      </c>
      <c r="F452" t="s">
        <v>28</v>
      </c>
      <c r="G452" t="s">
        <v>92</v>
      </c>
      <c r="H452" t="s">
        <v>204</v>
      </c>
      <c r="I452">
        <v>5</v>
      </c>
      <c r="J452" s="3">
        <v>0.15</v>
      </c>
      <c r="K452" s="4">
        <v>18957.75</v>
      </c>
      <c r="L452" s="4">
        <v>790.45</v>
      </c>
    </row>
    <row r="453" spans="1:12" x14ac:dyDescent="0.3">
      <c r="A453" t="s">
        <v>555</v>
      </c>
      <c r="B453" s="2">
        <v>45985</v>
      </c>
      <c r="C453" t="s">
        <v>138</v>
      </c>
      <c r="D453" t="s">
        <v>21</v>
      </c>
      <c r="E453" t="s">
        <v>67</v>
      </c>
      <c r="F453" t="s">
        <v>28</v>
      </c>
      <c r="G453" t="s">
        <v>92</v>
      </c>
      <c r="H453" t="s">
        <v>204</v>
      </c>
      <c r="I453">
        <v>6</v>
      </c>
      <c r="J453" s="3">
        <v>0.1</v>
      </c>
      <c r="K453" s="4">
        <v>18971.28</v>
      </c>
      <c r="L453" s="4">
        <v>3597.25</v>
      </c>
    </row>
    <row r="454" spans="1:12" x14ac:dyDescent="0.3">
      <c r="A454" t="s">
        <v>556</v>
      </c>
      <c r="B454" s="2">
        <v>45985</v>
      </c>
      <c r="C454" t="s">
        <v>143</v>
      </c>
      <c r="D454" t="s">
        <v>39</v>
      </c>
      <c r="E454" t="s">
        <v>40</v>
      </c>
      <c r="F454" t="s">
        <v>23</v>
      </c>
      <c r="G454" t="s">
        <v>35</v>
      </c>
      <c r="H454" t="s">
        <v>36</v>
      </c>
      <c r="I454">
        <v>1</v>
      </c>
      <c r="J454" s="3">
        <v>0.2</v>
      </c>
      <c r="K454" s="4">
        <v>1773.95</v>
      </c>
      <c r="L454" s="4">
        <v>110.25</v>
      </c>
    </row>
    <row r="455" spans="1:12" x14ac:dyDescent="0.3">
      <c r="A455" t="s">
        <v>557</v>
      </c>
      <c r="B455" s="2">
        <v>45985</v>
      </c>
      <c r="C455" t="s">
        <v>104</v>
      </c>
      <c r="D455" t="s">
        <v>39</v>
      </c>
      <c r="E455" t="s">
        <v>128</v>
      </c>
      <c r="F455" t="s">
        <v>23</v>
      </c>
      <c r="G455" t="s">
        <v>58</v>
      </c>
      <c r="H455" t="s">
        <v>59</v>
      </c>
      <c r="I455">
        <v>2</v>
      </c>
      <c r="J455" s="3">
        <v>0.2</v>
      </c>
      <c r="K455" s="4">
        <v>54008.08</v>
      </c>
      <c r="L455" s="4">
        <v>2561.67</v>
      </c>
    </row>
    <row r="456" spans="1:12" x14ac:dyDescent="0.3">
      <c r="A456" t="s">
        <v>558</v>
      </c>
      <c r="B456" s="2">
        <v>45986</v>
      </c>
      <c r="C456" t="s">
        <v>66</v>
      </c>
      <c r="D456" t="s">
        <v>21</v>
      </c>
      <c r="E456" t="s">
        <v>57</v>
      </c>
      <c r="F456" t="s">
        <v>16</v>
      </c>
      <c r="G456" t="s">
        <v>41</v>
      </c>
      <c r="H456" t="s">
        <v>177</v>
      </c>
      <c r="I456">
        <v>6</v>
      </c>
      <c r="J456" s="3">
        <v>0.1</v>
      </c>
      <c r="K456" s="4">
        <v>62348.76</v>
      </c>
      <c r="L456" s="4">
        <v>12106.16</v>
      </c>
    </row>
    <row r="457" spans="1:12" x14ac:dyDescent="0.3">
      <c r="A457" t="s">
        <v>559</v>
      </c>
      <c r="B457" s="2">
        <v>45987</v>
      </c>
      <c r="C457" t="s">
        <v>56</v>
      </c>
      <c r="D457" t="s">
        <v>39</v>
      </c>
      <c r="E457" t="s">
        <v>47</v>
      </c>
      <c r="F457" t="s">
        <v>23</v>
      </c>
      <c r="G457" t="s">
        <v>58</v>
      </c>
      <c r="H457" t="s">
        <v>101</v>
      </c>
      <c r="I457">
        <v>7</v>
      </c>
      <c r="J457" s="3">
        <v>0.2</v>
      </c>
      <c r="K457" s="4">
        <v>265138.02</v>
      </c>
      <c r="L457" s="4">
        <v>25193.19</v>
      </c>
    </row>
    <row r="458" spans="1:12" x14ac:dyDescent="0.3">
      <c r="A458" t="s">
        <v>560</v>
      </c>
      <c r="B458" s="2">
        <v>45989</v>
      </c>
      <c r="C458" t="s">
        <v>100</v>
      </c>
      <c r="D458" t="s">
        <v>14</v>
      </c>
      <c r="E458" t="s">
        <v>54</v>
      </c>
      <c r="F458" t="s">
        <v>28</v>
      </c>
      <c r="G458" t="s">
        <v>29</v>
      </c>
      <c r="H458" t="s">
        <v>98</v>
      </c>
      <c r="I458">
        <v>5</v>
      </c>
      <c r="J458" s="3">
        <v>0.1</v>
      </c>
      <c r="K458" s="4">
        <v>11206.4</v>
      </c>
      <c r="L458" s="4">
        <v>839.77</v>
      </c>
    </row>
    <row r="459" spans="1:12" x14ac:dyDescent="0.3">
      <c r="A459" t="s">
        <v>561</v>
      </c>
      <c r="B459" s="2">
        <v>45990</v>
      </c>
      <c r="C459" t="s">
        <v>100</v>
      </c>
      <c r="D459" t="s">
        <v>21</v>
      </c>
      <c r="E459" t="s">
        <v>57</v>
      </c>
      <c r="F459" t="s">
        <v>23</v>
      </c>
      <c r="G459" t="s">
        <v>58</v>
      </c>
      <c r="H459" t="s">
        <v>78</v>
      </c>
      <c r="I459">
        <v>3</v>
      </c>
      <c r="J459" s="3">
        <v>0.05</v>
      </c>
      <c r="K459" s="4">
        <v>10049.16</v>
      </c>
      <c r="L459" s="4">
        <v>1404.12</v>
      </c>
    </row>
    <row r="460" spans="1:12" x14ac:dyDescent="0.3">
      <c r="A460" t="s">
        <v>562</v>
      </c>
      <c r="B460" s="2">
        <v>45994</v>
      </c>
      <c r="C460" t="s">
        <v>85</v>
      </c>
      <c r="D460" t="s">
        <v>39</v>
      </c>
      <c r="E460" t="s">
        <v>52</v>
      </c>
      <c r="F460" t="s">
        <v>16</v>
      </c>
      <c r="G460" t="s">
        <v>62</v>
      </c>
      <c r="H460" t="s">
        <v>167</v>
      </c>
      <c r="I460">
        <v>3</v>
      </c>
      <c r="J460" s="3">
        <v>0.05</v>
      </c>
      <c r="K460" s="4">
        <v>13031.4</v>
      </c>
      <c r="L460" s="4">
        <v>1865.06</v>
      </c>
    </row>
    <row r="461" spans="1:12" x14ac:dyDescent="0.3">
      <c r="A461" t="s">
        <v>563</v>
      </c>
      <c r="B461" s="2">
        <v>45994</v>
      </c>
      <c r="C461" t="s">
        <v>66</v>
      </c>
      <c r="D461" t="s">
        <v>14</v>
      </c>
      <c r="E461" t="s">
        <v>15</v>
      </c>
      <c r="F461" t="s">
        <v>16</v>
      </c>
      <c r="G461" t="s">
        <v>62</v>
      </c>
      <c r="H461" t="s">
        <v>63</v>
      </c>
      <c r="I461">
        <v>1</v>
      </c>
      <c r="J461" s="3">
        <v>0.1</v>
      </c>
      <c r="K461" s="4">
        <v>1471.95</v>
      </c>
      <c r="L461" s="4">
        <v>112.41</v>
      </c>
    </row>
    <row r="462" spans="1:12" x14ac:dyDescent="0.3">
      <c r="A462" t="s">
        <v>564</v>
      </c>
      <c r="B462" s="2">
        <v>45994</v>
      </c>
      <c r="C462" t="s">
        <v>77</v>
      </c>
      <c r="D462" t="s">
        <v>21</v>
      </c>
      <c r="E462" t="s">
        <v>22</v>
      </c>
      <c r="F462" t="s">
        <v>23</v>
      </c>
      <c r="G462" t="s">
        <v>24</v>
      </c>
      <c r="H462" t="s">
        <v>132</v>
      </c>
      <c r="I462">
        <v>4</v>
      </c>
      <c r="J462" s="3">
        <v>0.2</v>
      </c>
      <c r="K462" s="4">
        <v>135263.67999999999</v>
      </c>
      <c r="L462" s="4">
        <v>23130.82</v>
      </c>
    </row>
    <row r="463" spans="1:12" x14ac:dyDescent="0.3">
      <c r="A463" t="s">
        <v>565</v>
      </c>
      <c r="B463" s="2">
        <v>45995</v>
      </c>
      <c r="C463" t="s">
        <v>95</v>
      </c>
      <c r="D463" t="s">
        <v>14</v>
      </c>
      <c r="E463" t="s">
        <v>15</v>
      </c>
      <c r="F463" t="s">
        <v>28</v>
      </c>
      <c r="G463" t="s">
        <v>92</v>
      </c>
      <c r="H463" t="s">
        <v>204</v>
      </c>
      <c r="I463">
        <v>6</v>
      </c>
      <c r="J463" s="3">
        <v>0.2</v>
      </c>
      <c r="K463" s="4">
        <v>13783.68</v>
      </c>
      <c r="L463" s="4">
        <v>663.35</v>
      </c>
    </row>
    <row r="464" spans="1:12" x14ac:dyDescent="0.3">
      <c r="A464" t="s">
        <v>566</v>
      </c>
      <c r="B464" s="2">
        <v>45995</v>
      </c>
      <c r="C464" t="s">
        <v>56</v>
      </c>
      <c r="D464" t="s">
        <v>39</v>
      </c>
      <c r="E464" t="s">
        <v>52</v>
      </c>
      <c r="F464" t="s">
        <v>28</v>
      </c>
      <c r="G464" t="s">
        <v>74</v>
      </c>
      <c r="H464" t="s">
        <v>159</v>
      </c>
      <c r="I464">
        <v>1</v>
      </c>
      <c r="J464" s="3">
        <v>0</v>
      </c>
      <c r="K464" s="4">
        <v>3410.88</v>
      </c>
      <c r="L464" s="4">
        <v>338.67</v>
      </c>
    </row>
    <row r="465" spans="1:12" x14ac:dyDescent="0.3">
      <c r="A465" t="s">
        <v>567</v>
      </c>
      <c r="B465" s="2">
        <v>45996</v>
      </c>
      <c r="C465" t="s">
        <v>20</v>
      </c>
      <c r="D465" t="s">
        <v>39</v>
      </c>
      <c r="E465" t="s">
        <v>128</v>
      </c>
      <c r="F465" t="s">
        <v>28</v>
      </c>
      <c r="G465" t="s">
        <v>29</v>
      </c>
      <c r="H465" t="s">
        <v>30</v>
      </c>
      <c r="I465">
        <v>2</v>
      </c>
      <c r="J465" s="3">
        <v>0.1</v>
      </c>
      <c r="K465" s="4">
        <v>4164.78</v>
      </c>
      <c r="L465" s="4">
        <v>196.88</v>
      </c>
    </row>
    <row r="466" spans="1:12" x14ac:dyDescent="0.3">
      <c r="A466" t="s">
        <v>568</v>
      </c>
      <c r="B466" s="2">
        <v>45997</v>
      </c>
      <c r="C466" t="s">
        <v>100</v>
      </c>
      <c r="D466" t="s">
        <v>33</v>
      </c>
      <c r="E466" t="s">
        <v>86</v>
      </c>
      <c r="F466" t="s">
        <v>23</v>
      </c>
      <c r="G466" t="s">
        <v>35</v>
      </c>
      <c r="H466" t="s">
        <v>36</v>
      </c>
      <c r="I466">
        <v>2</v>
      </c>
      <c r="J466" s="3">
        <v>0</v>
      </c>
      <c r="K466" s="4">
        <v>13613.46</v>
      </c>
      <c r="L466" s="4">
        <v>1825.03</v>
      </c>
    </row>
    <row r="467" spans="1:12" x14ac:dyDescent="0.3">
      <c r="A467" t="s">
        <v>569</v>
      </c>
      <c r="B467" s="2">
        <v>45997</v>
      </c>
      <c r="C467" t="s">
        <v>82</v>
      </c>
      <c r="D467" t="s">
        <v>21</v>
      </c>
      <c r="E467" t="s">
        <v>67</v>
      </c>
      <c r="F467" t="s">
        <v>28</v>
      </c>
      <c r="G467" t="s">
        <v>92</v>
      </c>
      <c r="H467" t="s">
        <v>93</v>
      </c>
      <c r="I467">
        <v>5</v>
      </c>
      <c r="J467" s="3">
        <v>0.2</v>
      </c>
      <c r="K467" s="4">
        <v>24510.799999999999</v>
      </c>
      <c r="L467" s="4">
        <v>1692.72</v>
      </c>
    </row>
    <row r="468" spans="1:12" x14ac:dyDescent="0.3">
      <c r="A468" t="s">
        <v>570</v>
      </c>
      <c r="B468" s="2">
        <v>45998</v>
      </c>
      <c r="C468" t="s">
        <v>13</v>
      </c>
      <c r="D468" t="s">
        <v>39</v>
      </c>
      <c r="E468" t="s">
        <v>128</v>
      </c>
      <c r="F468" t="s">
        <v>23</v>
      </c>
      <c r="G468" t="s">
        <v>35</v>
      </c>
      <c r="H468" t="s">
        <v>155</v>
      </c>
      <c r="I468">
        <v>4</v>
      </c>
      <c r="J468" s="3">
        <v>0.15</v>
      </c>
      <c r="K468" s="4">
        <v>172707.72</v>
      </c>
      <c r="L468" s="4">
        <v>17503.68</v>
      </c>
    </row>
    <row r="469" spans="1:12" x14ac:dyDescent="0.3">
      <c r="A469" t="s">
        <v>571</v>
      </c>
      <c r="B469" s="2">
        <v>45998</v>
      </c>
      <c r="C469" t="s">
        <v>95</v>
      </c>
      <c r="D469" t="s">
        <v>33</v>
      </c>
      <c r="E469" t="s">
        <v>45</v>
      </c>
      <c r="F469" t="s">
        <v>16</v>
      </c>
      <c r="G469" t="s">
        <v>68</v>
      </c>
      <c r="H469" t="s">
        <v>69</v>
      </c>
      <c r="I469">
        <v>3</v>
      </c>
      <c r="J469" s="3">
        <v>0</v>
      </c>
      <c r="K469" s="4">
        <v>9747.42</v>
      </c>
      <c r="L469" s="4">
        <v>1286.07</v>
      </c>
    </row>
    <row r="470" spans="1:12" x14ac:dyDescent="0.3">
      <c r="A470" t="s">
        <v>572</v>
      </c>
      <c r="B470" s="2">
        <v>45998</v>
      </c>
      <c r="C470" t="s">
        <v>147</v>
      </c>
      <c r="D470" t="s">
        <v>39</v>
      </c>
      <c r="E470" t="s">
        <v>52</v>
      </c>
      <c r="F470" t="s">
        <v>16</v>
      </c>
      <c r="G470" t="s">
        <v>68</v>
      </c>
      <c r="H470" t="s">
        <v>175</v>
      </c>
      <c r="I470">
        <v>1</v>
      </c>
      <c r="J470" s="3">
        <v>0.05</v>
      </c>
      <c r="K470" s="4">
        <v>3012.86</v>
      </c>
      <c r="L470" s="4">
        <v>338.62</v>
      </c>
    </row>
    <row r="471" spans="1:12" x14ac:dyDescent="0.3">
      <c r="A471" t="s">
        <v>573</v>
      </c>
      <c r="B471" s="2">
        <v>45999</v>
      </c>
      <c r="C471" t="s">
        <v>20</v>
      </c>
      <c r="D471" t="s">
        <v>39</v>
      </c>
      <c r="E471" t="s">
        <v>52</v>
      </c>
      <c r="F471" t="s">
        <v>23</v>
      </c>
      <c r="G471" t="s">
        <v>35</v>
      </c>
      <c r="H471" t="s">
        <v>155</v>
      </c>
      <c r="I471">
        <v>1</v>
      </c>
      <c r="J471" s="3">
        <v>0.2</v>
      </c>
      <c r="K471" s="4">
        <v>8428.0499999999993</v>
      </c>
      <c r="L471" s="4">
        <v>1286.28</v>
      </c>
    </row>
    <row r="472" spans="1:12" x14ac:dyDescent="0.3">
      <c r="A472" t="s">
        <v>574</v>
      </c>
      <c r="B472" s="2">
        <v>46000</v>
      </c>
      <c r="C472" t="s">
        <v>20</v>
      </c>
      <c r="D472" t="s">
        <v>33</v>
      </c>
      <c r="E472" t="s">
        <v>86</v>
      </c>
      <c r="F472" t="s">
        <v>16</v>
      </c>
      <c r="G472" t="s">
        <v>17</v>
      </c>
      <c r="H472" t="s">
        <v>18</v>
      </c>
      <c r="I472">
        <v>3</v>
      </c>
      <c r="J472" s="3">
        <v>0.2</v>
      </c>
      <c r="K472" s="4">
        <v>11930.49</v>
      </c>
      <c r="L472" s="4">
        <v>514.04</v>
      </c>
    </row>
    <row r="473" spans="1:12" x14ac:dyDescent="0.3">
      <c r="A473" t="s">
        <v>575</v>
      </c>
      <c r="B473" s="2">
        <v>46000</v>
      </c>
      <c r="C473" t="s">
        <v>229</v>
      </c>
      <c r="D473" t="s">
        <v>21</v>
      </c>
      <c r="E473" t="s">
        <v>105</v>
      </c>
      <c r="F473" t="s">
        <v>23</v>
      </c>
      <c r="G473" t="s">
        <v>58</v>
      </c>
      <c r="H473" t="s">
        <v>90</v>
      </c>
      <c r="I473">
        <v>6</v>
      </c>
      <c r="J473" s="3">
        <v>0</v>
      </c>
      <c r="K473" s="4">
        <v>100827.12</v>
      </c>
      <c r="L473" s="4">
        <v>12399.55</v>
      </c>
    </row>
    <row r="474" spans="1:12" x14ac:dyDescent="0.3">
      <c r="A474" t="s">
        <v>576</v>
      </c>
      <c r="B474" s="2">
        <v>46001</v>
      </c>
      <c r="C474" t="s">
        <v>85</v>
      </c>
      <c r="D474" t="s">
        <v>21</v>
      </c>
      <c r="E474" t="s">
        <v>67</v>
      </c>
      <c r="F474" t="s">
        <v>16</v>
      </c>
      <c r="G474" t="s">
        <v>17</v>
      </c>
      <c r="H474" t="s">
        <v>18</v>
      </c>
      <c r="I474">
        <v>3</v>
      </c>
      <c r="J474" s="3">
        <v>0.15</v>
      </c>
      <c r="K474" s="4">
        <v>5146.4399999999996</v>
      </c>
      <c r="L474" s="4">
        <v>589.66999999999996</v>
      </c>
    </row>
    <row r="475" spans="1:12" x14ac:dyDescent="0.3">
      <c r="A475" t="s">
        <v>577</v>
      </c>
      <c r="B475" s="2">
        <v>46001</v>
      </c>
      <c r="C475" t="s">
        <v>143</v>
      </c>
      <c r="D475" t="s">
        <v>39</v>
      </c>
      <c r="E475" t="s">
        <v>47</v>
      </c>
      <c r="F475" t="s">
        <v>16</v>
      </c>
      <c r="G475" t="s">
        <v>41</v>
      </c>
      <c r="H475" t="s">
        <v>177</v>
      </c>
      <c r="I475">
        <v>4</v>
      </c>
      <c r="J475" s="3">
        <v>0.1</v>
      </c>
      <c r="K475" s="4">
        <v>15500.44</v>
      </c>
      <c r="L475" s="4">
        <v>1221.48</v>
      </c>
    </row>
    <row r="476" spans="1:12" x14ac:dyDescent="0.3">
      <c r="A476" t="s">
        <v>578</v>
      </c>
      <c r="B476" s="2">
        <v>46002</v>
      </c>
      <c r="C476" t="s">
        <v>147</v>
      </c>
      <c r="D476" t="s">
        <v>39</v>
      </c>
      <c r="E476" t="s">
        <v>52</v>
      </c>
      <c r="F476" t="s">
        <v>28</v>
      </c>
      <c r="G476" t="s">
        <v>71</v>
      </c>
      <c r="H476" t="s">
        <v>72</v>
      </c>
      <c r="I476">
        <v>2</v>
      </c>
      <c r="J476" s="3">
        <v>0.1</v>
      </c>
      <c r="K476" s="4">
        <v>1237.18</v>
      </c>
      <c r="L476" s="4">
        <v>213.98</v>
      </c>
    </row>
    <row r="477" spans="1:12" x14ac:dyDescent="0.3">
      <c r="A477" t="s">
        <v>579</v>
      </c>
      <c r="B477" s="2">
        <v>46003</v>
      </c>
      <c r="C477" t="s">
        <v>20</v>
      </c>
      <c r="D477" t="s">
        <v>33</v>
      </c>
      <c r="E477" t="s">
        <v>34</v>
      </c>
      <c r="F477" t="s">
        <v>23</v>
      </c>
      <c r="G477" t="s">
        <v>58</v>
      </c>
      <c r="H477" t="s">
        <v>59</v>
      </c>
      <c r="I477">
        <v>7</v>
      </c>
      <c r="J477" s="3">
        <v>0.2</v>
      </c>
      <c r="K477" s="4">
        <v>155225.21</v>
      </c>
      <c r="L477" s="4">
        <v>1851.86</v>
      </c>
    </row>
    <row r="478" spans="1:12" x14ac:dyDescent="0.3">
      <c r="A478" t="s">
        <v>580</v>
      </c>
      <c r="B478" s="2">
        <v>46004</v>
      </c>
      <c r="C478" t="s">
        <v>32</v>
      </c>
      <c r="D478" t="s">
        <v>39</v>
      </c>
      <c r="E478" t="s">
        <v>52</v>
      </c>
      <c r="F478" t="s">
        <v>23</v>
      </c>
      <c r="G478" t="s">
        <v>58</v>
      </c>
      <c r="H478" t="s">
        <v>90</v>
      </c>
      <c r="I478">
        <v>7</v>
      </c>
      <c r="J478" s="3">
        <v>0.2</v>
      </c>
      <c r="K478" s="4">
        <v>19496.82</v>
      </c>
      <c r="L478" s="4">
        <v>1249.31</v>
      </c>
    </row>
    <row r="479" spans="1:12" x14ac:dyDescent="0.3">
      <c r="A479" t="s">
        <v>581</v>
      </c>
      <c r="B479" s="2">
        <v>46004</v>
      </c>
      <c r="C479" t="s">
        <v>100</v>
      </c>
      <c r="D479" t="s">
        <v>14</v>
      </c>
      <c r="E479" t="s">
        <v>114</v>
      </c>
      <c r="F479" t="s">
        <v>23</v>
      </c>
      <c r="G479" t="s">
        <v>58</v>
      </c>
      <c r="H479" t="s">
        <v>78</v>
      </c>
      <c r="I479">
        <v>2</v>
      </c>
      <c r="J479" s="3">
        <v>0</v>
      </c>
      <c r="K479" s="4">
        <v>66709.740000000005</v>
      </c>
      <c r="L479" s="4">
        <v>9569.58</v>
      </c>
    </row>
    <row r="480" spans="1:12" x14ac:dyDescent="0.3">
      <c r="A480" t="s">
        <v>582</v>
      </c>
      <c r="B480" s="2">
        <v>46005</v>
      </c>
      <c r="C480" t="s">
        <v>44</v>
      </c>
      <c r="D480" t="s">
        <v>14</v>
      </c>
      <c r="E480" t="s">
        <v>97</v>
      </c>
      <c r="F480" t="s">
        <v>28</v>
      </c>
      <c r="G480" t="s">
        <v>74</v>
      </c>
      <c r="H480" t="s">
        <v>75</v>
      </c>
      <c r="I480">
        <v>6</v>
      </c>
      <c r="J480" s="3">
        <v>0.1</v>
      </c>
      <c r="K480" s="4">
        <v>18600.36</v>
      </c>
      <c r="L480" s="4">
        <v>3666.48</v>
      </c>
    </row>
    <row r="481" spans="1:12" x14ac:dyDescent="0.3">
      <c r="A481" t="s">
        <v>583</v>
      </c>
      <c r="B481" s="2">
        <v>46006</v>
      </c>
      <c r="C481" t="s">
        <v>104</v>
      </c>
      <c r="D481" t="s">
        <v>14</v>
      </c>
      <c r="E481" t="s">
        <v>114</v>
      </c>
      <c r="F481" t="s">
        <v>23</v>
      </c>
      <c r="G481" t="s">
        <v>58</v>
      </c>
      <c r="H481" t="s">
        <v>101</v>
      </c>
      <c r="I481">
        <v>6</v>
      </c>
      <c r="J481" s="3">
        <v>0</v>
      </c>
      <c r="K481" s="4">
        <v>296611.62</v>
      </c>
      <c r="L481" s="4">
        <v>36468.35</v>
      </c>
    </row>
    <row r="482" spans="1:12" x14ac:dyDescent="0.3">
      <c r="A482" t="s">
        <v>584</v>
      </c>
      <c r="B482" s="2">
        <v>46007</v>
      </c>
      <c r="C482" t="s">
        <v>20</v>
      </c>
      <c r="D482" t="s">
        <v>33</v>
      </c>
      <c r="E482" t="s">
        <v>45</v>
      </c>
      <c r="F482" t="s">
        <v>23</v>
      </c>
      <c r="G482" t="s">
        <v>24</v>
      </c>
      <c r="H482" t="s">
        <v>25</v>
      </c>
      <c r="I482">
        <v>6</v>
      </c>
      <c r="J482" s="3">
        <v>0.05</v>
      </c>
      <c r="K482" s="4">
        <v>118628.4</v>
      </c>
      <c r="L482" s="4">
        <v>15808.07</v>
      </c>
    </row>
    <row r="483" spans="1:12" x14ac:dyDescent="0.3">
      <c r="A483" t="s">
        <v>585</v>
      </c>
      <c r="B483" s="2">
        <v>46009</v>
      </c>
      <c r="C483" t="s">
        <v>179</v>
      </c>
      <c r="D483" t="s">
        <v>39</v>
      </c>
      <c r="E483" t="s">
        <v>128</v>
      </c>
      <c r="F483" t="s">
        <v>16</v>
      </c>
      <c r="G483" t="s">
        <v>68</v>
      </c>
      <c r="H483" t="s">
        <v>69</v>
      </c>
      <c r="I483">
        <v>6</v>
      </c>
      <c r="J483" s="3">
        <v>0.15</v>
      </c>
      <c r="K483" s="4">
        <v>24590.639999999999</v>
      </c>
      <c r="L483" s="4">
        <v>1719.36</v>
      </c>
    </row>
    <row r="484" spans="1:12" x14ac:dyDescent="0.3">
      <c r="A484" t="s">
        <v>586</v>
      </c>
      <c r="B484" s="2">
        <v>46009</v>
      </c>
      <c r="C484" t="s">
        <v>56</v>
      </c>
      <c r="D484" t="s">
        <v>39</v>
      </c>
      <c r="E484" t="s">
        <v>128</v>
      </c>
      <c r="F484" t="s">
        <v>16</v>
      </c>
      <c r="G484" t="s">
        <v>68</v>
      </c>
      <c r="H484" t="s">
        <v>83</v>
      </c>
      <c r="I484">
        <v>2</v>
      </c>
      <c r="J484" s="3">
        <v>0.15</v>
      </c>
      <c r="K484" s="4">
        <v>1481.74</v>
      </c>
      <c r="L484" s="4">
        <v>267.18</v>
      </c>
    </row>
    <row r="485" spans="1:12" x14ac:dyDescent="0.3">
      <c r="A485" t="s">
        <v>587</v>
      </c>
      <c r="B485" s="2">
        <v>46009</v>
      </c>
      <c r="C485" t="s">
        <v>66</v>
      </c>
      <c r="D485" t="s">
        <v>21</v>
      </c>
      <c r="E485" t="s">
        <v>105</v>
      </c>
      <c r="F485" t="s">
        <v>23</v>
      </c>
      <c r="G485" t="s">
        <v>48</v>
      </c>
      <c r="H485" t="s">
        <v>118</v>
      </c>
      <c r="I485">
        <v>7</v>
      </c>
      <c r="J485" s="3">
        <v>0.1</v>
      </c>
      <c r="K485" s="4">
        <v>85514.52</v>
      </c>
      <c r="L485" s="4">
        <v>13538.84</v>
      </c>
    </row>
    <row r="486" spans="1:12" x14ac:dyDescent="0.3">
      <c r="A486" t="s">
        <v>588</v>
      </c>
      <c r="B486" s="2">
        <v>46011</v>
      </c>
      <c r="C486" t="s">
        <v>82</v>
      </c>
      <c r="D486" t="s">
        <v>21</v>
      </c>
      <c r="E486" t="s">
        <v>105</v>
      </c>
      <c r="F486" t="s">
        <v>16</v>
      </c>
      <c r="G486" t="s">
        <v>41</v>
      </c>
      <c r="H486" t="s">
        <v>177</v>
      </c>
      <c r="I486">
        <v>6</v>
      </c>
      <c r="J486" s="3">
        <v>0.15</v>
      </c>
      <c r="K486" s="4">
        <v>34764.720000000001</v>
      </c>
      <c r="L486" s="4">
        <v>3211.36</v>
      </c>
    </row>
    <row r="487" spans="1:12" x14ac:dyDescent="0.3">
      <c r="A487" t="s">
        <v>589</v>
      </c>
      <c r="B487" s="2">
        <v>46011</v>
      </c>
      <c r="C487" t="s">
        <v>51</v>
      </c>
      <c r="D487" t="s">
        <v>33</v>
      </c>
      <c r="E487" t="s">
        <v>34</v>
      </c>
      <c r="F487" t="s">
        <v>23</v>
      </c>
      <c r="G487" t="s">
        <v>48</v>
      </c>
      <c r="H487" t="s">
        <v>118</v>
      </c>
      <c r="I487">
        <v>3</v>
      </c>
      <c r="J487" s="3">
        <v>0.1</v>
      </c>
      <c r="K487" s="4">
        <v>48834.45</v>
      </c>
      <c r="L487" s="4">
        <v>9812.9599999999991</v>
      </c>
    </row>
    <row r="488" spans="1:12" x14ac:dyDescent="0.3">
      <c r="A488" t="s">
        <v>590</v>
      </c>
      <c r="B488" s="2">
        <v>46012</v>
      </c>
      <c r="C488" t="s">
        <v>32</v>
      </c>
      <c r="D488" t="s">
        <v>14</v>
      </c>
      <c r="E488" t="s">
        <v>54</v>
      </c>
      <c r="F488" t="s">
        <v>16</v>
      </c>
      <c r="G488" t="s">
        <v>62</v>
      </c>
      <c r="H488" t="s">
        <v>167</v>
      </c>
      <c r="I488">
        <v>5</v>
      </c>
      <c r="J488" s="3">
        <v>0.05</v>
      </c>
      <c r="K488" s="4">
        <v>52204.9</v>
      </c>
      <c r="L488" s="4">
        <v>6729.26</v>
      </c>
    </row>
    <row r="489" spans="1:12" x14ac:dyDescent="0.3">
      <c r="A489" t="s">
        <v>591</v>
      </c>
      <c r="B489" s="2">
        <v>46012</v>
      </c>
      <c r="C489" t="s">
        <v>51</v>
      </c>
      <c r="D489" t="s">
        <v>21</v>
      </c>
      <c r="E489" t="s">
        <v>57</v>
      </c>
      <c r="F489" t="s">
        <v>23</v>
      </c>
      <c r="G489" t="s">
        <v>48</v>
      </c>
      <c r="H489" t="s">
        <v>118</v>
      </c>
      <c r="I489">
        <v>4</v>
      </c>
      <c r="J489" s="3">
        <v>0</v>
      </c>
      <c r="K489" s="4">
        <v>99205.8</v>
      </c>
      <c r="L489" s="4">
        <v>15386.51</v>
      </c>
    </row>
    <row r="490" spans="1:12" x14ac:dyDescent="0.3">
      <c r="A490" t="s">
        <v>592</v>
      </c>
      <c r="B490" s="2">
        <v>46012</v>
      </c>
      <c r="C490" t="s">
        <v>135</v>
      </c>
      <c r="D490" t="s">
        <v>39</v>
      </c>
      <c r="E490" t="s">
        <v>52</v>
      </c>
      <c r="F490" t="s">
        <v>28</v>
      </c>
      <c r="G490" t="s">
        <v>29</v>
      </c>
      <c r="H490" t="s">
        <v>98</v>
      </c>
      <c r="I490">
        <v>3</v>
      </c>
      <c r="J490" s="3">
        <v>0.05</v>
      </c>
      <c r="K490" s="4">
        <v>12788.16</v>
      </c>
      <c r="L490" s="4">
        <v>1545.78</v>
      </c>
    </row>
    <row r="491" spans="1:12" x14ac:dyDescent="0.3">
      <c r="A491" t="s">
        <v>593</v>
      </c>
      <c r="B491" s="2">
        <v>46016</v>
      </c>
      <c r="C491" t="s">
        <v>44</v>
      </c>
      <c r="D491" t="s">
        <v>14</v>
      </c>
      <c r="E491" t="s">
        <v>54</v>
      </c>
      <c r="F491" t="s">
        <v>28</v>
      </c>
      <c r="G491" t="s">
        <v>29</v>
      </c>
      <c r="H491" t="s">
        <v>98</v>
      </c>
      <c r="I491">
        <v>5</v>
      </c>
      <c r="J491" s="3">
        <v>0</v>
      </c>
      <c r="K491" s="4">
        <v>18440.650000000001</v>
      </c>
      <c r="L491" s="4">
        <v>1821.58</v>
      </c>
    </row>
    <row r="492" spans="1:12" x14ac:dyDescent="0.3">
      <c r="A492" t="s">
        <v>594</v>
      </c>
      <c r="B492" s="2">
        <v>46017</v>
      </c>
      <c r="C492" t="s">
        <v>100</v>
      </c>
      <c r="D492" t="s">
        <v>21</v>
      </c>
      <c r="E492" t="s">
        <v>57</v>
      </c>
      <c r="F492" t="s">
        <v>28</v>
      </c>
      <c r="G492" t="s">
        <v>74</v>
      </c>
      <c r="H492" t="s">
        <v>159</v>
      </c>
      <c r="I492">
        <v>6</v>
      </c>
      <c r="J492" s="3">
        <v>0.2</v>
      </c>
      <c r="K492" s="4">
        <v>19139.099999999999</v>
      </c>
      <c r="L492" s="4">
        <v>947.88</v>
      </c>
    </row>
    <row r="493" spans="1:12" x14ac:dyDescent="0.3">
      <c r="A493" t="s">
        <v>595</v>
      </c>
      <c r="B493" s="2">
        <v>46017</v>
      </c>
      <c r="C493" t="s">
        <v>135</v>
      </c>
      <c r="D493" t="s">
        <v>33</v>
      </c>
      <c r="E493" t="s">
        <v>86</v>
      </c>
      <c r="F493" t="s">
        <v>28</v>
      </c>
      <c r="G493" t="s">
        <v>29</v>
      </c>
      <c r="H493" t="s">
        <v>30</v>
      </c>
      <c r="I493">
        <v>2</v>
      </c>
      <c r="J493" s="3">
        <v>0.05</v>
      </c>
      <c r="K493" s="4">
        <v>6227.08</v>
      </c>
      <c r="L493" s="4">
        <v>658.25</v>
      </c>
    </row>
    <row r="494" spans="1:12" x14ac:dyDescent="0.3">
      <c r="A494" t="s">
        <v>596</v>
      </c>
      <c r="B494" s="2">
        <v>46017</v>
      </c>
      <c r="C494" t="s">
        <v>135</v>
      </c>
      <c r="D494" t="s">
        <v>33</v>
      </c>
      <c r="E494" t="s">
        <v>140</v>
      </c>
      <c r="F494" t="s">
        <v>16</v>
      </c>
      <c r="G494" t="s">
        <v>68</v>
      </c>
      <c r="H494" t="s">
        <v>83</v>
      </c>
      <c r="I494">
        <v>7</v>
      </c>
      <c r="J494" s="3">
        <v>0.1</v>
      </c>
      <c r="K494" s="4">
        <v>18037.88</v>
      </c>
      <c r="L494" s="4">
        <v>1793.15</v>
      </c>
    </row>
    <row r="495" spans="1:12" x14ac:dyDescent="0.3">
      <c r="A495" t="s">
        <v>597</v>
      </c>
      <c r="B495" s="2">
        <v>46017</v>
      </c>
      <c r="C495" t="s">
        <v>20</v>
      </c>
      <c r="D495" t="s">
        <v>33</v>
      </c>
      <c r="E495" t="s">
        <v>140</v>
      </c>
      <c r="F495" t="s">
        <v>16</v>
      </c>
      <c r="G495" t="s">
        <v>62</v>
      </c>
      <c r="H495" t="s">
        <v>180</v>
      </c>
      <c r="I495">
        <v>6</v>
      </c>
      <c r="J495" s="3">
        <v>0.15</v>
      </c>
      <c r="K495" s="4">
        <v>62579.16</v>
      </c>
      <c r="L495" s="4">
        <v>2819.51</v>
      </c>
    </row>
    <row r="496" spans="1:12" x14ac:dyDescent="0.3">
      <c r="A496" t="s">
        <v>598</v>
      </c>
      <c r="B496" s="2">
        <v>46018</v>
      </c>
      <c r="C496" t="s">
        <v>138</v>
      </c>
      <c r="D496" t="s">
        <v>14</v>
      </c>
      <c r="E496" t="s">
        <v>15</v>
      </c>
      <c r="F496" t="s">
        <v>23</v>
      </c>
      <c r="G496" t="s">
        <v>58</v>
      </c>
      <c r="H496" t="s">
        <v>78</v>
      </c>
      <c r="I496">
        <v>1</v>
      </c>
      <c r="J496" s="3">
        <v>0.2</v>
      </c>
      <c r="K496" s="4">
        <v>9952.33</v>
      </c>
      <c r="L496" s="4">
        <v>1490.57</v>
      </c>
    </row>
    <row r="497" spans="1:12" x14ac:dyDescent="0.3">
      <c r="A497" t="s">
        <v>599</v>
      </c>
      <c r="B497" s="2">
        <v>46018</v>
      </c>
      <c r="C497" t="s">
        <v>138</v>
      </c>
      <c r="D497" t="s">
        <v>14</v>
      </c>
      <c r="E497" t="s">
        <v>15</v>
      </c>
      <c r="F497" t="s">
        <v>16</v>
      </c>
      <c r="G497" t="s">
        <v>62</v>
      </c>
      <c r="H497" t="s">
        <v>63</v>
      </c>
      <c r="I497">
        <v>1</v>
      </c>
      <c r="J497" s="3">
        <v>0.15</v>
      </c>
      <c r="K497" s="4">
        <v>8331.9500000000007</v>
      </c>
      <c r="L497" s="4">
        <v>1591.98</v>
      </c>
    </row>
    <row r="498" spans="1:12" x14ac:dyDescent="0.3">
      <c r="A498" t="s">
        <v>600</v>
      </c>
      <c r="B498" s="2">
        <v>46019</v>
      </c>
      <c r="C498" t="s">
        <v>143</v>
      </c>
      <c r="D498" t="s">
        <v>33</v>
      </c>
      <c r="E498" t="s">
        <v>34</v>
      </c>
      <c r="F498" t="s">
        <v>23</v>
      </c>
      <c r="G498" t="s">
        <v>58</v>
      </c>
      <c r="H498" t="s">
        <v>78</v>
      </c>
      <c r="I498">
        <v>1</v>
      </c>
      <c r="J498" s="3">
        <v>0</v>
      </c>
      <c r="K498" s="4">
        <v>17102.27</v>
      </c>
      <c r="L498" s="4">
        <v>3178.09</v>
      </c>
    </row>
    <row r="499" spans="1:12" x14ac:dyDescent="0.3">
      <c r="A499" t="s">
        <v>601</v>
      </c>
      <c r="B499" s="2">
        <v>46020</v>
      </c>
      <c r="C499" t="s">
        <v>38</v>
      </c>
      <c r="D499" t="s">
        <v>33</v>
      </c>
      <c r="E499" t="s">
        <v>34</v>
      </c>
      <c r="F499" t="s">
        <v>23</v>
      </c>
      <c r="G499" t="s">
        <v>58</v>
      </c>
      <c r="H499" t="s">
        <v>90</v>
      </c>
      <c r="I499">
        <v>4</v>
      </c>
      <c r="J499" s="3">
        <v>0</v>
      </c>
      <c r="K499" s="4">
        <v>44533.760000000002</v>
      </c>
      <c r="L499" s="4">
        <v>9350.08</v>
      </c>
    </row>
    <row r="500" spans="1:12" x14ac:dyDescent="0.3">
      <c r="A500" t="s">
        <v>602</v>
      </c>
      <c r="B500" s="2">
        <v>46022</v>
      </c>
      <c r="C500" t="s">
        <v>32</v>
      </c>
      <c r="D500" t="s">
        <v>14</v>
      </c>
      <c r="E500" t="s">
        <v>15</v>
      </c>
      <c r="F500" t="s">
        <v>28</v>
      </c>
      <c r="G500" t="s">
        <v>71</v>
      </c>
      <c r="H500" t="s">
        <v>121</v>
      </c>
      <c r="I500">
        <v>3</v>
      </c>
      <c r="J500" s="3">
        <v>0</v>
      </c>
      <c r="K500" s="4">
        <v>4370.49</v>
      </c>
      <c r="L500" s="4">
        <v>794.03</v>
      </c>
    </row>
    <row r="501" spans="1:12" x14ac:dyDescent="0.3">
      <c r="A501" t="s">
        <v>603</v>
      </c>
      <c r="B501" s="2">
        <v>46022</v>
      </c>
      <c r="C501" t="s">
        <v>20</v>
      </c>
      <c r="D501" t="s">
        <v>39</v>
      </c>
      <c r="E501" t="s">
        <v>128</v>
      </c>
      <c r="F501" t="s">
        <v>16</v>
      </c>
      <c r="G501" t="s">
        <v>68</v>
      </c>
      <c r="H501" t="s">
        <v>83</v>
      </c>
      <c r="I501">
        <v>6</v>
      </c>
      <c r="J501" s="3">
        <v>0.1</v>
      </c>
      <c r="K501" s="4">
        <v>65520.84</v>
      </c>
      <c r="L501" s="4">
        <v>11801.48</v>
      </c>
    </row>
  </sheetData>
  <autoFilter ref="A1:L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F51E9-A686-4D24-B6D5-6326EE497D32}">
  <dimension ref="A1:P503"/>
  <sheetViews>
    <sheetView workbookViewId="0">
      <selection activeCell="A3" sqref="A3:P503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6.88671875" bestFit="1" customWidth="1"/>
    <col min="4" max="4" width="9" bestFit="1" customWidth="1"/>
    <col min="5" max="5" width="12" bestFit="1" customWidth="1"/>
    <col min="6" max="6" width="13.109375" bestFit="1" customWidth="1"/>
    <col min="7" max="7" width="14.6640625" bestFit="1" customWidth="1"/>
    <col min="8" max="8" width="17.21875" bestFit="1" customWidth="1"/>
    <col min="9" max="10" width="10.5546875" bestFit="1" customWidth="1"/>
    <col min="11" max="14" width="9" bestFit="1" customWidth="1"/>
    <col min="15" max="15" width="15.5546875" bestFit="1" customWidth="1"/>
    <col min="16" max="16" width="14.33203125" bestFit="1" customWidth="1"/>
  </cols>
  <sheetData>
    <row r="1" spans="1:16" x14ac:dyDescent="0.3">
      <c r="A1" s="13" t="s">
        <v>630</v>
      </c>
    </row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604</v>
      </c>
      <c r="N3" t="s">
        <v>605</v>
      </c>
      <c r="O3" t="s">
        <v>606</v>
      </c>
      <c r="P3" t="s">
        <v>607</v>
      </c>
    </row>
    <row r="4" spans="1:16" x14ac:dyDescent="0.3">
      <c r="A4" t="s">
        <v>12</v>
      </c>
      <c r="B4" s="12">
        <v>45658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>
        <v>6</v>
      </c>
      <c r="J4">
        <v>0</v>
      </c>
      <c r="K4">
        <v>14565.72</v>
      </c>
      <c r="L4">
        <v>2664.67</v>
      </c>
      <c r="M4">
        <v>2025</v>
      </c>
      <c r="N4" t="s">
        <v>613</v>
      </c>
      <c r="O4" t="s">
        <v>625</v>
      </c>
      <c r="P4">
        <v>0.18294117970138107</v>
      </c>
    </row>
    <row r="5" spans="1:16" x14ac:dyDescent="0.3">
      <c r="A5" t="s">
        <v>19</v>
      </c>
      <c r="B5" s="12">
        <v>45658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>
        <v>5</v>
      </c>
      <c r="J5">
        <v>0</v>
      </c>
      <c r="K5">
        <v>153118.95000000001</v>
      </c>
      <c r="L5">
        <v>29734.03</v>
      </c>
      <c r="M5">
        <v>2025</v>
      </c>
      <c r="N5" t="s">
        <v>613</v>
      </c>
      <c r="O5" t="s">
        <v>625</v>
      </c>
      <c r="P5">
        <v>0.19418909285885252</v>
      </c>
    </row>
    <row r="6" spans="1:16" x14ac:dyDescent="0.3">
      <c r="A6" t="s">
        <v>26</v>
      </c>
      <c r="B6" s="12">
        <v>45660</v>
      </c>
      <c r="C6" t="s">
        <v>27</v>
      </c>
      <c r="D6" t="s">
        <v>14</v>
      </c>
      <c r="E6" t="s">
        <v>15</v>
      </c>
      <c r="F6" t="s">
        <v>28</v>
      </c>
      <c r="G6" t="s">
        <v>29</v>
      </c>
      <c r="H6" t="s">
        <v>30</v>
      </c>
      <c r="I6">
        <v>4</v>
      </c>
      <c r="J6">
        <v>0.1</v>
      </c>
      <c r="K6">
        <v>14739.16</v>
      </c>
      <c r="L6">
        <v>2479.4299999999998</v>
      </c>
      <c r="M6">
        <v>2025</v>
      </c>
      <c r="N6" t="s">
        <v>613</v>
      </c>
      <c r="O6" t="s">
        <v>625</v>
      </c>
      <c r="P6">
        <v>0.16822057702067145</v>
      </c>
    </row>
    <row r="7" spans="1:16" x14ac:dyDescent="0.3">
      <c r="A7" t="s">
        <v>31</v>
      </c>
      <c r="B7" s="12">
        <v>45661</v>
      </c>
      <c r="C7" t="s">
        <v>32</v>
      </c>
      <c r="D7" t="s">
        <v>33</v>
      </c>
      <c r="E7" t="s">
        <v>34</v>
      </c>
      <c r="F7" t="s">
        <v>23</v>
      </c>
      <c r="G7" t="s">
        <v>35</v>
      </c>
      <c r="H7" t="s">
        <v>36</v>
      </c>
      <c r="I7">
        <v>2</v>
      </c>
      <c r="J7">
        <v>0.2</v>
      </c>
      <c r="K7">
        <v>87786.9</v>
      </c>
      <c r="L7">
        <v>5093.42</v>
      </c>
      <c r="M7">
        <v>2025</v>
      </c>
      <c r="N7" t="s">
        <v>613</v>
      </c>
      <c r="O7" t="s">
        <v>625</v>
      </c>
      <c r="P7">
        <v>5.8020274095565517E-2</v>
      </c>
    </row>
    <row r="8" spans="1:16" x14ac:dyDescent="0.3">
      <c r="A8" t="s">
        <v>37</v>
      </c>
      <c r="B8" s="12">
        <v>45661</v>
      </c>
      <c r="C8" t="s">
        <v>38</v>
      </c>
      <c r="D8" t="s">
        <v>39</v>
      </c>
      <c r="E8" t="s">
        <v>40</v>
      </c>
      <c r="F8" t="s">
        <v>16</v>
      </c>
      <c r="G8" t="s">
        <v>41</v>
      </c>
      <c r="H8" t="s">
        <v>42</v>
      </c>
      <c r="I8">
        <v>1</v>
      </c>
      <c r="J8">
        <v>0</v>
      </c>
      <c r="K8">
        <v>8985.34</v>
      </c>
      <c r="L8">
        <v>2072.17</v>
      </c>
      <c r="M8">
        <v>2025</v>
      </c>
      <c r="N8" t="s">
        <v>613</v>
      </c>
      <c r="O8" t="s">
        <v>625</v>
      </c>
      <c r="P8">
        <v>0.23061676018937513</v>
      </c>
    </row>
    <row r="9" spans="1:16" x14ac:dyDescent="0.3">
      <c r="A9" t="s">
        <v>43</v>
      </c>
      <c r="B9" s="12">
        <v>45662</v>
      </c>
      <c r="C9" t="s">
        <v>44</v>
      </c>
      <c r="D9" t="s">
        <v>33</v>
      </c>
      <c r="E9" t="s">
        <v>45</v>
      </c>
      <c r="F9" t="s">
        <v>23</v>
      </c>
      <c r="G9" t="s">
        <v>35</v>
      </c>
      <c r="H9" t="s">
        <v>36</v>
      </c>
      <c r="I9">
        <v>4</v>
      </c>
      <c r="J9">
        <v>0.2</v>
      </c>
      <c r="K9">
        <v>51151.64</v>
      </c>
      <c r="L9">
        <v>1319.61</v>
      </c>
      <c r="M9">
        <v>2025</v>
      </c>
      <c r="N9" t="s">
        <v>613</v>
      </c>
      <c r="O9" t="s">
        <v>625</v>
      </c>
      <c r="P9">
        <v>2.5797999829526481E-2</v>
      </c>
    </row>
    <row r="10" spans="1:16" x14ac:dyDescent="0.3">
      <c r="A10" t="s">
        <v>46</v>
      </c>
      <c r="B10" s="12">
        <v>45662</v>
      </c>
      <c r="C10" t="s">
        <v>44</v>
      </c>
      <c r="D10" t="s">
        <v>39</v>
      </c>
      <c r="E10" t="s">
        <v>47</v>
      </c>
      <c r="F10" t="s">
        <v>23</v>
      </c>
      <c r="G10" t="s">
        <v>48</v>
      </c>
      <c r="H10" t="s">
        <v>49</v>
      </c>
      <c r="I10">
        <v>4</v>
      </c>
      <c r="J10">
        <v>0</v>
      </c>
      <c r="K10">
        <v>48513.4</v>
      </c>
      <c r="L10">
        <v>11781.42</v>
      </c>
      <c r="M10">
        <v>2025</v>
      </c>
      <c r="N10" t="s">
        <v>613</v>
      </c>
      <c r="O10" t="s">
        <v>625</v>
      </c>
      <c r="P10">
        <v>0.24284877992472181</v>
      </c>
    </row>
    <row r="11" spans="1:16" x14ac:dyDescent="0.3">
      <c r="A11" t="s">
        <v>50</v>
      </c>
      <c r="B11" s="12">
        <v>45662</v>
      </c>
      <c r="C11" t="s">
        <v>51</v>
      </c>
      <c r="D11" t="s">
        <v>39</v>
      </c>
      <c r="E11" t="s">
        <v>52</v>
      </c>
      <c r="F11" t="s">
        <v>23</v>
      </c>
      <c r="G11" t="s">
        <v>35</v>
      </c>
      <c r="H11" t="s">
        <v>36</v>
      </c>
      <c r="I11">
        <v>3</v>
      </c>
      <c r="J11">
        <v>0.05</v>
      </c>
      <c r="K11">
        <v>96888.84</v>
      </c>
      <c r="L11">
        <v>17258.080000000002</v>
      </c>
      <c r="M11">
        <v>2025</v>
      </c>
      <c r="N11" t="s">
        <v>613</v>
      </c>
      <c r="O11" t="s">
        <v>625</v>
      </c>
      <c r="P11">
        <v>0.17812247519941413</v>
      </c>
    </row>
    <row r="12" spans="1:16" x14ac:dyDescent="0.3">
      <c r="A12" t="s">
        <v>53</v>
      </c>
      <c r="B12" s="12">
        <v>45663</v>
      </c>
      <c r="C12" t="s">
        <v>32</v>
      </c>
      <c r="D12" t="s">
        <v>14</v>
      </c>
      <c r="E12" t="s">
        <v>54</v>
      </c>
      <c r="F12" t="s">
        <v>23</v>
      </c>
      <c r="G12" t="s">
        <v>48</v>
      </c>
      <c r="H12" t="s">
        <v>49</v>
      </c>
      <c r="I12">
        <v>4</v>
      </c>
      <c r="J12">
        <v>0.2</v>
      </c>
      <c r="K12">
        <v>6241.88</v>
      </c>
      <c r="L12">
        <v>516.77</v>
      </c>
      <c r="M12">
        <v>2025</v>
      </c>
      <c r="N12" t="s">
        <v>613</v>
      </c>
      <c r="O12" t="s">
        <v>625</v>
      </c>
      <c r="P12">
        <v>8.2790761757675566E-2</v>
      </c>
    </row>
    <row r="13" spans="1:16" x14ac:dyDescent="0.3">
      <c r="A13" t="s">
        <v>55</v>
      </c>
      <c r="B13" s="12">
        <v>45663</v>
      </c>
      <c r="C13" t="s">
        <v>56</v>
      </c>
      <c r="D13" t="s">
        <v>21</v>
      </c>
      <c r="E13" t="s">
        <v>57</v>
      </c>
      <c r="F13" t="s">
        <v>23</v>
      </c>
      <c r="G13" t="s">
        <v>58</v>
      </c>
      <c r="H13" t="s">
        <v>59</v>
      </c>
      <c r="I13">
        <v>4</v>
      </c>
      <c r="J13">
        <v>0.15</v>
      </c>
      <c r="K13">
        <v>179862.36</v>
      </c>
      <c r="L13">
        <v>30742.15</v>
      </c>
      <c r="M13">
        <v>2025</v>
      </c>
      <c r="N13" t="s">
        <v>613</v>
      </c>
      <c r="O13" t="s">
        <v>625</v>
      </c>
      <c r="P13">
        <v>0.17092041936956684</v>
      </c>
    </row>
    <row r="14" spans="1:16" x14ac:dyDescent="0.3">
      <c r="A14" t="s">
        <v>60</v>
      </c>
      <c r="B14" s="12">
        <v>45663</v>
      </c>
      <c r="C14" t="s">
        <v>61</v>
      </c>
      <c r="D14" t="s">
        <v>14</v>
      </c>
      <c r="E14" t="s">
        <v>15</v>
      </c>
      <c r="F14" t="s">
        <v>16</v>
      </c>
      <c r="G14" t="s">
        <v>62</v>
      </c>
      <c r="H14" t="s">
        <v>63</v>
      </c>
      <c r="I14">
        <v>2</v>
      </c>
      <c r="J14">
        <v>0.05</v>
      </c>
      <c r="K14">
        <v>6738.58</v>
      </c>
      <c r="L14">
        <v>1010.09</v>
      </c>
      <c r="M14">
        <v>2025</v>
      </c>
      <c r="N14" t="s">
        <v>613</v>
      </c>
      <c r="O14" t="s">
        <v>625</v>
      </c>
      <c r="P14">
        <v>0.14989656574530541</v>
      </c>
    </row>
    <row r="15" spans="1:16" x14ac:dyDescent="0.3">
      <c r="A15" t="s">
        <v>64</v>
      </c>
      <c r="B15" s="12">
        <v>45664</v>
      </c>
      <c r="C15" t="s">
        <v>44</v>
      </c>
      <c r="D15" t="s">
        <v>14</v>
      </c>
      <c r="E15" t="s">
        <v>54</v>
      </c>
      <c r="F15" t="s">
        <v>16</v>
      </c>
      <c r="G15" t="s">
        <v>17</v>
      </c>
      <c r="H15" t="s">
        <v>18</v>
      </c>
      <c r="I15">
        <v>1</v>
      </c>
      <c r="J15">
        <v>0.1</v>
      </c>
      <c r="K15">
        <v>4775</v>
      </c>
      <c r="L15">
        <v>753.07</v>
      </c>
      <c r="M15">
        <v>2025</v>
      </c>
      <c r="N15" t="s">
        <v>613</v>
      </c>
      <c r="O15" t="s">
        <v>625</v>
      </c>
      <c r="P15">
        <v>0.15771099476439793</v>
      </c>
    </row>
    <row r="16" spans="1:16" x14ac:dyDescent="0.3">
      <c r="A16" t="s">
        <v>65</v>
      </c>
      <c r="B16" s="12">
        <v>45665</v>
      </c>
      <c r="C16" t="s">
        <v>66</v>
      </c>
      <c r="D16" t="s">
        <v>21</v>
      </c>
      <c r="E16" t="s">
        <v>67</v>
      </c>
      <c r="F16" t="s">
        <v>16</v>
      </c>
      <c r="G16" t="s">
        <v>68</v>
      </c>
      <c r="H16" t="s">
        <v>69</v>
      </c>
      <c r="I16">
        <v>2</v>
      </c>
      <c r="J16">
        <v>0.15</v>
      </c>
      <c r="K16">
        <v>9930.18</v>
      </c>
      <c r="L16">
        <v>1258.3699999999999</v>
      </c>
      <c r="M16">
        <v>2025</v>
      </c>
      <c r="N16" t="s">
        <v>613</v>
      </c>
      <c r="O16" t="s">
        <v>625</v>
      </c>
      <c r="P16">
        <v>0.12672177140797045</v>
      </c>
    </row>
    <row r="17" spans="1:16" x14ac:dyDescent="0.3">
      <c r="A17" t="s">
        <v>70</v>
      </c>
      <c r="B17" s="12">
        <v>45667</v>
      </c>
      <c r="C17" t="s">
        <v>32</v>
      </c>
      <c r="D17" t="s">
        <v>14</v>
      </c>
      <c r="E17" t="s">
        <v>54</v>
      </c>
      <c r="F17" t="s">
        <v>28</v>
      </c>
      <c r="G17" t="s">
        <v>71</v>
      </c>
      <c r="H17" t="s">
        <v>72</v>
      </c>
      <c r="I17">
        <v>6</v>
      </c>
      <c r="J17">
        <v>0.05</v>
      </c>
      <c r="K17">
        <v>5590.86</v>
      </c>
      <c r="L17">
        <v>775.97</v>
      </c>
      <c r="M17">
        <v>2025</v>
      </c>
      <c r="N17" t="s">
        <v>613</v>
      </c>
      <c r="O17" t="s">
        <v>625</v>
      </c>
      <c r="P17">
        <v>0.13879260078055972</v>
      </c>
    </row>
    <row r="18" spans="1:16" x14ac:dyDescent="0.3">
      <c r="A18" t="s">
        <v>73</v>
      </c>
      <c r="B18" s="12">
        <v>45668</v>
      </c>
      <c r="C18" t="s">
        <v>61</v>
      </c>
      <c r="D18" t="s">
        <v>33</v>
      </c>
      <c r="E18" t="s">
        <v>34</v>
      </c>
      <c r="F18" t="s">
        <v>28</v>
      </c>
      <c r="G18" t="s">
        <v>74</v>
      </c>
      <c r="H18" t="s">
        <v>75</v>
      </c>
      <c r="I18">
        <v>7</v>
      </c>
      <c r="J18">
        <v>0.05</v>
      </c>
      <c r="K18">
        <v>4500.72</v>
      </c>
      <c r="L18">
        <v>453.15</v>
      </c>
      <c r="M18">
        <v>2025</v>
      </c>
      <c r="N18" t="s">
        <v>613</v>
      </c>
      <c r="O18" t="s">
        <v>625</v>
      </c>
      <c r="P18">
        <v>0.10068389057750758</v>
      </c>
    </row>
    <row r="19" spans="1:16" x14ac:dyDescent="0.3">
      <c r="A19" t="s">
        <v>76</v>
      </c>
      <c r="B19" s="12">
        <v>45669</v>
      </c>
      <c r="C19" t="s">
        <v>77</v>
      </c>
      <c r="D19" t="s">
        <v>21</v>
      </c>
      <c r="E19" t="s">
        <v>22</v>
      </c>
      <c r="F19" t="s">
        <v>23</v>
      </c>
      <c r="G19" t="s">
        <v>58</v>
      </c>
      <c r="H19" t="s">
        <v>78</v>
      </c>
      <c r="I19">
        <v>4</v>
      </c>
      <c r="J19">
        <v>0.1</v>
      </c>
      <c r="K19">
        <v>196307.32</v>
      </c>
      <c r="L19">
        <v>39775.83</v>
      </c>
      <c r="M19">
        <v>2025</v>
      </c>
      <c r="N19" t="s">
        <v>613</v>
      </c>
      <c r="O19" t="s">
        <v>625</v>
      </c>
      <c r="P19">
        <v>0.20262020794741634</v>
      </c>
    </row>
    <row r="20" spans="1:16" x14ac:dyDescent="0.3">
      <c r="A20" t="s">
        <v>79</v>
      </c>
      <c r="B20" s="12">
        <v>45669</v>
      </c>
      <c r="C20" t="s">
        <v>38</v>
      </c>
      <c r="D20" t="s">
        <v>14</v>
      </c>
      <c r="E20" t="s">
        <v>15</v>
      </c>
      <c r="F20" t="s">
        <v>28</v>
      </c>
      <c r="G20" t="s">
        <v>74</v>
      </c>
      <c r="H20" t="s">
        <v>80</v>
      </c>
      <c r="I20">
        <v>1</v>
      </c>
      <c r="J20">
        <v>0</v>
      </c>
      <c r="K20">
        <v>2952.64</v>
      </c>
      <c r="L20">
        <v>265.27999999999997</v>
      </c>
      <c r="M20">
        <v>2025</v>
      </c>
      <c r="N20" t="s">
        <v>613</v>
      </c>
      <c r="O20" t="s">
        <v>625</v>
      </c>
      <c r="P20">
        <v>8.9845020049853688E-2</v>
      </c>
    </row>
    <row r="21" spans="1:16" x14ac:dyDescent="0.3">
      <c r="A21" t="s">
        <v>81</v>
      </c>
      <c r="B21" s="12">
        <v>45670</v>
      </c>
      <c r="C21" t="s">
        <v>82</v>
      </c>
      <c r="D21" t="s">
        <v>14</v>
      </c>
      <c r="E21" t="s">
        <v>15</v>
      </c>
      <c r="F21" t="s">
        <v>16</v>
      </c>
      <c r="G21" t="s">
        <v>68</v>
      </c>
      <c r="H21" t="s">
        <v>83</v>
      </c>
      <c r="I21">
        <v>7</v>
      </c>
      <c r="J21">
        <v>0.05</v>
      </c>
      <c r="K21">
        <v>20494.53</v>
      </c>
      <c r="L21">
        <v>2259.9499999999998</v>
      </c>
      <c r="M21">
        <v>2025</v>
      </c>
      <c r="N21" t="s">
        <v>613</v>
      </c>
      <c r="O21" t="s">
        <v>625</v>
      </c>
      <c r="P21">
        <v>0.11027088691470358</v>
      </c>
    </row>
    <row r="22" spans="1:16" x14ac:dyDescent="0.3">
      <c r="A22" t="s">
        <v>84</v>
      </c>
      <c r="B22" s="12">
        <v>45670</v>
      </c>
      <c r="C22" t="s">
        <v>85</v>
      </c>
      <c r="D22" t="s">
        <v>33</v>
      </c>
      <c r="E22" t="s">
        <v>86</v>
      </c>
      <c r="F22" t="s">
        <v>23</v>
      </c>
      <c r="G22" t="s">
        <v>58</v>
      </c>
      <c r="H22" t="s">
        <v>59</v>
      </c>
      <c r="I22">
        <v>7</v>
      </c>
      <c r="J22">
        <v>0</v>
      </c>
      <c r="K22">
        <v>212336.95</v>
      </c>
      <c r="L22">
        <v>39631.83</v>
      </c>
      <c r="M22">
        <v>2025</v>
      </c>
      <c r="N22" t="s">
        <v>613</v>
      </c>
      <c r="O22" t="s">
        <v>625</v>
      </c>
      <c r="P22">
        <v>0.18664594174494831</v>
      </c>
    </row>
    <row r="23" spans="1:16" x14ac:dyDescent="0.3">
      <c r="A23" t="s">
        <v>87</v>
      </c>
      <c r="B23" s="12">
        <v>45670</v>
      </c>
      <c r="C23" t="s">
        <v>66</v>
      </c>
      <c r="D23" t="s">
        <v>14</v>
      </c>
      <c r="E23" t="s">
        <v>15</v>
      </c>
      <c r="F23" t="s">
        <v>16</v>
      </c>
      <c r="G23" t="s">
        <v>17</v>
      </c>
      <c r="H23" t="s">
        <v>88</v>
      </c>
      <c r="I23">
        <v>5</v>
      </c>
      <c r="J23">
        <v>0.15</v>
      </c>
      <c r="K23">
        <v>12281.65</v>
      </c>
      <c r="L23">
        <v>644.5</v>
      </c>
      <c r="M23">
        <v>2025</v>
      </c>
      <c r="N23" t="s">
        <v>613</v>
      </c>
      <c r="O23" t="s">
        <v>625</v>
      </c>
      <c r="P23">
        <v>5.247666233771521E-2</v>
      </c>
    </row>
    <row r="24" spans="1:16" x14ac:dyDescent="0.3">
      <c r="A24" t="s">
        <v>89</v>
      </c>
      <c r="B24" s="12">
        <v>45671</v>
      </c>
      <c r="C24" t="s">
        <v>27</v>
      </c>
      <c r="D24" t="s">
        <v>14</v>
      </c>
      <c r="E24" t="s">
        <v>54</v>
      </c>
      <c r="F24" t="s">
        <v>23</v>
      </c>
      <c r="G24" t="s">
        <v>58</v>
      </c>
      <c r="H24" t="s">
        <v>90</v>
      </c>
      <c r="I24">
        <v>2</v>
      </c>
      <c r="J24">
        <v>0</v>
      </c>
      <c r="K24">
        <v>63934.26</v>
      </c>
      <c r="L24">
        <v>6629.38</v>
      </c>
      <c r="M24">
        <v>2025</v>
      </c>
      <c r="N24" t="s">
        <v>613</v>
      </c>
      <c r="O24" t="s">
        <v>625</v>
      </c>
      <c r="P24">
        <v>0.10369057215959018</v>
      </c>
    </row>
    <row r="25" spans="1:16" x14ac:dyDescent="0.3">
      <c r="A25" t="s">
        <v>91</v>
      </c>
      <c r="B25" s="12">
        <v>45674</v>
      </c>
      <c r="C25" t="s">
        <v>82</v>
      </c>
      <c r="D25" t="s">
        <v>33</v>
      </c>
      <c r="E25" t="s">
        <v>86</v>
      </c>
      <c r="F25" t="s">
        <v>28</v>
      </c>
      <c r="G25" t="s">
        <v>92</v>
      </c>
      <c r="H25" t="s">
        <v>93</v>
      </c>
      <c r="I25">
        <v>1</v>
      </c>
      <c r="J25">
        <v>0.05</v>
      </c>
      <c r="K25">
        <v>4719.87</v>
      </c>
      <c r="L25">
        <v>646.11</v>
      </c>
      <c r="M25">
        <v>2025</v>
      </c>
      <c r="N25" t="s">
        <v>613</v>
      </c>
      <c r="O25" t="s">
        <v>625</v>
      </c>
      <c r="P25">
        <v>0.13689148218065328</v>
      </c>
    </row>
    <row r="26" spans="1:16" x14ac:dyDescent="0.3">
      <c r="A26" t="s">
        <v>94</v>
      </c>
      <c r="B26" s="12">
        <v>45675</v>
      </c>
      <c r="C26" t="s">
        <v>95</v>
      </c>
      <c r="D26" t="s">
        <v>21</v>
      </c>
      <c r="E26" t="s">
        <v>67</v>
      </c>
      <c r="F26" t="s">
        <v>16</v>
      </c>
      <c r="G26" t="s">
        <v>41</v>
      </c>
      <c r="H26" t="s">
        <v>42</v>
      </c>
      <c r="I26">
        <v>7</v>
      </c>
      <c r="J26">
        <v>0.1</v>
      </c>
      <c r="K26">
        <v>27036.87</v>
      </c>
      <c r="L26">
        <v>3969.11</v>
      </c>
      <c r="M26">
        <v>2025</v>
      </c>
      <c r="N26" t="s">
        <v>613</v>
      </c>
      <c r="O26" t="s">
        <v>625</v>
      </c>
      <c r="P26">
        <v>0.1468036055948784</v>
      </c>
    </row>
    <row r="27" spans="1:16" x14ac:dyDescent="0.3">
      <c r="A27" t="s">
        <v>96</v>
      </c>
      <c r="B27" s="12">
        <v>45675</v>
      </c>
      <c r="C27" t="s">
        <v>38</v>
      </c>
      <c r="D27" t="s">
        <v>14</v>
      </c>
      <c r="E27" t="s">
        <v>97</v>
      </c>
      <c r="F27" t="s">
        <v>28</v>
      </c>
      <c r="G27" t="s">
        <v>29</v>
      </c>
      <c r="H27" t="s">
        <v>98</v>
      </c>
      <c r="I27">
        <v>6</v>
      </c>
      <c r="J27">
        <v>0</v>
      </c>
      <c r="K27">
        <v>3056.52</v>
      </c>
      <c r="L27">
        <v>459.74</v>
      </c>
      <c r="M27">
        <v>2025</v>
      </c>
      <c r="N27" t="s">
        <v>613</v>
      </c>
      <c r="O27" t="s">
        <v>625</v>
      </c>
      <c r="P27">
        <v>0.15041288785939566</v>
      </c>
    </row>
    <row r="28" spans="1:16" x14ac:dyDescent="0.3">
      <c r="A28" t="s">
        <v>99</v>
      </c>
      <c r="B28" s="12">
        <v>45676</v>
      </c>
      <c r="C28" t="s">
        <v>100</v>
      </c>
      <c r="D28" t="s">
        <v>33</v>
      </c>
      <c r="E28" t="s">
        <v>45</v>
      </c>
      <c r="F28" t="s">
        <v>23</v>
      </c>
      <c r="G28" t="s">
        <v>58</v>
      </c>
      <c r="H28" t="s">
        <v>101</v>
      </c>
      <c r="I28">
        <v>7</v>
      </c>
      <c r="J28">
        <v>0</v>
      </c>
      <c r="K28">
        <v>233516.22</v>
      </c>
      <c r="L28">
        <v>44414.81</v>
      </c>
      <c r="M28">
        <v>2025</v>
      </c>
      <c r="N28" t="s">
        <v>613</v>
      </c>
      <c r="O28" t="s">
        <v>625</v>
      </c>
      <c r="P28">
        <v>0.19020010687052058</v>
      </c>
    </row>
    <row r="29" spans="1:16" x14ac:dyDescent="0.3">
      <c r="A29" t="s">
        <v>102</v>
      </c>
      <c r="B29" s="12">
        <v>45677</v>
      </c>
      <c r="C29" t="s">
        <v>77</v>
      </c>
      <c r="D29" t="s">
        <v>21</v>
      </c>
      <c r="E29" t="s">
        <v>22</v>
      </c>
      <c r="F29" t="s">
        <v>28</v>
      </c>
      <c r="G29" t="s">
        <v>74</v>
      </c>
      <c r="H29" t="s">
        <v>80</v>
      </c>
      <c r="I29">
        <v>4</v>
      </c>
      <c r="J29">
        <v>0.05</v>
      </c>
      <c r="K29">
        <v>2650.8</v>
      </c>
      <c r="L29">
        <v>511.66</v>
      </c>
      <c r="M29">
        <v>2025</v>
      </c>
      <c r="N29" t="s">
        <v>613</v>
      </c>
      <c r="O29" t="s">
        <v>625</v>
      </c>
      <c r="P29">
        <v>0.19302097480006036</v>
      </c>
    </row>
    <row r="30" spans="1:16" x14ac:dyDescent="0.3">
      <c r="A30" t="s">
        <v>103</v>
      </c>
      <c r="B30" s="12">
        <v>45677</v>
      </c>
      <c r="C30" t="s">
        <v>104</v>
      </c>
      <c r="D30" t="s">
        <v>21</v>
      </c>
      <c r="E30" t="s">
        <v>105</v>
      </c>
      <c r="F30" t="s">
        <v>23</v>
      </c>
      <c r="G30" t="s">
        <v>58</v>
      </c>
      <c r="H30" t="s">
        <v>101</v>
      </c>
      <c r="I30">
        <v>5</v>
      </c>
      <c r="J30">
        <v>0</v>
      </c>
      <c r="K30">
        <v>104715.25</v>
      </c>
      <c r="L30">
        <v>16140.97</v>
      </c>
      <c r="M30">
        <v>2025</v>
      </c>
      <c r="N30" t="s">
        <v>613</v>
      </c>
      <c r="O30" t="s">
        <v>625</v>
      </c>
      <c r="P30">
        <v>0.15414154098853797</v>
      </c>
    </row>
    <row r="31" spans="1:16" x14ac:dyDescent="0.3">
      <c r="A31" t="s">
        <v>106</v>
      </c>
      <c r="B31" s="12">
        <v>45677</v>
      </c>
      <c r="C31" t="s">
        <v>77</v>
      </c>
      <c r="D31" t="s">
        <v>39</v>
      </c>
      <c r="E31" t="s">
        <v>47</v>
      </c>
      <c r="F31" t="s">
        <v>16</v>
      </c>
      <c r="G31" t="s">
        <v>68</v>
      </c>
      <c r="H31" t="s">
        <v>69</v>
      </c>
      <c r="I31">
        <v>7</v>
      </c>
      <c r="J31">
        <v>0.2</v>
      </c>
      <c r="K31">
        <v>73878.14</v>
      </c>
      <c r="L31">
        <v>8805.93</v>
      </c>
      <c r="M31">
        <v>2025</v>
      </c>
      <c r="N31" t="s">
        <v>613</v>
      </c>
      <c r="O31" t="s">
        <v>625</v>
      </c>
      <c r="P31">
        <v>0.11919533978521929</v>
      </c>
    </row>
    <row r="32" spans="1:16" x14ac:dyDescent="0.3">
      <c r="A32" t="s">
        <v>107</v>
      </c>
      <c r="B32" s="12">
        <v>45677</v>
      </c>
      <c r="C32" t="s">
        <v>100</v>
      </c>
      <c r="D32" t="s">
        <v>21</v>
      </c>
      <c r="E32" t="s">
        <v>67</v>
      </c>
      <c r="F32" t="s">
        <v>28</v>
      </c>
      <c r="G32" t="s">
        <v>29</v>
      </c>
      <c r="H32" t="s">
        <v>30</v>
      </c>
      <c r="I32">
        <v>3</v>
      </c>
      <c r="J32">
        <v>0.1</v>
      </c>
      <c r="K32">
        <v>12676.95</v>
      </c>
      <c r="L32">
        <v>2717.64</v>
      </c>
      <c r="M32">
        <v>2025</v>
      </c>
      <c r="N32" t="s">
        <v>613</v>
      </c>
      <c r="O32" t="s">
        <v>625</v>
      </c>
      <c r="P32">
        <v>0.21437648645770471</v>
      </c>
    </row>
    <row r="33" spans="1:16" x14ac:dyDescent="0.3">
      <c r="A33" t="s">
        <v>108</v>
      </c>
      <c r="B33" s="12">
        <v>45678</v>
      </c>
      <c r="C33" t="s">
        <v>109</v>
      </c>
      <c r="D33" t="s">
        <v>21</v>
      </c>
      <c r="E33" t="s">
        <v>22</v>
      </c>
      <c r="F33" t="s">
        <v>28</v>
      </c>
      <c r="G33" t="s">
        <v>71</v>
      </c>
      <c r="H33" t="s">
        <v>72</v>
      </c>
      <c r="I33">
        <v>3</v>
      </c>
      <c r="J33">
        <v>0.2</v>
      </c>
      <c r="K33">
        <v>411.18</v>
      </c>
      <c r="L33">
        <v>66.88</v>
      </c>
      <c r="M33">
        <v>2025</v>
      </c>
      <c r="N33" t="s">
        <v>613</v>
      </c>
      <c r="O33" t="s">
        <v>626</v>
      </c>
      <c r="P33">
        <v>0.16265382557517388</v>
      </c>
    </row>
    <row r="34" spans="1:16" x14ac:dyDescent="0.3">
      <c r="A34" t="s">
        <v>110</v>
      </c>
      <c r="B34" s="12">
        <v>45679</v>
      </c>
      <c r="C34" t="s">
        <v>111</v>
      </c>
      <c r="D34" t="s">
        <v>21</v>
      </c>
      <c r="E34" t="s">
        <v>22</v>
      </c>
      <c r="F34" t="s">
        <v>28</v>
      </c>
      <c r="G34" t="s">
        <v>71</v>
      </c>
      <c r="H34" t="s">
        <v>72</v>
      </c>
      <c r="I34">
        <v>3</v>
      </c>
      <c r="J34">
        <v>0</v>
      </c>
      <c r="K34">
        <v>5457.03</v>
      </c>
      <c r="L34">
        <v>741.01</v>
      </c>
      <c r="M34">
        <v>2025</v>
      </c>
      <c r="N34" t="s">
        <v>613</v>
      </c>
      <c r="O34" t="s">
        <v>625</v>
      </c>
      <c r="P34">
        <v>0.13578998099698922</v>
      </c>
    </row>
    <row r="35" spans="1:16" x14ac:dyDescent="0.3">
      <c r="A35" t="s">
        <v>112</v>
      </c>
      <c r="B35" s="12">
        <v>45679</v>
      </c>
      <c r="C35" t="s">
        <v>38</v>
      </c>
      <c r="D35" t="s">
        <v>33</v>
      </c>
      <c r="E35" t="s">
        <v>45</v>
      </c>
      <c r="F35" t="s">
        <v>28</v>
      </c>
      <c r="G35" t="s">
        <v>29</v>
      </c>
      <c r="H35" t="s">
        <v>98</v>
      </c>
      <c r="I35">
        <v>3</v>
      </c>
      <c r="J35">
        <v>0.05</v>
      </c>
      <c r="K35">
        <v>13119.12</v>
      </c>
      <c r="L35">
        <v>1119.77</v>
      </c>
      <c r="M35">
        <v>2025</v>
      </c>
      <c r="N35" t="s">
        <v>613</v>
      </c>
      <c r="O35" t="s">
        <v>625</v>
      </c>
      <c r="P35">
        <v>8.5354048137375058E-2</v>
      </c>
    </row>
    <row r="36" spans="1:16" x14ac:dyDescent="0.3">
      <c r="A36" t="s">
        <v>113</v>
      </c>
      <c r="B36" s="12">
        <v>45681</v>
      </c>
      <c r="C36" t="s">
        <v>38</v>
      </c>
      <c r="D36" t="s">
        <v>14</v>
      </c>
      <c r="E36" t="s">
        <v>114</v>
      </c>
      <c r="F36" t="s">
        <v>23</v>
      </c>
      <c r="G36" t="s">
        <v>35</v>
      </c>
      <c r="H36" t="s">
        <v>36</v>
      </c>
      <c r="I36">
        <v>3</v>
      </c>
      <c r="J36">
        <v>0.2</v>
      </c>
      <c r="K36">
        <v>22742.67</v>
      </c>
      <c r="L36">
        <v>234.69</v>
      </c>
      <c r="M36">
        <v>2025</v>
      </c>
      <c r="N36" t="s">
        <v>613</v>
      </c>
      <c r="O36" t="s">
        <v>625</v>
      </c>
      <c r="P36">
        <v>1.031936883400234E-2</v>
      </c>
    </row>
    <row r="37" spans="1:16" x14ac:dyDescent="0.3">
      <c r="A37" t="s">
        <v>115</v>
      </c>
      <c r="B37" s="12">
        <v>45682</v>
      </c>
      <c r="C37" t="s">
        <v>100</v>
      </c>
      <c r="D37" t="s">
        <v>33</v>
      </c>
      <c r="E37" t="s">
        <v>86</v>
      </c>
      <c r="F37" t="s">
        <v>23</v>
      </c>
      <c r="G37" t="s">
        <v>58</v>
      </c>
      <c r="H37" t="s">
        <v>78</v>
      </c>
      <c r="I37">
        <v>6</v>
      </c>
      <c r="J37">
        <v>0.05</v>
      </c>
      <c r="K37">
        <v>107041.32</v>
      </c>
      <c r="L37">
        <v>15439.88</v>
      </c>
      <c r="M37">
        <v>2025</v>
      </c>
      <c r="N37" t="s">
        <v>613</v>
      </c>
      <c r="O37" t="s">
        <v>625</v>
      </c>
      <c r="P37">
        <v>0.14424224215471182</v>
      </c>
    </row>
    <row r="38" spans="1:16" x14ac:dyDescent="0.3">
      <c r="A38" t="s">
        <v>116</v>
      </c>
      <c r="B38" s="12">
        <v>45682</v>
      </c>
      <c r="C38" t="s">
        <v>95</v>
      </c>
      <c r="D38" t="s">
        <v>21</v>
      </c>
      <c r="E38" t="s">
        <v>22</v>
      </c>
      <c r="F38" t="s">
        <v>28</v>
      </c>
      <c r="G38" t="s">
        <v>74</v>
      </c>
      <c r="H38" t="s">
        <v>75</v>
      </c>
      <c r="I38">
        <v>1</v>
      </c>
      <c r="J38">
        <v>0</v>
      </c>
      <c r="K38">
        <v>2448.84</v>
      </c>
      <c r="L38">
        <v>580.04999999999995</v>
      </c>
      <c r="M38">
        <v>2025</v>
      </c>
      <c r="N38" t="s">
        <v>613</v>
      </c>
      <c r="O38" t="s">
        <v>625</v>
      </c>
      <c r="P38">
        <v>0.23686725143333168</v>
      </c>
    </row>
    <row r="39" spans="1:16" x14ac:dyDescent="0.3">
      <c r="A39" t="s">
        <v>117</v>
      </c>
      <c r="B39" s="12">
        <v>45682</v>
      </c>
      <c r="C39" t="s">
        <v>85</v>
      </c>
      <c r="D39" t="s">
        <v>21</v>
      </c>
      <c r="E39" t="s">
        <v>57</v>
      </c>
      <c r="F39" t="s">
        <v>23</v>
      </c>
      <c r="G39" t="s">
        <v>48</v>
      </c>
      <c r="H39" t="s">
        <v>118</v>
      </c>
      <c r="I39">
        <v>5</v>
      </c>
      <c r="J39">
        <v>0.2</v>
      </c>
      <c r="K39">
        <v>33953.449999999997</v>
      </c>
      <c r="L39">
        <v>488.52</v>
      </c>
      <c r="M39">
        <v>2025</v>
      </c>
      <c r="N39" t="s">
        <v>613</v>
      </c>
      <c r="O39" t="s">
        <v>625</v>
      </c>
      <c r="P39">
        <v>1.4387934068555626E-2</v>
      </c>
    </row>
    <row r="40" spans="1:16" x14ac:dyDescent="0.3">
      <c r="A40" t="s">
        <v>119</v>
      </c>
      <c r="B40" s="12">
        <v>45682</v>
      </c>
      <c r="C40" t="s">
        <v>85</v>
      </c>
      <c r="D40" t="s">
        <v>39</v>
      </c>
      <c r="E40" t="s">
        <v>52</v>
      </c>
      <c r="F40" t="s">
        <v>23</v>
      </c>
      <c r="G40" t="s">
        <v>48</v>
      </c>
      <c r="H40" t="s">
        <v>118</v>
      </c>
      <c r="I40">
        <v>4</v>
      </c>
      <c r="J40">
        <v>0.2</v>
      </c>
      <c r="K40">
        <v>126689.36</v>
      </c>
      <c r="L40">
        <v>13821.48</v>
      </c>
      <c r="M40">
        <v>2025</v>
      </c>
      <c r="N40" t="s">
        <v>613</v>
      </c>
      <c r="O40" t="s">
        <v>625</v>
      </c>
      <c r="P40">
        <v>0.10909740170760986</v>
      </c>
    </row>
    <row r="41" spans="1:16" x14ac:dyDescent="0.3">
      <c r="A41" t="s">
        <v>120</v>
      </c>
      <c r="B41" s="12">
        <v>45683</v>
      </c>
      <c r="C41" t="s">
        <v>13</v>
      </c>
      <c r="D41" t="s">
        <v>33</v>
      </c>
      <c r="E41" t="s">
        <v>45</v>
      </c>
      <c r="F41" t="s">
        <v>28</v>
      </c>
      <c r="G41" t="s">
        <v>71</v>
      </c>
      <c r="H41" t="s">
        <v>121</v>
      </c>
      <c r="I41">
        <v>2</v>
      </c>
      <c r="J41">
        <v>0.1</v>
      </c>
      <c r="K41">
        <v>3288.44</v>
      </c>
      <c r="L41">
        <v>230.14</v>
      </c>
      <c r="M41">
        <v>2025</v>
      </c>
      <c r="N41" t="s">
        <v>613</v>
      </c>
      <c r="O41" t="s">
        <v>625</v>
      </c>
      <c r="P41">
        <v>6.9984551945603379E-2</v>
      </c>
    </row>
    <row r="42" spans="1:16" x14ac:dyDescent="0.3">
      <c r="A42" t="s">
        <v>122</v>
      </c>
      <c r="B42" s="12">
        <v>45684</v>
      </c>
      <c r="C42" t="s">
        <v>38</v>
      </c>
      <c r="D42" t="s">
        <v>14</v>
      </c>
      <c r="E42" t="s">
        <v>114</v>
      </c>
      <c r="F42" t="s">
        <v>28</v>
      </c>
      <c r="G42" t="s">
        <v>29</v>
      </c>
      <c r="H42" t="s">
        <v>30</v>
      </c>
      <c r="I42">
        <v>5</v>
      </c>
      <c r="J42">
        <v>0</v>
      </c>
      <c r="K42">
        <v>14789.8</v>
      </c>
      <c r="L42">
        <v>2563.4699999999998</v>
      </c>
      <c r="M42">
        <v>2025</v>
      </c>
      <c r="N42" t="s">
        <v>613</v>
      </c>
      <c r="O42" t="s">
        <v>625</v>
      </c>
      <c r="P42">
        <v>0.1733268874494584</v>
      </c>
    </row>
    <row r="43" spans="1:16" x14ac:dyDescent="0.3">
      <c r="A43" t="s">
        <v>123</v>
      </c>
      <c r="B43" s="12">
        <v>45684</v>
      </c>
      <c r="C43" t="s">
        <v>32</v>
      </c>
      <c r="D43" t="s">
        <v>21</v>
      </c>
      <c r="E43" t="s">
        <v>105</v>
      </c>
      <c r="F43" t="s">
        <v>23</v>
      </c>
      <c r="G43" t="s">
        <v>48</v>
      </c>
      <c r="H43" t="s">
        <v>124</v>
      </c>
      <c r="I43">
        <v>1</v>
      </c>
      <c r="J43">
        <v>0.15</v>
      </c>
      <c r="K43">
        <v>48191.24</v>
      </c>
      <c r="L43">
        <v>7316.2</v>
      </c>
      <c r="M43">
        <v>2025</v>
      </c>
      <c r="N43" t="s">
        <v>613</v>
      </c>
      <c r="O43" t="s">
        <v>625</v>
      </c>
      <c r="P43">
        <v>0.15181597319346835</v>
      </c>
    </row>
    <row r="44" spans="1:16" x14ac:dyDescent="0.3">
      <c r="A44" t="s">
        <v>125</v>
      </c>
      <c r="B44" s="12">
        <v>45685</v>
      </c>
      <c r="C44" t="s">
        <v>109</v>
      </c>
      <c r="D44" t="s">
        <v>39</v>
      </c>
      <c r="E44" t="s">
        <v>40</v>
      </c>
      <c r="F44" t="s">
        <v>23</v>
      </c>
      <c r="G44" t="s">
        <v>48</v>
      </c>
      <c r="H44" t="s">
        <v>118</v>
      </c>
      <c r="I44">
        <v>6</v>
      </c>
      <c r="J44">
        <v>0.2</v>
      </c>
      <c r="K44">
        <v>141340.26</v>
      </c>
      <c r="L44">
        <v>2911.33</v>
      </c>
      <c r="M44">
        <v>2025</v>
      </c>
      <c r="N44" t="s">
        <v>613</v>
      </c>
      <c r="O44" t="s">
        <v>625</v>
      </c>
      <c r="P44">
        <v>2.0598023521394396E-2</v>
      </c>
    </row>
    <row r="45" spans="1:16" x14ac:dyDescent="0.3">
      <c r="A45" t="s">
        <v>126</v>
      </c>
      <c r="B45" s="12">
        <v>45685</v>
      </c>
      <c r="C45" t="s">
        <v>61</v>
      </c>
      <c r="D45" t="s">
        <v>39</v>
      </c>
      <c r="E45" t="s">
        <v>40</v>
      </c>
      <c r="F45" t="s">
        <v>16</v>
      </c>
      <c r="G45" t="s">
        <v>17</v>
      </c>
      <c r="H45" t="s">
        <v>18</v>
      </c>
      <c r="I45">
        <v>7</v>
      </c>
      <c r="J45">
        <v>0.05</v>
      </c>
      <c r="K45">
        <v>29427.37</v>
      </c>
      <c r="L45">
        <v>4517.3100000000004</v>
      </c>
      <c r="M45">
        <v>2025</v>
      </c>
      <c r="N45" t="s">
        <v>613</v>
      </c>
      <c r="O45" t="s">
        <v>625</v>
      </c>
      <c r="P45">
        <v>0.15350709220701683</v>
      </c>
    </row>
    <row r="46" spans="1:16" x14ac:dyDescent="0.3">
      <c r="A46" t="s">
        <v>127</v>
      </c>
      <c r="B46" s="12">
        <v>45685</v>
      </c>
      <c r="C46" t="s">
        <v>95</v>
      </c>
      <c r="D46" t="s">
        <v>39</v>
      </c>
      <c r="E46" t="s">
        <v>128</v>
      </c>
      <c r="F46" t="s">
        <v>23</v>
      </c>
      <c r="G46" t="s">
        <v>24</v>
      </c>
      <c r="H46" t="s">
        <v>129</v>
      </c>
      <c r="I46">
        <v>3</v>
      </c>
      <c r="J46">
        <v>0</v>
      </c>
      <c r="K46">
        <v>99334.32</v>
      </c>
      <c r="L46">
        <v>21008.26</v>
      </c>
      <c r="M46">
        <v>2025</v>
      </c>
      <c r="N46" t="s">
        <v>613</v>
      </c>
      <c r="O46" t="s">
        <v>625</v>
      </c>
      <c r="P46">
        <v>0.21149044962506411</v>
      </c>
    </row>
    <row r="47" spans="1:16" x14ac:dyDescent="0.3">
      <c r="A47" t="s">
        <v>130</v>
      </c>
      <c r="B47" s="12">
        <v>45686</v>
      </c>
      <c r="C47" t="s">
        <v>77</v>
      </c>
      <c r="D47" t="s">
        <v>14</v>
      </c>
      <c r="E47" t="s">
        <v>54</v>
      </c>
      <c r="F47" t="s">
        <v>28</v>
      </c>
      <c r="G47" t="s">
        <v>71</v>
      </c>
      <c r="H47" t="s">
        <v>121</v>
      </c>
      <c r="I47">
        <v>5</v>
      </c>
      <c r="J47">
        <v>0.15</v>
      </c>
      <c r="K47">
        <v>1421.1</v>
      </c>
      <c r="L47">
        <v>190.68</v>
      </c>
      <c r="M47">
        <v>2025</v>
      </c>
      <c r="N47" t="s">
        <v>613</v>
      </c>
      <c r="O47" t="s">
        <v>625</v>
      </c>
      <c r="P47">
        <v>0.13417774963056789</v>
      </c>
    </row>
    <row r="48" spans="1:16" x14ac:dyDescent="0.3">
      <c r="A48" t="s">
        <v>131</v>
      </c>
      <c r="B48" s="12">
        <v>45687</v>
      </c>
      <c r="C48" t="s">
        <v>109</v>
      </c>
      <c r="D48" t="s">
        <v>21</v>
      </c>
      <c r="E48" t="s">
        <v>67</v>
      </c>
      <c r="F48" t="s">
        <v>23</v>
      </c>
      <c r="G48" t="s">
        <v>24</v>
      </c>
      <c r="H48" t="s">
        <v>132</v>
      </c>
      <c r="I48">
        <v>2</v>
      </c>
      <c r="J48">
        <v>0.2</v>
      </c>
      <c r="K48">
        <v>86456.58</v>
      </c>
      <c r="L48">
        <v>12570.8</v>
      </c>
      <c r="M48">
        <v>2025</v>
      </c>
      <c r="N48" t="s">
        <v>613</v>
      </c>
      <c r="O48" t="s">
        <v>625</v>
      </c>
      <c r="P48">
        <v>0.14540015346431698</v>
      </c>
    </row>
    <row r="49" spans="1:16" x14ac:dyDescent="0.3">
      <c r="A49" t="s">
        <v>133</v>
      </c>
      <c r="B49" s="12">
        <v>45688</v>
      </c>
      <c r="C49" t="s">
        <v>109</v>
      </c>
      <c r="D49" t="s">
        <v>39</v>
      </c>
      <c r="E49" t="s">
        <v>47</v>
      </c>
      <c r="F49" t="s">
        <v>28</v>
      </c>
      <c r="G49" t="s">
        <v>29</v>
      </c>
      <c r="H49" t="s">
        <v>30</v>
      </c>
      <c r="I49">
        <v>2</v>
      </c>
      <c r="J49">
        <v>0.1</v>
      </c>
      <c r="K49">
        <v>1462.92</v>
      </c>
      <c r="L49">
        <v>122.69</v>
      </c>
      <c r="M49">
        <v>2025</v>
      </c>
      <c r="N49" t="s">
        <v>613</v>
      </c>
      <c r="O49" t="s">
        <v>625</v>
      </c>
      <c r="P49">
        <v>8.3866513548245966E-2</v>
      </c>
    </row>
    <row r="50" spans="1:16" x14ac:dyDescent="0.3">
      <c r="A50" t="s">
        <v>134</v>
      </c>
      <c r="B50" s="12">
        <v>45688</v>
      </c>
      <c r="C50" t="s">
        <v>135</v>
      </c>
      <c r="D50" t="s">
        <v>33</v>
      </c>
      <c r="E50" t="s">
        <v>45</v>
      </c>
      <c r="F50" t="s">
        <v>28</v>
      </c>
      <c r="G50" t="s">
        <v>74</v>
      </c>
      <c r="H50" t="s">
        <v>80</v>
      </c>
      <c r="I50">
        <v>4</v>
      </c>
      <c r="J50">
        <v>0.15</v>
      </c>
      <c r="K50">
        <v>9014.44</v>
      </c>
      <c r="L50">
        <v>1552.7</v>
      </c>
      <c r="M50">
        <v>2025</v>
      </c>
      <c r="N50" t="s">
        <v>613</v>
      </c>
      <c r="O50" t="s">
        <v>625</v>
      </c>
      <c r="P50">
        <v>0.17224586330376596</v>
      </c>
    </row>
    <row r="51" spans="1:16" x14ac:dyDescent="0.3">
      <c r="A51" t="s">
        <v>136</v>
      </c>
      <c r="B51" s="12">
        <v>45688</v>
      </c>
      <c r="C51" t="s">
        <v>44</v>
      </c>
      <c r="D51" t="s">
        <v>33</v>
      </c>
      <c r="E51" t="s">
        <v>86</v>
      </c>
      <c r="F51" t="s">
        <v>16</v>
      </c>
      <c r="G51" t="s">
        <v>62</v>
      </c>
      <c r="H51" t="s">
        <v>63</v>
      </c>
      <c r="I51">
        <v>1</v>
      </c>
      <c r="J51">
        <v>0.15</v>
      </c>
      <c r="K51">
        <v>11501.07</v>
      </c>
      <c r="L51">
        <v>403.47</v>
      </c>
      <c r="M51">
        <v>2025</v>
      </c>
      <c r="N51" t="s">
        <v>613</v>
      </c>
      <c r="O51" t="s">
        <v>625</v>
      </c>
      <c r="P51">
        <v>3.5081083760032765E-2</v>
      </c>
    </row>
    <row r="52" spans="1:16" x14ac:dyDescent="0.3">
      <c r="A52" t="s">
        <v>137</v>
      </c>
      <c r="B52" s="12">
        <v>45689</v>
      </c>
      <c r="C52" t="s">
        <v>138</v>
      </c>
      <c r="D52" t="s">
        <v>39</v>
      </c>
      <c r="E52" t="s">
        <v>52</v>
      </c>
      <c r="F52" t="s">
        <v>28</v>
      </c>
      <c r="G52" t="s">
        <v>92</v>
      </c>
      <c r="H52" t="s">
        <v>93</v>
      </c>
      <c r="I52">
        <v>5</v>
      </c>
      <c r="J52">
        <v>0.15</v>
      </c>
      <c r="K52">
        <v>4535.3</v>
      </c>
      <c r="L52">
        <v>708.18</v>
      </c>
      <c r="M52">
        <v>2025</v>
      </c>
      <c r="N52" t="s">
        <v>614</v>
      </c>
      <c r="O52" t="s">
        <v>625</v>
      </c>
      <c r="P52">
        <v>0.15614843560514188</v>
      </c>
    </row>
    <row r="53" spans="1:16" x14ac:dyDescent="0.3">
      <c r="A53" t="s">
        <v>139</v>
      </c>
      <c r="B53" s="12">
        <v>45689</v>
      </c>
      <c r="C53" t="s">
        <v>66</v>
      </c>
      <c r="D53" t="s">
        <v>33</v>
      </c>
      <c r="E53" t="s">
        <v>140</v>
      </c>
      <c r="F53" t="s">
        <v>23</v>
      </c>
      <c r="G53" t="s">
        <v>58</v>
      </c>
      <c r="H53" t="s">
        <v>78</v>
      </c>
      <c r="I53">
        <v>2</v>
      </c>
      <c r="J53">
        <v>0.1</v>
      </c>
      <c r="K53">
        <v>3180.48</v>
      </c>
      <c r="L53">
        <v>596.75</v>
      </c>
      <c r="M53">
        <v>2025</v>
      </c>
      <c r="N53" t="s">
        <v>614</v>
      </c>
      <c r="O53" t="s">
        <v>625</v>
      </c>
      <c r="P53">
        <v>0.18762891135929169</v>
      </c>
    </row>
    <row r="54" spans="1:16" x14ac:dyDescent="0.3">
      <c r="A54" t="s">
        <v>141</v>
      </c>
      <c r="B54" s="12">
        <v>45692</v>
      </c>
      <c r="C54" t="s">
        <v>38</v>
      </c>
      <c r="D54" t="s">
        <v>33</v>
      </c>
      <c r="E54" t="s">
        <v>45</v>
      </c>
      <c r="F54" t="s">
        <v>23</v>
      </c>
      <c r="G54" t="s">
        <v>48</v>
      </c>
      <c r="H54" t="s">
        <v>124</v>
      </c>
      <c r="I54">
        <v>7</v>
      </c>
      <c r="J54">
        <v>0.15</v>
      </c>
      <c r="K54">
        <v>75712.350000000006</v>
      </c>
      <c r="L54">
        <v>4324.1499999999996</v>
      </c>
      <c r="M54">
        <v>2025</v>
      </c>
      <c r="N54" t="s">
        <v>614</v>
      </c>
      <c r="O54" t="s">
        <v>625</v>
      </c>
      <c r="P54">
        <v>5.7112875244263311E-2</v>
      </c>
    </row>
    <row r="55" spans="1:16" x14ac:dyDescent="0.3">
      <c r="A55" t="s">
        <v>142</v>
      </c>
      <c r="B55" s="12">
        <v>45692</v>
      </c>
      <c r="C55" t="s">
        <v>143</v>
      </c>
      <c r="D55" t="s">
        <v>33</v>
      </c>
      <c r="E55" t="s">
        <v>34</v>
      </c>
      <c r="F55" t="s">
        <v>28</v>
      </c>
      <c r="G55" t="s">
        <v>29</v>
      </c>
      <c r="H55" t="s">
        <v>98</v>
      </c>
      <c r="I55">
        <v>6</v>
      </c>
      <c r="J55">
        <v>0.2</v>
      </c>
      <c r="K55">
        <v>2013.96</v>
      </c>
      <c r="L55">
        <v>67.989999999999995</v>
      </c>
      <c r="M55">
        <v>2025</v>
      </c>
      <c r="N55" t="s">
        <v>614</v>
      </c>
      <c r="O55" t="s">
        <v>625</v>
      </c>
      <c r="P55">
        <v>3.3759359669506842E-2</v>
      </c>
    </row>
    <row r="56" spans="1:16" x14ac:dyDescent="0.3">
      <c r="A56" t="s">
        <v>144</v>
      </c>
      <c r="B56" s="12">
        <v>45693</v>
      </c>
      <c r="C56" t="s">
        <v>104</v>
      </c>
      <c r="D56" t="s">
        <v>39</v>
      </c>
      <c r="E56" t="s">
        <v>128</v>
      </c>
      <c r="F56" t="s">
        <v>23</v>
      </c>
      <c r="G56" t="s">
        <v>48</v>
      </c>
      <c r="H56" t="s">
        <v>118</v>
      </c>
      <c r="I56">
        <v>5</v>
      </c>
      <c r="J56">
        <v>0</v>
      </c>
      <c r="K56">
        <v>160200.15</v>
      </c>
      <c r="L56">
        <v>17458.810000000001</v>
      </c>
      <c r="M56">
        <v>2025</v>
      </c>
      <c r="N56" t="s">
        <v>614</v>
      </c>
      <c r="O56" t="s">
        <v>625</v>
      </c>
      <c r="P56">
        <v>0.10898123378785851</v>
      </c>
    </row>
    <row r="57" spans="1:16" x14ac:dyDescent="0.3">
      <c r="A57" t="s">
        <v>145</v>
      </c>
      <c r="B57" s="12">
        <v>45694</v>
      </c>
      <c r="C57" t="s">
        <v>109</v>
      </c>
      <c r="D57" t="s">
        <v>21</v>
      </c>
      <c r="E57" t="s">
        <v>57</v>
      </c>
      <c r="F57" t="s">
        <v>16</v>
      </c>
      <c r="G57" t="s">
        <v>62</v>
      </c>
      <c r="H57" t="s">
        <v>63</v>
      </c>
      <c r="I57">
        <v>1</v>
      </c>
      <c r="J57">
        <v>0.1</v>
      </c>
      <c r="K57">
        <v>3707.02</v>
      </c>
      <c r="L57">
        <v>624.30999999999995</v>
      </c>
      <c r="M57">
        <v>2025</v>
      </c>
      <c r="N57" t="s">
        <v>614</v>
      </c>
      <c r="O57" t="s">
        <v>625</v>
      </c>
      <c r="P57">
        <v>0.16841290308657628</v>
      </c>
    </row>
    <row r="58" spans="1:16" x14ac:dyDescent="0.3">
      <c r="A58" t="s">
        <v>146</v>
      </c>
      <c r="B58" s="12">
        <v>45695</v>
      </c>
      <c r="C58" t="s">
        <v>147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>
        <v>5</v>
      </c>
      <c r="J58">
        <v>0.05</v>
      </c>
      <c r="K58">
        <v>21341</v>
      </c>
      <c r="L58">
        <v>4753.29</v>
      </c>
      <c r="M58">
        <v>2025</v>
      </c>
      <c r="N58" t="s">
        <v>614</v>
      </c>
      <c r="O58" t="s">
        <v>625</v>
      </c>
      <c r="P58">
        <v>0.22273042500351437</v>
      </c>
    </row>
    <row r="59" spans="1:16" x14ac:dyDescent="0.3">
      <c r="A59" t="s">
        <v>148</v>
      </c>
      <c r="B59" s="12">
        <v>45696</v>
      </c>
      <c r="C59" t="s">
        <v>32</v>
      </c>
      <c r="D59" t="s">
        <v>21</v>
      </c>
      <c r="E59" t="s">
        <v>22</v>
      </c>
      <c r="F59" t="s">
        <v>16</v>
      </c>
      <c r="G59" t="s">
        <v>17</v>
      </c>
      <c r="H59" t="s">
        <v>88</v>
      </c>
      <c r="I59">
        <v>4</v>
      </c>
      <c r="J59">
        <v>0.2</v>
      </c>
      <c r="K59">
        <v>31342.36</v>
      </c>
      <c r="L59">
        <v>5121.88</v>
      </c>
      <c r="M59">
        <v>2025</v>
      </c>
      <c r="N59" t="s">
        <v>614</v>
      </c>
      <c r="O59" t="s">
        <v>625</v>
      </c>
      <c r="P59">
        <v>0.16341717726425195</v>
      </c>
    </row>
    <row r="60" spans="1:16" x14ac:dyDescent="0.3">
      <c r="A60" t="s">
        <v>149</v>
      </c>
      <c r="B60" s="12">
        <v>45696</v>
      </c>
      <c r="C60" t="s">
        <v>150</v>
      </c>
      <c r="D60" t="s">
        <v>21</v>
      </c>
      <c r="E60" t="s">
        <v>57</v>
      </c>
      <c r="F60" t="s">
        <v>28</v>
      </c>
      <c r="G60" t="s">
        <v>71</v>
      </c>
      <c r="H60" t="s">
        <v>72</v>
      </c>
      <c r="I60">
        <v>7</v>
      </c>
      <c r="J60">
        <v>0.1</v>
      </c>
      <c r="K60">
        <v>29029.07</v>
      </c>
      <c r="L60">
        <v>2395.79</v>
      </c>
      <c r="M60">
        <v>2025</v>
      </c>
      <c r="N60" t="s">
        <v>614</v>
      </c>
      <c r="O60" t="s">
        <v>625</v>
      </c>
      <c r="P60">
        <v>8.2530718345437862E-2</v>
      </c>
    </row>
    <row r="61" spans="1:16" x14ac:dyDescent="0.3">
      <c r="A61" t="s">
        <v>151</v>
      </c>
      <c r="B61" s="12">
        <v>45696</v>
      </c>
      <c r="C61" t="s">
        <v>27</v>
      </c>
      <c r="D61" t="s">
        <v>33</v>
      </c>
      <c r="E61" t="s">
        <v>140</v>
      </c>
      <c r="F61" t="s">
        <v>23</v>
      </c>
      <c r="G61" t="s">
        <v>48</v>
      </c>
      <c r="H61" t="s">
        <v>49</v>
      </c>
      <c r="I61">
        <v>3</v>
      </c>
      <c r="J61">
        <v>0.05</v>
      </c>
      <c r="K61">
        <v>11122.26</v>
      </c>
      <c r="L61">
        <v>1925.6</v>
      </c>
      <c r="M61">
        <v>2025</v>
      </c>
      <c r="N61" t="s">
        <v>614</v>
      </c>
      <c r="O61" t="s">
        <v>625</v>
      </c>
      <c r="P61">
        <v>0.17313028107596837</v>
      </c>
    </row>
    <row r="62" spans="1:16" x14ac:dyDescent="0.3">
      <c r="A62" t="s">
        <v>152</v>
      </c>
      <c r="B62" s="12">
        <v>45697</v>
      </c>
      <c r="C62" t="s">
        <v>85</v>
      </c>
      <c r="D62" t="s">
        <v>33</v>
      </c>
      <c r="E62" t="s">
        <v>34</v>
      </c>
      <c r="F62" t="s">
        <v>16</v>
      </c>
      <c r="G62" t="s">
        <v>17</v>
      </c>
      <c r="H62" t="s">
        <v>153</v>
      </c>
      <c r="I62">
        <v>6</v>
      </c>
      <c r="J62">
        <v>0.05</v>
      </c>
      <c r="K62">
        <v>43876.14</v>
      </c>
      <c r="L62">
        <v>7003.69</v>
      </c>
      <c r="M62">
        <v>2025</v>
      </c>
      <c r="N62" t="s">
        <v>614</v>
      </c>
      <c r="O62" t="s">
        <v>625</v>
      </c>
      <c r="P62">
        <v>0.15962411460989959</v>
      </c>
    </row>
    <row r="63" spans="1:16" x14ac:dyDescent="0.3">
      <c r="A63" t="s">
        <v>154</v>
      </c>
      <c r="B63" s="12">
        <v>45698</v>
      </c>
      <c r="C63" t="s">
        <v>109</v>
      </c>
      <c r="D63" t="s">
        <v>14</v>
      </c>
      <c r="E63" t="s">
        <v>114</v>
      </c>
      <c r="F63" t="s">
        <v>23</v>
      </c>
      <c r="G63" t="s">
        <v>35</v>
      </c>
      <c r="H63" t="s">
        <v>155</v>
      </c>
      <c r="I63">
        <v>3</v>
      </c>
      <c r="J63">
        <v>0.05</v>
      </c>
      <c r="K63">
        <v>88332.54</v>
      </c>
      <c r="L63">
        <v>11077.69</v>
      </c>
      <c r="M63">
        <v>2025</v>
      </c>
      <c r="N63" t="s">
        <v>614</v>
      </c>
      <c r="O63" t="s">
        <v>625</v>
      </c>
      <c r="P63">
        <v>0.12540893763498709</v>
      </c>
    </row>
    <row r="64" spans="1:16" x14ac:dyDescent="0.3">
      <c r="A64" t="s">
        <v>156</v>
      </c>
      <c r="B64" s="12">
        <v>45698</v>
      </c>
      <c r="C64" t="s">
        <v>77</v>
      </c>
      <c r="D64" t="s">
        <v>21</v>
      </c>
      <c r="E64" t="s">
        <v>57</v>
      </c>
      <c r="F64" t="s">
        <v>23</v>
      </c>
      <c r="G64" t="s">
        <v>24</v>
      </c>
      <c r="H64" t="s">
        <v>129</v>
      </c>
      <c r="I64">
        <v>5</v>
      </c>
      <c r="J64">
        <v>0</v>
      </c>
      <c r="K64">
        <v>88924.9</v>
      </c>
      <c r="L64">
        <v>7562.49</v>
      </c>
      <c r="M64">
        <v>2025</v>
      </c>
      <c r="N64" t="s">
        <v>614</v>
      </c>
      <c r="O64" t="s">
        <v>625</v>
      </c>
      <c r="P64">
        <v>8.5043559228067736E-2</v>
      </c>
    </row>
    <row r="65" spans="1:16" x14ac:dyDescent="0.3">
      <c r="A65" t="s">
        <v>157</v>
      </c>
      <c r="B65" s="12">
        <v>45699</v>
      </c>
      <c r="C65" t="s">
        <v>20</v>
      </c>
      <c r="D65" t="s">
        <v>39</v>
      </c>
      <c r="E65" t="s">
        <v>128</v>
      </c>
      <c r="F65" t="s">
        <v>23</v>
      </c>
      <c r="G65" t="s">
        <v>58</v>
      </c>
      <c r="H65" t="s">
        <v>78</v>
      </c>
      <c r="I65">
        <v>3</v>
      </c>
      <c r="J65">
        <v>0</v>
      </c>
      <c r="K65">
        <v>86305.41</v>
      </c>
      <c r="L65">
        <v>9997</v>
      </c>
      <c r="M65">
        <v>2025</v>
      </c>
      <c r="N65" t="s">
        <v>614</v>
      </c>
      <c r="O65" t="s">
        <v>625</v>
      </c>
      <c r="P65">
        <v>0.11583283133699265</v>
      </c>
    </row>
    <row r="66" spans="1:16" x14ac:dyDescent="0.3">
      <c r="A66" t="s">
        <v>158</v>
      </c>
      <c r="B66" s="12">
        <v>45700</v>
      </c>
      <c r="C66" t="s">
        <v>61</v>
      </c>
      <c r="D66" t="s">
        <v>21</v>
      </c>
      <c r="E66" t="s">
        <v>105</v>
      </c>
      <c r="F66" t="s">
        <v>28</v>
      </c>
      <c r="G66" t="s">
        <v>74</v>
      </c>
      <c r="H66" t="s">
        <v>159</v>
      </c>
      <c r="I66">
        <v>1</v>
      </c>
      <c r="J66">
        <v>0.15</v>
      </c>
      <c r="K66">
        <v>870.64</v>
      </c>
      <c r="L66">
        <v>116.45</v>
      </c>
      <c r="M66">
        <v>2025</v>
      </c>
      <c r="N66" t="s">
        <v>614</v>
      </c>
      <c r="O66" t="s">
        <v>627</v>
      </c>
      <c r="P66">
        <v>0.13375218230267391</v>
      </c>
    </row>
    <row r="67" spans="1:16" x14ac:dyDescent="0.3">
      <c r="A67" t="s">
        <v>160</v>
      </c>
      <c r="B67" s="12">
        <v>45700</v>
      </c>
      <c r="C67" t="s">
        <v>13</v>
      </c>
      <c r="D67" t="s">
        <v>33</v>
      </c>
      <c r="E67" t="s">
        <v>45</v>
      </c>
      <c r="F67" t="s">
        <v>16</v>
      </c>
      <c r="G67" t="s">
        <v>62</v>
      </c>
      <c r="H67" t="s">
        <v>63</v>
      </c>
      <c r="I67">
        <v>1</v>
      </c>
      <c r="J67">
        <v>0.15</v>
      </c>
      <c r="K67">
        <v>3283.25</v>
      </c>
      <c r="L67">
        <v>204.17</v>
      </c>
      <c r="M67">
        <v>2025</v>
      </c>
      <c r="N67" t="s">
        <v>614</v>
      </c>
      <c r="O67" t="s">
        <v>625</v>
      </c>
      <c r="P67">
        <v>6.2185334653163782E-2</v>
      </c>
    </row>
    <row r="68" spans="1:16" x14ac:dyDescent="0.3">
      <c r="A68" t="s">
        <v>161</v>
      </c>
      <c r="B68" s="12">
        <v>45700</v>
      </c>
      <c r="C68" t="s">
        <v>143</v>
      </c>
      <c r="D68" t="s">
        <v>33</v>
      </c>
      <c r="E68" t="s">
        <v>34</v>
      </c>
      <c r="F68" t="s">
        <v>16</v>
      </c>
      <c r="G68" t="s">
        <v>17</v>
      </c>
      <c r="H68" t="s">
        <v>18</v>
      </c>
      <c r="I68">
        <v>5</v>
      </c>
      <c r="J68">
        <v>0.1</v>
      </c>
      <c r="K68">
        <v>48622.5</v>
      </c>
      <c r="L68">
        <v>2288.1</v>
      </c>
      <c r="M68">
        <v>2025</v>
      </c>
      <c r="N68" t="s">
        <v>614</v>
      </c>
      <c r="O68" t="s">
        <v>625</v>
      </c>
      <c r="P68">
        <v>4.7058460589233381E-2</v>
      </c>
    </row>
    <row r="69" spans="1:16" x14ac:dyDescent="0.3">
      <c r="A69" t="s">
        <v>162</v>
      </c>
      <c r="B69" s="12">
        <v>45703</v>
      </c>
      <c r="C69" t="s">
        <v>150</v>
      </c>
      <c r="D69" t="s">
        <v>39</v>
      </c>
      <c r="E69" t="s">
        <v>47</v>
      </c>
      <c r="F69" t="s">
        <v>16</v>
      </c>
      <c r="G69" t="s">
        <v>17</v>
      </c>
      <c r="H69" t="s">
        <v>153</v>
      </c>
      <c r="I69">
        <v>1</v>
      </c>
      <c r="J69">
        <v>0</v>
      </c>
      <c r="K69">
        <v>514.16999999999996</v>
      </c>
      <c r="L69">
        <v>94.22</v>
      </c>
      <c r="M69">
        <v>2025</v>
      </c>
      <c r="N69" t="s">
        <v>614</v>
      </c>
      <c r="O69" t="s">
        <v>627</v>
      </c>
      <c r="P69">
        <v>0.18324678608242412</v>
      </c>
    </row>
    <row r="70" spans="1:16" x14ac:dyDescent="0.3">
      <c r="A70" t="s">
        <v>163</v>
      </c>
      <c r="B70" s="12">
        <v>45703</v>
      </c>
      <c r="C70" t="s">
        <v>85</v>
      </c>
      <c r="D70" t="s">
        <v>21</v>
      </c>
      <c r="E70" t="s">
        <v>57</v>
      </c>
      <c r="F70" t="s">
        <v>16</v>
      </c>
      <c r="G70" t="s">
        <v>17</v>
      </c>
      <c r="H70" t="s">
        <v>153</v>
      </c>
      <c r="I70">
        <v>5</v>
      </c>
      <c r="J70">
        <v>0.05</v>
      </c>
      <c r="K70">
        <v>54886.45</v>
      </c>
      <c r="L70">
        <v>3610.74</v>
      </c>
      <c r="M70">
        <v>2025</v>
      </c>
      <c r="N70" t="s">
        <v>614</v>
      </c>
      <c r="O70" t="s">
        <v>625</v>
      </c>
      <c r="P70">
        <v>6.5785635616805241E-2</v>
      </c>
    </row>
    <row r="71" spans="1:16" x14ac:dyDescent="0.3">
      <c r="A71" t="s">
        <v>164</v>
      </c>
      <c r="B71" s="12">
        <v>45704</v>
      </c>
      <c r="C71" t="s">
        <v>138</v>
      </c>
      <c r="D71" t="s">
        <v>21</v>
      </c>
      <c r="E71" t="s">
        <v>67</v>
      </c>
      <c r="F71" t="s">
        <v>23</v>
      </c>
      <c r="G71" t="s">
        <v>48</v>
      </c>
      <c r="H71" t="s">
        <v>49</v>
      </c>
      <c r="I71">
        <v>4</v>
      </c>
      <c r="J71">
        <v>0.15</v>
      </c>
      <c r="K71">
        <v>196467.36</v>
      </c>
      <c r="L71">
        <v>27829.89</v>
      </c>
      <c r="M71">
        <v>2025</v>
      </c>
      <c r="N71" t="s">
        <v>614</v>
      </c>
      <c r="O71" t="s">
        <v>625</v>
      </c>
      <c r="P71">
        <v>0.14165146821334598</v>
      </c>
    </row>
    <row r="72" spans="1:16" x14ac:dyDescent="0.3">
      <c r="A72" t="s">
        <v>165</v>
      </c>
      <c r="B72" s="12">
        <v>45704</v>
      </c>
      <c r="C72" t="s">
        <v>150</v>
      </c>
      <c r="D72" t="s">
        <v>39</v>
      </c>
      <c r="E72" t="s">
        <v>40</v>
      </c>
      <c r="F72" t="s">
        <v>16</v>
      </c>
      <c r="G72" t="s">
        <v>68</v>
      </c>
      <c r="H72" t="s">
        <v>83</v>
      </c>
      <c r="I72">
        <v>1</v>
      </c>
      <c r="J72">
        <v>0.15</v>
      </c>
      <c r="K72">
        <v>4419.38</v>
      </c>
      <c r="L72">
        <v>454.64</v>
      </c>
      <c r="M72">
        <v>2025</v>
      </c>
      <c r="N72" t="s">
        <v>614</v>
      </c>
      <c r="O72" t="s">
        <v>625</v>
      </c>
      <c r="P72">
        <v>0.10287415881865782</v>
      </c>
    </row>
    <row r="73" spans="1:16" x14ac:dyDescent="0.3">
      <c r="A73" t="s">
        <v>166</v>
      </c>
      <c r="B73" s="12">
        <v>45704</v>
      </c>
      <c r="C73" t="s">
        <v>38</v>
      </c>
      <c r="D73" t="s">
        <v>39</v>
      </c>
      <c r="E73" t="s">
        <v>128</v>
      </c>
      <c r="F73" t="s">
        <v>16</v>
      </c>
      <c r="G73" t="s">
        <v>62</v>
      </c>
      <c r="H73" t="s">
        <v>167</v>
      </c>
      <c r="I73">
        <v>4</v>
      </c>
      <c r="J73">
        <v>0.2</v>
      </c>
      <c r="K73">
        <v>47303.48</v>
      </c>
      <c r="L73">
        <v>4835.37</v>
      </c>
      <c r="M73">
        <v>2025</v>
      </c>
      <c r="N73" t="s">
        <v>614</v>
      </c>
      <c r="O73" t="s">
        <v>625</v>
      </c>
      <c r="P73">
        <v>0.10222017492159138</v>
      </c>
    </row>
    <row r="74" spans="1:16" x14ac:dyDescent="0.3">
      <c r="A74" t="s">
        <v>168</v>
      </c>
      <c r="B74" s="12">
        <v>45704</v>
      </c>
      <c r="C74" t="s">
        <v>143</v>
      </c>
      <c r="D74" t="s">
        <v>39</v>
      </c>
      <c r="E74" t="s">
        <v>47</v>
      </c>
      <c r="F74" t="s">
        <v>28</v>
      </c>
      <c r="G74" t="s">
        <v>71</v>
      </c>
      <c r="H74" t="s">
        <v>121</v>
      </c>
      <c r="I74">
        <v>1</v>
      </c>
      <c r="J74">
        <v>0.1</v>
      </c>
      <c r="K74">
        <v>177.48</v>
      </c>
      <c r="L74">
        <v>15.46</v>
      </c>
      <c r="M74">
        <v>2025</v>
      </c>
      <c r="N74" t="s">
        <v>614</v>
      </c>
      <c r="O74" t="s">
        <v>626</v>
      </c>
      <c r="P74">
        <v>8.7108406581023229E-2</v>
      </c>
    </row>
    <row r="75" spans="1:16" x14ac:dyDescent="0.3">
      <c r="A75" t="s">
        <v>169</v>
      </c>
      <c r="B75" s="12">
        <v>45705</v>
      </c>
      <c r="C75" t="s">
        <v>95</v>
      </c>
      <c r="D75" t="s">
        <v>21</v>
      </c>
      <c r="E75" t="s">
        <v>22</v>
      </c>
      <c r="F75" t="s">
        <v>23</v>
      </c>
      <c r="G75" t="s">
        <v>48</v>
      </c>
      <c r="H75" t="s">
        <v>124</v>
      </c>
      <c r="I75">
        <v>6</v>
      </c>
      <c r="J75">
        <v>0</v>
      </c>
      <c r="K75">
        <v>146277.6</v>
      </c>
      <c r="L75">
        <v>30180.560000000001</v>
      </c>
      <c r="M75">
        <v>2025</v>
      </c>
      <c r="N75" t="s">
        <v>614</v>
      </c>
      <c r="O75" t="s">
        <v>625</v>
      </c>
      <c r="P75">
        <v>0.20632386640196448</v>
      </c>
    </row>
    <row r="76" spans="1:16" x14ac:dyDescent="0.3">
      <c r="A76" t="s">
        <v>170</v>
      </c>
      <c r="B76" s="12">
        <v>45705</v>
      </c>
      <c r="C76" t="s">
        <v>13</v>
      </c>
      <c r="D76" t="s">
        <v>39</v>
      </c>
      <c r="E76" t="s">
        <v>52</v>
      </c>
      <c r="F76" t="s">
        <v>16</v>
      </c>
      <c r="G76" t="s">
        <v>62</v>
      </c>
      <c r="H76" t="s">
        <v>167</v>
      </c>
      <c r="I76">
        <v>4</v>
      </c>
      <c r="J76">
        <v>0.05</v>
      </c>
      <c r="K76">
        <v>37259.68</v>
      </c>
      <c r="L76">
        <v>5800.05</v>
      </c>
      <c r="M76">
        <v>2025</v>
      </c>
      <c r="N76" t="s">
        <v>614</v>
      </c>
      <c r="O76" t="s">
        <v>625</v>
      </c>
      <c r="P76">
        <v>0.15566558811025752</v>
      </c>
    </row>
    <row r="77" spans="1:16" x14ac:dyDescent="0.3">
      <c r="A77" t="s">
        <v>171</v>
      </c>
      <c r="B77" s="12">
        <v>45706</v>
      </c>
      <c r="C77" t="s">
        <v>13</v>
      </c>
      <c r="D77" t="s">
        <v>33</v>
      </c>
      <c r="E77" t="s">
        <v>45</v>
      </c>
      <c r="F77" t="s">
        <v>16</v>
      </c>
      <c r="G77" t="s">
        <v>17</v>
      </c>
      <c r="H77" t="s">
        <v>153</v>
      </c>
      <c r="I77">
        <v>7</v>
      </c>
      <c r="J77">
        <v>0.15</v>
      </c>
      <c r="K77">
        <v>69246.240000000005</v>
      </c>
      <c r="L77">
        <v>6464.6</v>
      </c>
      <c r="M77">
        <v>2025</v>
      </c>
      <c r="N77" t="s">
        <v>614</v>
      </c>
      <c r="O77" t="s">
        <v>625</v>
      </c>
      <c r="P77">
        <v>9.3356693446460054E-2</v>
      </c>
    </row>
    <row r="78" spans="1:16" x14ac:dyDescent="0.3">
      <c r="A78" t="s">
        <v>172</v>
      </c>
      <c r="B78" s="12">
        <v>45706</v>
      </c>
      <c r="C78" t="s">
        <v>66</v>
      </c>
      <c r="D78" t="s">
        <v>14</v>
      </c>
      <c r="E78" t="s">
        <v>54</v>
      </c>
      <c r="F78" t="s">
        <v>16</v>
      </c>
      <c r="G78" t="s">
        <v>17</v>
      </c>
      <c r="H78" t="s">
        <v>153</v>
      </c>
      <c r="I78">
        <v>6</v>
      </c>
      <c r="J78">
        <v>0</v>
      </c>
      <c r="K78">
        <v>20989.200000000001</v>
      </c>
      <c r="L78">
        <v>3976.69</v>
      </c>
      <c r="M78">
        <v>2025</v>
      </c>
      <c r="N78" t="s">
        <v>614</v>
      </c>
      <c r="O78" t="s">
        <v>625</v>
      </c>
      <c r="P78">
        <v>0.18946362891391763</v>
      </c>
    </row>
    <row r="79" spans="1:16" x14ac:dyDescent="0.3">
      <c r="A79" t="s">
        <v>173</v>
      </c>
      <c r="B79" s="12">
        <v>45707</v>
      </c>
      <c r="C79" t="s">
        <v>147</v>
      </c>
      <c r="D79" t="s">
        <v>14</v>
      </c>
      <c r="E79" t="s">
        <v>15</v>
      </c>
      <c r="F79" t="s">
        <v>23</v>
      </c>
      <c r="G79" t="s">
        <v>58</v>
      </c>
      <c r="H79" t="s">
        <v>78</v>
      </c>
      <c r="I79">
        <v>7</v>
      </c>
      <c r="J79">
        <v>0.15</v>
      </c>
      <c r="K79">
        <v>232499.33</v>
      </c>
      <c r="L79">
        <v>15098.11</v>
      </c>
      <c r="M79">
        <v>2025</v>
      </c>
      <c r="N79" t="s">
        <v>614</v>
      </c>
      <c r="O79" t="s">
        <v>625</v>
      </c>
      <c r="P79">
        <v>6.4938294660892154E-2</v>
      </c>
    </row>
    <row r="80" spans="1:16" x14ac:dyDescent="0.3">
      <c r="A80" t="s">
        <v>174</v>
      </c>
      <c r="B80" s="12">
        <v>45708</v>
      </c>
      <c r="C80" t="s">
        <v>51</v>
      </c>
      <c r="D80" t="s">
        <v>14</v>
      </c>
      <c r="E80" t="s">
        <v>54</v>
      </c>
      <c r="F80" t="s">
        <v>16</v>
      </c>
      <c r="G80" t="s">
        <v>68</v>
      </c>
      <c r="H80" t="s">
        <v>175</v>
      </c>
      <c r="I80">
        <v>7</v>
      </c>
      <c r="J80">
        <v>0</v>
      </c>
      <c r="K80">
        <v>82650.12</v>
      </c>
      <c r="L80">
        <v>7264.66</v>
      </c>
      <c r="M80">
        <v>2025</v>
      </c>
      <c r="N80" t="s">
        <v>614</v>
      </c>
      <c r="O80" t="s">
        <v>625</v>
      </c>
      <c r="P80">
        <v>8.7896545098785098E-2</v>
      </c>
    </row>
    <row r="81" spans="1:16" x14ac:dyDescent="0.3">
      <c r="A81" t="s">
        <v>176</v>
      </c>
      <c r="B81" s="12">
        <v>45709</v>
      </c>
      <c r="C81" t="s">
        <v>66</v>
      </c>
      <c r="D81" t="s">
        <v>33</v>
      </c>
      <c r="E81" t="s">
        <v>45</v>
      </c>
      <c r="F81" t="s">
        <v>16</v>
      </c>
      <c r="G81" t="s">
        <v>41</v>
      </c>
      <c r="H81" t="s">
        <v>177</v>
      </c>
      <c r="I81">
        <v>6</v>
      </c>
      <c r="J81">
        <v>0.2</v>
      </c>
      <c r="K81">
        <v>12613.86</v>
      </c>
      <c r="L81">
        <v>1283.75</v>
      </c>
      <c r="M81">
        <v>2025</v>
      </c>
      <c r="N81" t="s">
        <v>614</v>
      </c>
      <c r="O81" t="s">
        <v>625</v>
      </c>
      <c r="P81">
        <v>0.10177297036751637</v>
      </c>
    </row>
    <row r="82" spans="1:16" x14ac:dyDescent="0.3">
      <c r="A82" t="s">
        <v>178</v>
      </c>
      <c r="B82" s="12">
        <v>45710</v>
      </c>
      <c r="C82" t="s">
        <v>179</v>
      </c>
      <c r="D82" t="s">
        <v>33</v>
      </c>
      <c r="E82" t="s">
        <v>140</v>
      </c>
      <c r="F82" t="s">
        <v>16</v>
      </c>
      <c r="G82" t="s">
        <v>62</v>
      </c>
      <c r="H82" t="s">
        <v>180</v>
      </c>
      <c r="I82">
        <v>5</v>
      </c>
      <c r="J82">
        <v>0.15</v>
      </c>
      <c r="K82">
        <v>35688.15</v>
      </c>
      <c r="L82">
        <v>1947.82</v>
      </c>
      <c r="M82">
        <v>2025</v>
      </c>
      <c r="N82" t="s">
        <v>614</v>
      </c>
      <c r="O82" t="s">
        <v>625</v>
      </c>
      <c r="P82">
        <v>5.4578900839634438E-2</v>
      </c>
    </row>
    <row r="83" spans="1:16" x14ac:dyDescent="0.3">
      <c r="A83" t="s">
        <v>181</v>
      </c>
      <c r="B83" s="12">
        <v>45711</v>
      </c>
      <c r="C83" t="s">
        <v>38</v>
      </c>
      <c r="D83" t="s">
        <v>33</v>
      </c>
      <c r="E83" t="s">
        <v>140</v>
      </c>
      <c r="F83" t="s">
        <v>23</v>
      </c>
      <c r="G83" t="s">
        <v>58</v>
      </c>
      <c r="H83" t="s">
        <v>90</v>
      </c>
      <c r="I83">
        <v>3</v>
      </c>
      <c r="J83">
        <v>0</v>
      </c>
      <c r="K83">
        <v>135410.91</v>
      </c>
      <c r="L83">
        <v>31901.89</v>
      </c>
      <c r="M83">
        <v>2025</v>
      </c>
      <c r="N83" t="s">
        <v>614</v>
      </c>
      <c r="O83" t="s">
        <v>625</v>
      </c>
      <c r="P83">
        <v>0.23559320294059022</v>
      </c>
    </row>
    <row r="84" spans="1:16" x14ac:dyDescent="0.3">
      <c r="A84" t="s">
        <v>182</v>
      </c>
      <c r="B84" s="12">
        <v>45711</v>
      </c>
      <c r="C84" t="s">
        <v>44</v>
      </c>
      <c r="D84" t="s">
        <v>14</v>
      </c>
      <c r="E84" t="s">
        <v>15</v>
      </c>
      <c r="F84" t="s">
        <v>23</v>
      </c>
      <c r="G84" t="s">
        <v>35</v>
      </c>
      <c r="H84" t="s">
        <v>36</v>
      </c>
      <c r="I84">
        <v>4</v>
      </c>
      <c r="J84">
        <v>0.05</v>
      </c>
      <c r="K84">
        <v>137539.07999999999</v>
      </c>
      <c r="L84">
        <v>25289.58</v>
      </c>
      <c r="M84">
        <v>2025</v>
      </c>
      <c r="N84" t="s">
        <v>614</v>
      </c>
      <c r="O84" t="s">
        <v>625</v>
      </c>
      <c r="P84">
        <v>0.18387195842810641</v>
      </c>
    </row>
    <row r="85" spans="1:16" x14ac:dyDescent="0.3">
      <c r="A85" t="s">
        <v>183</v>
      </c>
      <c r="B85" s="12">
        <v>45713</v>
      </c>
      <c r="C85" t="s">
        <v>111</v>
      </c>
      <c r="D85" t="s">
        <v>21</v>
      </c>
      <c r="E85" t="s">
        <v>57</v>
      </c>
      <c r="F85" t="s">
        <v>28</v>
      </c>
      <c r="G85" t="s">
        <v>74</v>
      </c>
      <c r="H85" t="s">
        <v>159</v>
      </c>
      <c r="I85">
        <v>6</v>
      </c>
      <c r="J85">
        <v>0.2</v>
      </c>
      <c r="K85">
        <v>2545.2600000000002</v>
      </c>
      <c r="L85">
        <v>349.72</v>
      </c>
      <c r="M85">
        <v>2025</v>
      </c>
      <c r="N85" t="s">
        <v>614</v>
      </c>
      <c r="O85" t="s">
        <v>625</v>
      </c>
      <c r="P85">
        <v>0.13740050132402976</v>
      </c>
    </row>
    <row r="86" spans="1:16" x14ac:dyDescent="0.3">
      <c r="A86" t="s">
        <v>184</v>
      </c>
      <c r="B86" s="12">
        <v>45714</v>
      </c>
      <c r="C86" t="s">
        <v>135</v>
      </c>
      <c r="D86" t="s">
        <v>39</v>
      </c>
      <c r="E86" t="s">
        <v>52</v>
      </c>
      <c r="F86" t="s">
        <v>23</v>
      </c>
      <c r="G86" t="s">
        <v>24</v>
      </c>
      <c r="H86" t="s">
        <v>129</v>
      </c>
      <c r="I86">
        <v>5</v>
      </c>
      <c r="J86">
        <v>0.1</v>
      </c>
      <c r="K86">
        <v>20814.900000000001</v>
      </c>
      <c r="L86">
        <v>2195.87</v>
      </c>
      <c r="M86">
        <v>2025</v>
      </c>
      <c r="N86" t="s">
        <v>614</v>
      </c>
      <c r="O86" t="s">
        <v>625</v>
      </c>
      <c r="P86">
        <v>0.10549510206630826</v>
      </c>
    </row>
    <row r="87" spans="1:16" x14ac:dyDescent="0.3">
      <c r="A87" t="s">
        <v>185</v>
      </c>
      <c r="B87" s="12">
        <v>45715</v>
      </c>
      <c r="C87" t="s">
        <v>85</v>
      </c>
      <c r="D87" t="s">
        <v>14</v>
      </c>
      <c r="E87" t="s">
        <v>15</v>
      </c>
      <c r="F87" t="s">
        <v>16</v>
      </c>
      <c r="G87" t="s">
        <v>41</v>
      </c>
      <c r="H87" t="s">
        <v>42</v>
      </c>
      <c r="I87">
        <v>4</v>
      </c>
      <c r="J87">
        <v>0</v>
      </c>
      <c r="K87">
        <v>33193.24</v>
      </c>
      <c r="L87">
        <v>6640.7</v>
      </c>
      <c r="M87">
        <v>2025</v>
      </c>
      <c r="N87" t="s">
        <v>614</v>
      </c>
      <c r="O87" t="s">
        <v>625</v>
      </c>
      <c r="P87">
        <v>0.20006181981632407</v>
      </c>
    </row>
    <row r="88" spans="1:16" x14ac:dyDescent="0.3">
      <c r="A88" t="s">
        <v>186</v>
      </c>
      <c r="B88" s="12">
        <v>45716</v>
      </c>
      <c r="C88" t="s">
        <v>13</v>
      </c>
      <c r="D88" t="s">
        <v>39</v>
      </c>
      <c r="E88" t="s">
        <v>47</v>
      </c>
      <c r="F88" t="s">
        <v>23</v>
      </c>
      <c r="G88" t="s">
        <v>58</v>
      </c>
      <c r="H88" t="s">
        <v>90</v>
      </c>
      <c r="I88">
        <v>1</v>
      </c>
      <c r="J88">
        <v>0.1</v>
      </c>
      <c r="K88">
        <v>4234.1899999999996</v>
      </c>
      <c r="L88">
        <v>728.81</v>
      </c>
      <c r="M88">
        <v>2025</v>
      </c>
      <c r="N88" t="s">
        <v>614</v>
      </c>
      <c r="O88" t="s">
        <v>625</v>
      </c>
      <c r="P88">
        <v>0.17212501092298646</v>
      </c>
    </row>
    <row r="89" spans="1:16" x14ac:dyDescent="0.3">
      <c r="A89" t="s">
        <v>187</v>
      </c>
      <c r="B89" s="12">
        <v>45717</v>
      </c>
      <c r="C89" t="s">
        <v>95</v>
      </c>
      <c r="D89" t="s">
        <v>21</v>
      </c>
      <c r="E89" t="s">
        <v>22</v>
      </c>
      <c r="F89" t="s">
        <v>16</v>
      </c>
      <c r="G89" t="s">
        <v>17</v>
      </c>
      <c r="H89" t="s">
        <v>88</v>
      </c>
      <c r="I89">
        <v>3</v>
      </c>
      <c r="J89">
        <v>0.2</v>
      </c>
      <c r="K89">
        <v>32329.02</v>
      </c>
      <c r="L89">
        <v>367.58</v>
      </c>
      <c r="M89">
        <v>2025</v>
      </c>
      <c r="N89" t="s">
        <v>615</v>
      </c>
      <c r="O89" t="s">
        <v>625</v>
      </c>
      <c r="P89">
        <v>1.1369970385740117E-2</v>
      </c>
    </row>
    <row r="90" spans="1:16" x14ac:dyDescent="0.3">
      <c r="A90" t="s">
        <v>188</v>
      </c>
      <c r="B90" s="12">
        <v>45717</v>
      </c>
      <c r="C90" t="s">
        <v>150</v>
      </c>
      <c r="D90" t="s">
        <v>21</v>
      </c>
      <c r="E90" t="s">
        <v>57</v>
      </c>
      <c r="F90" t="s">
        <v>28</v>
      </c>
      <c r="G90" t="s">
        <v>71</v>
      </c>
      <c r="H90" t="s">
        <v>121</v>
      </c>
      <c r="I90">
        <v>6</v>
      </c>
      <c r="J90">
        <v>0.15</v>
      </c>
      <c r="K90">
        <v>22758.720000000001</v>
      </c>
      <c r="L90">
        <v>1298.1099999999999</v>
      </c>
      <c r="M90">
        <v>2025</v>
      </c>
      <c r="N90" t="s">
        <v>615</v>
      </c>
      <c r="O90" t="s">
        <v>625</v>
      </c>
      <c r="P90">
        <v>5.7037917773934556E-2</v>
      </c>
    </row>
    <row r="91" spans="1:16" x14ac:dyDescent="0.3">
      <c r="A91" t="s">
        <v>189</v>
      </c>
      <c r="B91" s="12">
        <v>45718</v>
      </c>
      <c r="C91" t="s">
        <v>100</v>
      </c>
      <c r="D91" t="s">
        <v>33</v>
      </c>
      <c r="E91" t="s">
        <v>140</v>
      </c>
      <c r="F91" t="s">
        <v>23</v>
      </c>
      <c r="G91" t="s">
        <v>24</v>
      </c>
      <c r="H91" t="s">
        <v>129</v>
      </c>
      <c r="I91">
        <v>2</v>
      </c>
      <c r="J91">
        <v>0.1</v>
      </c>
      <c r="K91">
        <v>46832.66</v>
      </c>
      <c r="L91">
        <v>8628.7999999999993</v>
      </c>
      <c r="M91">
        <v>2025</v>
      </c>
      <c r="N91" t="s">
        <v>615</v>
      </c>
      <c r="O91" t="s">
        <v>625</v>
      </c>
      <c r="P91">
        <v>0.18424748882510622</v>
      </c>
    </row>
    <row r="92" spans="1:16" x14ac:dyDescent="0.3">
      <c r="A92" t="s">
        <v>190</v>
      </c>
      <c r="B92" s="12">
        <v>45718</v>
      </c>
      <c r="C92" t="s">
        <v>95</v>
      </c>
      <c r="D92" t="s">
        <v>21</v>
      </c>
      <c r="E92" t="s">
        <v>105</v>
      </c>
      <c r="F92" t="s">
        <v>23</v>
      </c>
      <c r="G92" t="s">
        <v>35</v>
      </c>
      <c r="H92" t="s">
        <v>155</v>
      </c>
      <c r="I92">
        <v>4</v>
      </c>
      <c r="J92">
        <v>0</v>
      </c>
      <c r="K92">
        <v>145449.84</v>
      </c>
      <c r="L92">
        <v>31211.94</v>
      </c>
      <c r="M92">
        <v>2025</v>
      </c>
      <c r="N92" t="s">
        <v>615</v>
      </c>
      <c r="O92" t="s">
        <v>625</v>
      </c>
      <c r="P92">
        <v>0.21458902945510286</v>
      </c>
    </row>
    <row r="93" spans="1:16" x14ac:dyDescent="0.3">
      <c r="A93" t="s">
        <v>191</v>
      </c>
      <c r="B93" s="12">
        <v>45718</v>
      </c>
      <c r="C93" t="s">
        <v>44</v>
      </c>
      <c r="D93" t="s">
        <v>39</v>
      </c>
      <c r="E93" t="s">
        <v>52</v>
      </c>
      <c r="F93" t="s">
        <v>23</v>
      </c>
      <c r="G93" t="s">
        <v>24</v>
      </c>
      <c r="H93" t="s">
        <v>129</v>
      </c>
      <c r="I93">
        <v>1</v>
      </c>
      <c r="J93">
        <v>0.2</v>
      </c>
      <c r="K93">
        <v>41543.35</v>
      </c>
      <c r="L93">
        <v>2723.01</v>
      </c>
      <c r="M93">
        <v>2025</v>
      </c>
      <c r="N93" t="s">
        <v>615</v>
      </c>
      <c r="O93" t="s">
        <v>625</v>
      </c>
      <c r="P93">
        <v>6.5546230624155252E-2</v>
      </c>
    </row>
    <row r="94" spans="1:16" x14ac:dyDescent="0.3">
      <c r="A94" t="s">
        <v>192</v>
      </c>
      <c r="B94" s="12">
        <v>45720</v>
      </c>
      <c r="C94" t="s">
        <v>85</v>
      </c>
      <c r="D94" t="s">
        <v>14</v>
      </c>
      <c r="E94" t="s">
        <v>114</v>
      </c>
      <c r="F94" t="s">
        <v>23</v>
      </c>
      <c r="G94" t="s">
        <v>35</v>
      </c>
      <c r="H94" t="s">
        <v>155</v>
      </c>
      <c r="I94">
        <v>7</v>
      </c>
      <c r="J94">
        <v>0.2</v>
      </c>
      <c r="K94">
        <v>47766.25</v>
      </c>
      <c r="L94">
        <v>3100.6</v>
      </c>
      <c r="M94">
        <v>2025</v>
      </c>
      <c r="N94" t="s">
        <v>615</v>
      </c>
      <c r="O94" t="s">
        <v>625</v>
      </c>
      <c r="P94">
        <v>6.4911940962499665E-2</v>
      </c>
    </row>
    <row r="95" spans="1:16" x14ac:dyDescent="0.3">
      <c r="A95" t="s">
        <v>193</v>
      </c>
      <c r="B95" s="12">
        <v>45720</v>
      </c>
      <c r="C95" t="s">
        <v>111</v>
      </c>
      <c r="D95" t="s">
        <v>33</v>
      </c>
      <c r="E95" t="s">
        <v>140</v>
      </c>
      <c r="F95" t="s">
        <v>23</v>
      </c>
      <c r="G95" t="s">
        <v>24</v>
      </c>
      <c r="H95" t="s">
        <v>132</v>
      </c>
      <c r="I95">
        <v>3</v>
      </c>
      <c r="J95">
        <v>0.2</v>
      </c>
      <c r="K95">
        <v>68571.899999999994</v>
      </c>
      <c r="L95">
        <v>12011.1</v>
      </c>
      <c r="M95">
        <v>2025</v>
      </c>
      <c r="N95" t="s">
        <v>615</v>
      </c>
      <c r="O95" t="s">
        <v>625</v>
      </c>
      <c r="P95">
        <v>0.17516067077038847</v>
      </c>
    </row>
    <row r="96" spans="1:16" x14ac:dyDescent="0.3">
      <c r="A96" t="s">
        <v>194</v>
      </c>
      <c r="B96" s="12">
        <v>45722</v>
      </c>
      <c r="C96" t="s">
        <v>85</v>
      </c>
      <c r="D96" t="s">
        <v>21</v>
      </c>
      <c r="E96" t="s">
        <v>105</v>
      </c>
      <c r="F96" t="s">
        <v>23</v>
      </c>
      <c r="G96" t="s">
        <v>58</v>
      </c>
      <c r="H96" t="s">
        <v>59</v>
      </c>
      <c r="I96">
        <v>5</v>
      </c>
      <c r="J96">
        <v>0.2</v>
      </c>
      <c r="K96">
        <v>209238.65</v>
      </c>
      <c r="L96">
        <v>36804.769999999997</v>
      </c>
      <c r="M96">
        <v>2025</v>
      </c>
      <c r="N96" t="s">
        <v>615</v>
      </c>
      <c r="O96" t="s">
        <v>625</v>
      </c>
      <c r="P96">
        <v>0.17589852543973114</v>
      </c>
    </row>
    <row r="97" spans="1:16" x14ac:dyDescent="0.3">
      <c r="A97" t="s">
        <v>195</v>
      </c>
      <c r="B97" s="12">
        <v>45723</v>
      </c>
      <c r="C97" t="s">
        <v>32</v>
      </c>
      <c r="D97" t="s">
        <v>39</v>
      </c>
      <c r="E97" t="s">
        <v>40</v>
      </c>
      <c r="F97" t="s">
        <v>16</v>
      </c>
      <c r="G97" t="s">
        <v>17</v>
      </c>
      <c r="H97" t="s">
        <v>153</v>
      </c>
      <c r="I97">
        <v>4</v>
      </c>
      <c r="J97">
        <v>0</v>
      </c>
      <c r="K97">
        <v>33356.800000000003</v>
      </c>
      <c r="L97">
        <v>6384.43</v>
      </c>
      <c r="M97">
        <v>2025</v>
      </c>
      <c r="N97" t="s">
        <v>615</v>
      </c>
      <c r="O97" t="s">
        <v>625</v>
      </c>
      <c r="P97">
        <v>0.19139815569838833</v>
      </c>
    </row>
    <row r="98" spans="1:16" x14ac:dyDescent="0.3">
      <c r="A98" t="s">
        <v>196</v>
      </c>
      <c r="B98" s="12">
        <v>45724</v>
      </c>
      <c r="C98" t="s">
        <v>100</v>
      </c>
      <c r="D98" t="s">
        <v>21</v>
      </c>
      <c r="E98" t="s">
        <v>57</v>
      </c>
      <c r="F98" t="s">
        <v>16</v>
      </c>
      <c r="G98" t="s">
        <v>62</v>
      </c>
      <c r="H98" t="s">
        <v>167</v>
      </c>
      <c r="I98">
        <v>5</v>
      </c>
      <c r="J98">
        <v>0.1</v>
      </c>
      <c r="K98">
        <v>24591.9</v>
      </c>
      <c r="L98">
        <v>1979.82</v>
      </c>
      <c r="M98">
        <v>2025</v>
      </c>
      <c r="N98" t="s">
        <v>615</v>
      </c>
      <c r="O98" t="s">
        <v>625</v>
      </c>
      <c r="P98">
        <v>8.0506996206067841E-2</v>
      </c>
    </row>
    <row r="99" spans="1:16" x14ac:dyDescent="0.3">
      <c r="A99" t="s">
        <v>197</v>
      </c>
      <c r="B99" s="12">
        <v>45724</v>
      </c>
      <c r="C99" t="s">
        <v>27</v>
      </c>
      <c r="D99" t="s">
        <v>33</v>
      </c>
      <c r="E99" t="s">
        <v>140</v>
      </c>
      <c r="F99" t="s">
        <v>23</v>
      </c>
      <c r="G99" t="s">
        <v>24</v>
      </c>
      <c r="H99" t="s">
        <v>25</v>
      </c>
      <c r="I99">
        <v>5</v>
      </c>
      <c r="J99">
        <v>0.15</v>
      </c>
      <c r="K99">
        <v>121977.2</v>
      </c>
      <c r="L99">
        <v>14491.88</v>
      </c>
      <c r="M99">
        <v>2025</v>
      </c>
      <c r="N99" t="s">
        <v>615</v>
      </c>
      <c r="O99" t="s">
        <v>625</v>
      </c>
      <c r="P99">
        <v>0.11880810512128495</v>
      </c>
    </row>
    <row r="100" spans="1:16" x14ac:dyDescent="0.3">
      <c r="A100" t="s">
        <v>198</v>
      </c>
      <c r="B100" s="12">
        <v>45724</v>
      </c>
      <c r="C100" t="s">
        <v>66</v>
      </c>
      <c r="D100" t="s">
        <v>33</v>
      </c>
      <c r="E100" t="s">
        <v>34</v>
      </c>
      <c r="F100" t="s">
        <v>16</v>
      </c>
      <c r="G100" t="s">
        <v>62</v>
      </c>
      <c r="H100" t="s">
        <v>167</v>
      </c>
      <c r="I100">
        <v>2</v>
      </c>
      <c r="J100">
        <v>0.2</v>
      </c>
      <c r="K100">
        <v>12791.06</v>
      </c>
      <c r="L100">
        <v>200.08</v>
      </c>
      <c r="M100">
        <v>2025</v>
      </c>
      <c r="N100" t="s">
        <v>615</v>
      </c>
      <c r="O100" t="s">
        <v>625</v>
      </c>
      <c r="P100">
        <v>1.5642175081658598E-2</v>
      </c>
    </row>
    <row r="101" spans="1:16" x14ac:dyDescent="0.3">
      <c r="A101" t="s">
        <v>199</v>
      </c>
      <c r="B101" s="12">
        <v>45726</v>
      </c>
      <c r="C101" t="s">
        <v>104</v>
      </c>
      <c r="D101" t="s">
        <v>33</v>
      </c>
      <c r="E101" t="s">
        <v>45</v>
      </c>
      <c r="F101" t="s">
        <v>16</v>
      </c>
      <c r="G101" t="s">
        <v>68</v>
      </c>
      <c r="H101" t="s">
        <v>83</v>
      </c>
      <c r="I101">
        <v>4</v>
      </c>
      <c r="J101">
        <v>0.05</v>
      </c>
      <c r="K101">
        <v>38921.599999999999</v>
      </c>
      <c r="L101">
        <v>8634.76</v>
      </c>
      <c r="M101">
        <v>2025</v>
      </c>
      <c r="N101" t="s">
        <v>615</v>
      </c>
      <c r="O101" t="s">
        <v>625</v>
      </c>
      <c r="P101">
        <v>0.22185007810573051</v>
      </c>
    </row>
    <row r="102" spans="1:16" x14ac:dyDescent="0.3">
      <c r="A102" t="s">
        <v>200</v>
      </c>
      <c r="B102" s="12">
        <v>45726</v>
      </c>
      <c r="C102" t="s">
        <v>32</v>
      </c>
      <c r="D102" t="s">
        <v>14</v>
      </c>
      <c r="E102" t="s">
        <v>54</v>
      </c>
      <c r="F102" t="s">
        <v>23</v>
      </c>
      <c r="G102" t="s">
        <v>58</v>
      </c>
      <c r="H102" t="s">
        <v>78</v>
      </c>
      <c r="I102">
        <v>4</v>
      </c>
      <c r="J102">
        <v>0.1</v>
      </c>
      <c r="K102">
        <v>67881.2</v>
      </c>
      <c r="L102">
        <v>5509.49</v>
      </c>
      <c r="M102">
        <v>2025</v>
      </c>
      <c r="N102" t="s">
        <v>615</v>
      </c>
      <c r="O102" t="s">
        <v>625</v>
      </c>
      <c r="P102">
        <v>8.1163709539607429E-2</v>
      </c>
    </row>
    <row r="103" spans="1:16" x14ac:dyDescent="0.3">
      <c r="A103" t="s">
        <v>201</v>
      </c>
      <c r="B103" s="12">
        <v>45727</v>
      </c>
      <c r="C103" t="s">
        <v>147</v>
      </c>
      <c r="D103" t="s">
        <v>14</v>
      </c>
      <c r="E103" t="s">
        <v>54</v>
      </c>
      <c r="F103" t="s">
        <v>16</v>
      </c>
      <c r="G103" t="s">
        <v>41</v>
      </c>
      <c r="H103" t="s">
        <v>42</v>
      </c>
      <c r="I103">
        <v>3</v>
      </c>
      <c r="J103">
        <v>0.15</v>
      </c>
      <c r="K103">
        <v>29939.279999999999</v>
      </c>
      <c r="L103">
        <v>1021.72</v>
      </c>
      <c r="M103">
        <v>2025</v>
      </c>
      <c r="N103" t="s">
        <v>615</v>
      </c>
      <c r="O103" t="s">
        <v>625</v>
      </c>
      <c r="P103">
        <v>3.4126405177412417E-2</v>
      </c>
    </row>
    <row r="104" spans="1:16" x14ac:dyDescent="0.3">
      <c r="A104" t="s">
        <v>202</v>
      </c>
      <c r="B104" s="12">
        <v>45727</v>
      </c>
      <c r="C104" t="s">
        <v>77</v>
      </c>
      <c r="D104" t="s">
        <v>33</v>
      </c>
      <c r="E104" t="s">
        <v>140</v>
      </c>
      <c r="F104" t="s">
        <v>23</v>
      </c>
      <c r="G104" t="s">
        <v>48</v>
      </c>
      <c r="H104" t="s">
        <v>49</v>
      </c>
      <c r="I104">
        <v>3</v>
      </c>
      <c r="J104">
        <v>0.15</v>
      </c>
      <c r="K104">
        <v>53168.160000000003</v>
      </c>
      <c r="L104">
        <v>6717.31</v>
      </c>
      <c r="M104">
        <v>2025</v>
      </c>
      <c r="N104" t="s">
        <v>615</v>
      </c>
      <c r="O104" t="s">
        <v>625</v>
      </c>
      <c r="P104">
        <v>0.12634084008173313</v>
      </c>
    </row>
    <row r="105" spans="1:16" x14ac:dyDescent="0.3">
      <c r="A105" t="s">
        <v>203</v>
      </c>
      <c r="B105" s="12">
        <v>45729</v>
      </c>
      <c r="C105" t="s">
        <v>109</v>
      </c>
      <c r="D105" t="s">
        <v>14</v>
      </c>
      <c r="E105" t="s">
        <v>54</v>
      </c>
      <c r="F105" t="s">
        <v>28</v>
      </c>
      <c r="G105" t="s">
        <v>92</v>
      </c>
      <c r="H105" t="s">
        <v>204</v>
      </c>
      <c r="I105">
        <v>1</v>
      </c>
      <c r="J105">
        <v>0.05</v>
      </c>
      <c r="K105">
        <v>2040.26</v>
      </c>
      <c r="L105">
        <v>182.3</v>
      </c>
      <c r="M105">
        <v>2025</v>
      </c>
      <c r="N105" t="s">
        <v>615</v>
      </c>
      <c r="O105" t="s">
        <v>625</v>
      </c>
      <c r="P105">
        <v>8.935135717996727E-2</v>
      </c>
    </row>
    <row r="106" spans="1:16" x14ac:dyDescent="0.3">
      <c r="A106" t="s">
        <v>205</v>
      </c>
      <c r="B106" s="12">
        <v>45729</v>
      </c>
      <c r="C106" t="s">
        <v>44</v>
      </c>
      <c r="D106" t="s">
        <v>21</v>
      </c>
      <c r="E106" t="s">
        <v>57</v>
      </c>
      <c r="F106" t="s">
        <v>28</v>
      </c>
      <c r="G106" t="s">
        <v>74</v>
      </c>
      <c r="H106" t="s">
        <v>159</v>
      </c>
      <c r="I106">
        <v>5</v>
      </c>
      <c r="J106">
        <v>0.2</v>
      </c>
      <c r="K106">
        <v>16416.349999999999</v>
      </c>
      <c r="L106">
        <v>2482.3000000000002</v>
      </c>
      <c r="M106">
        <v>2025</v>
      </c>
      <c r="N106" t="s">
        <v>615</v>
      </c>
      <c r="O106" t="s">
        <v>625</v>
      </c>
      <c r="P106">
        <v>0.15120900809254192</v>
      </c>
    </row>
    <row r="107" spans="1:16" x14ac:dyDescent="0.3">
      <c r="A107" t="s">
        <v>206</v>
      </c>
      <c r="B107" s="12">
        <v>45730</v>
      </c>
      <c r="C107" t="s">
        <v>150</v>
      </c>
      <c r="D107" t="s">
        <v>21</v>
      </c>
      <c r="E107" t="s">
        <v>105</v>
      </c>
      <c r="F107" t="s">
        <v>28</v>
      </c>
      <c r="G107" t="s">
        <v>74</v>
      </c>
      <c r="H107" t="s">
        <v>75</v>
      </c>
      <c r="I107">
        <v>5</v>
      </c>
      <c r="J107">
        <v>0.1</v>
      </c>
      <c r="K107">
        <v>1060.9000000000001</v>
      </c>
      <c r="L107">
        <v>173.08</v>
      </c>
      <c r="M107">
        <v>2025</v>
      </c>
      <c r="N107" t="s">
        <v>615</v>
      </c>
      <c r="O107" t="s">
        <v>625</v>
      </c>
      <c r="P107">
        <v>0.1631444999528702</v>
      </c>
    </row>
    <row r="108" spans="1:16" x14ac:dyDescent="0.3">
      <c r="A108" t="s">
        <v>207</v>
      </c>
      <c r="B108" s="12">
        <v>45730</v>
      </c>
      <c r="C108" t="s">
        <v>44</v>
      </c>
      <c r="D108" t="s">
        <v>21</v>
      </c>
      <c r="E108" t="s">
        <v>105</v>
      </c>
      <c r="F108" t="s">
        <v>16</v>
      </c>
      <c r="G108" t="s">
        <v>68</v>
      </c>
      <c r="H108" t="s">
        <v>83</v>
      </c>
      <c r="I108">
        <v>2</v>
      </c>
      <c r="J108">
        <v>0.2</v>
      </c>
      <c r="K108">
        <v>5075.42</v>
      </c>
      <c r="L108">
        <v>149.80000000000001</v>
      </c>
      <c r="M108">
        <v>2025</v>
      </c>
      <c r="N108" t="s">
        <v>615</v>
      </c>
      <c r="O108" t="s">
        <v>625</v>
      </c>
      <c r="P108">
        <v>2.9514798775273771E-2</v>
      </c>
    </row>
    <row r="109" spans="1:16" x14ac:dyDescent="0.3">
      <c r="A109" t="s">
        <v>208</v>
      </c>
      <c r="B109" s="12">
        <v>45730</v>
      </c>
      <c r="C109" t="s">
        <v>85</v>
      </c>
      <c r="D109" t="s">
        <v>33</v>
      </c>
      <c r="E109" t="s">
        <v>140</v>
      </c>
      <c r="F109" t="s">
        <v>23</v>
      </c>
      <c r="G109" t="s">
        <v>24</v>
      </c>
      <c r="H109" t="s">
        <v>25</v>
      </c>
      <c r="I109">
        <v>6</v>
      </c>
      <c r="J109">
        <v>0</v>
      </c>
      <c r="K109">
        <v>60457.2</v>
      </c>
      <c r="L109">
        <v>9955.2999999999993</v>
      </c>
      <c r="M109">
        <v>2025</v>
      </c>
      <c r="N109" t="s">
        <v>615</v>
      </c>
      <c r="O109" t="s">
        <v>625</v>
      </c>
      <c r="P109">
        <v>0.16466690485169674</v>
      </c>
    </row>
    <row r="110" spans="1:16" x14ac:dyDescent="0.3">
      <c r="A110" t="s">
        <v>209</v>
      </c>
      <c r="B110" s="12">
        <v>45730</v>
      </c>
      <c r="C110" t="s">
        <v>147</v>
      </c>
      <c r="D110" t="s">
        <v>39</v>
      </c>
      <c r="E110" t="s">
        <v>128</v>
      </c>
      <c r="F110" t="s">
        <v>23</v>
      </c>
      <c r="G110" t="s">
        <v>24</v>
      </c>
      <c r="H110" t="s">
        <v>132</v>
      </c>
      <c r="I110">
        <v>6</v>
      </c>
      <c r="J110">
        <v>0.15</v>
      </c>
      <c r="K110">
        <v>237708.42</v>
      </c>
      <c r="L110">
        <v>15681.02</v>
      </c>
      <c r="M110">
        <v>2025</v>
      </c>
      <c r="N110" t="s">
        <v>615</v>
      </c>
      <c r="O110" t="s">
        <v>625</v>
      </c>
      <c r="P110">
        <v>6.596745710564228E-2</v>
      </c>
    </row>
    <row r="111" spans="1:16" x14ac:dyDescent="0.3">
      <c r="A111" t="s">
        <v>210</v>
      </c>
      <c r="B111" s="12">
        <v>45731</v>
      </c>
      <c r="C111" t="s">
        <v>100</v>
      </c>
      <c r="D111" t="s">
        <v>14</v>
      </c>
      <c r="E111" t="s">
        <v>97</v>
      </c>
      <c r="F111" t="s">
        <v>23</v>
      </c>
      <c r="G111" t="s">
        <v>58</v>
      </c>
      <c r="H111" t="s">
        <v>101</v>
      </c>
      <c r="I111">
        <v>1</v>
      </c>
      <c r="J111">
        <v>0.1</v>
      </c>
      <c r="K111">
        <v>12060.67</v>
      </c>
      <c r="L111">
        <v>2323.2399999999998</v>
      </c>
      <c r="M111">
        <v>2025</v>
      </c>
      <c r="N111" t="s">
        <v>615</v>
      </c>
      <c r="O111" t="s">
        <v>625</v>
      </c>
      <c r="P111">
        <v>0.19262943103492591</v>
      </c>
    </row>
    <row r="112" spans="1:16" x14ac:dyDescent="0.3">
      <c r="A112" t="s">
        <v>211</v>
      </c>
      <c r="B112" s="12">
        <v>45733</v>
      </c>
      <c r="C112" t="s">
        <v>27</v>
      </c>
      <c r="D112" t="s">
        <v>39</v>
      </c>
      <c r="E112" t="s">
        <v>47</v>
      </c>
      <c r="F112" t="s">
        <v>23</v>
      </c>
      <c r="G112" t="s">
        <v>48</v>
      </c>
      <c r="H112" t="s">
        <v>124</v>
      </c>
      <c r="I112">
        <v>2</v>
      </c>
      <c r="J112">
        <v>0</v>
      </c>
      <c r="K112">
        <v>83957.24</v>
      </c>
      <c r="L112">
        <v>8159.88</v>
      </c>
      <c r="M112">
        <v>2025</v>
      </c>
      <c r="N112" t="s">
        <v>615</v>
      </c>
      <c r="O112" t="s">
        <v>625</v>
      </c>
      <c r="P112">
        <v>9.719090336938184E-2</v>
      </c>
    </row>
    <row r="113" spans="1:16" x14ac:dyDescent="0.3">
      <c r="A113" t="s">
        <v>212</v>
      </c>
      <c r="B113" s="12">
        <v>45734</v>
      </c>
      <c r="C113" t="s">
        <v>51</v>
      </c>
      <c r="D113" t="s">
        <v>39</v>
      </c>
      <c r="E113" t="s">
        <v>40</v>
      </c>
      <c r="F113" t="s">
        <v>16</v>
      </c>
      <c r="G113" t="s">
        <v>68</v>
      </c>
      <c r="H113" t="s">
        <v>83</v>
      </c>
      <c r="I113">
        <v>7</v>
      </c>
      <c r="J113">
        <v>0.2</v>
      </c>
      <c r="K113">
        <v>19047.21</v>
      </c>
      <c r="L113">
        <v>2188.1</v>
      </c>
      <c r="M113">
        <v>2025</v>
      </c>
      <c r="N113" t="s">
        <v>615</v>
      </c>
      <c r="O113" t="s">
        <v>625</v>
      </c>
      <c r="P113">
        <v>0.11487771699897255</v>
      </c>
    </row>
    <row r="114" spans="1:16" x14ac:dyDescent="0.3">
      <c r="A114" t="s">
        <v>213</v>
      </c>
      <c r="B114" s="12">
        <v>45736</v>
      </c>
      <c r="C114" t="s">
        <v>20</v>
      </c>
      <c r="D114" t="s">
        <v>39</v>
      </c>
      <c r="E114" t="s">
        <v>47</v>
      </c>
      <c r="F114" t="s">
        <v>16</v>
      </c>
      <c r="G114" t="s">
        <v>68</v>
      </c>
      <c r="H114" t="s">
        <v>175</v>
      </c>
      <c r="I114">
        <v>3</v>
      </c>
      <c r="J114">
        <v>0.05</v>
      </c>
      <c r="K114">
        <v>25073.7</v>
      </c>
      <c r="L114">
        <v>2244.59</v>
      </c>
      <c r="M114">
        <v>2025</v>
      </c>
      <c r="N114" t="s">
        <v>615</v>
      </c>
      <c r="O114" t="s">
        <v>625</v>
      </c>
      <c r="P114">
        <v>8.9519695936379554E-2</v>
      </c>
    </row>
    <row r="115" spans="1:16" x14ac:dyDescent="0.3">
      <c r="A115" t="s">
        <v>214</v>
      </c>
      <c r="B115" s="12">
        <v>45738</v>
      </c>
      <c r="C115" t="s">
        <v>27</v>
      </c>
      <c r="D115" t="s">
        <v>21</v>
      </c>
      <c r="E115" t="s">
        <v>105</v>
      </c>
      <c r="F115" t="s">
        <v>23</v>
      </c>
      <c r="G115" t="s">
        <v>35</v>
      </c>
      <c r="H115" t="s">
        <v>36</v>
      </c>
      <c r="I115">
        <v>6</v>
      </c>
      <c r="J115">
        <v>0.1</v>
      </c>
      <c r="K115">
        <v>161991.84</v>
      </c>
      <c r="L115">
        <v>20673.41</v>
      </c>
      <c r="M115">
        <v>2025</v>
      </c>
      <c r="N115" t="s">
        <v>615</v>
      </c>
      <c r="O115" t="s">
        <v>625</v>
      </c>
      <c r="P115">
        <v>0.12762007024551361</v>
      </c>
    </row>
    <row r="116" spans="1:16" x14ac:dyDescent="0.3">
      <c r="A116" t="s">
        <v>215</v>
      </c>
      <c r="B116" s="12">
        <v>45739</v>
      </c>
      <c r="C116" t="s">
        <v>44</v>
      </c>
      <c r="D116" t="s">
        <v>39</v>
      </c>
      <c r="E116" t="s">
        <v>52</v>
      </c>
      <c r="F116" t="s">
        <v>16</v>
      </c>
      <c r="G116" t="s">
        <v>41</v>
      </c>
      <c r="H116" t="s">
        <v>177</v>
      </c>
      <c r="I116">
        <v>7</v>
      </c>
      <c r="J116">
        <v>0.1</v>
      </c>
      <c r="K116">
        <v>40139.050000000003</v>
      </c>
      <c r="L116">
        <v>7462.48</v>
      </c>
      <c r="M116">
        <v>2025</v>
      </c>
      <c r="N116" t="s">
        <v>615</v>
      </c>
      <c r="O116" t="s">
        <v>625</v>
      </c>
      <c r="P116">
        <v>0.18591571051133496</v>
      </c>
    </row>
    <row r="117" spans="1:16" x14ac:dyDescent="0.3">
      <c r="A117" t="s">
        <v>216</v>
      </c>
      <c r="B117" s="12">
        <v>45739</v>
      </c>
      <c r="C117" t="s">
        <v>85</v>
      </c>
      <c r="D117" t="s">
        <v>21</v>
      </c>
      <c r="E117" t="s">
        <v>67</v>
      </c>
      <c r="F117" t="s">
        <v>28</v>
      </c>
      <c r="G117" t="s">
        <v>29</v>
      </c>
      <c r="H117" t="s">
        <v>98</v>
      </c>
      <c r="I117">
        <v>3</v>
      </c>
      <c r="J117">
        <v>0.05</v>
      </c>
      <c r="K117">
        <v>10212.27</v>
      </c>
      <c r="L117">
        <v>2145.29</v>
      </c>
      <c r="M117">
        <v>2025</v>
      </c>
      <c r="N117" t="s">
        <v>615</v>
      </c>
      <c r="O117" t="s">
        <v>625</v>
      </c>
      <c r="P117">
        <v>0.21006984735029527</v>
      </c>
    </row>
    <row r="118" spans="1:16" x14ac:dyDescent="0.3">
      <c r="A118" t="s">
        <v>217</v>
      </c>
      <c r="B118" s="12">
        <v>45739</v>
      </c>
      <c r="C118" t="s">
        <v>111</v>
      </c>
      <c r="D118" t="s">
        <v>39</v>
      </c>
      <c r="E118" t="s">
        <v>47</v>
      </c>
      <c r="F118" t="s">
        <v>23</v>
      </c>
      <c r="G118" t="s">
        <v>58</v>
      </c>
      <c r="H118" t="s">
        <v>78</v>
      </c>
      <c r="I118">
        <v>2</v>
      </c>
      <c r="J118">
        <v>0.2</v>
      </c>
      <c r="K118">
        <v>65881.08</v>
      </c>
      <c r="L118">
        <v>11817.54</v>
      </c>
      <c r="M118">
        <v>2025</v>
      </c>
      <c r="N118" t="s">
        <v>615</v>
      </c>
      <c r="O118" t="s">
        <v>625</v>
      </c>
      <c r="P118">
        <v>0.17937684081681721</v>
      </c>
    </row>
    <row r="119" spans="1:16" x14ac:dyDescent="0.3">
      <c r="A119" t="s">
        <v>218</v>
      </c>
      <c r="B119" s="12">
        <v>45739</v>
      </c>
      <c r="C119" t="s">
        <v>85</v>
      </c>
      <c r="D119" t="s">
        <v>33</v>
      </c>
      <c r="E119" t="s">
        <v>34</v>
      </c>
      <c r="F119" t="s">
        <v>23</v>
      </c>
      <c r="G119" t="s">
        <v>58</v>
      </c>
      <c r="H119" t="s">
        <v>90</v>
      </c>
      <c r="I119">
        <v>1</v>
      </c>
      <c r="J119">
        <v>0.15</v>
      </c>
      <c r="K119">
        <v>25034.400000000001</v>
      </c>
      <c r="L119">
        <v>3612.38</v>
      </c>
      <c r="M119">
        <v>2025</v>
      </c>
      <c r="N119" t="s">
        <v>615</v>
      </c>
      <c r="O119" t="s">
        <v>625</v>
      </c>
      <c r="P119">
        <v>0.14429664781260984</v>
      </c>
    </row>
    <row r="120" spans="1:16" x14ac:dyDescent="0.3">
      <c r="A120" t="s">
        <v>219</v>
      </c>
      <c r="B120" s="12">
        <v>45739</v>
      </c>
      <c r="C120" t="s">
        <v>95</v>
      </c>
      <c r="D120" t="s">
        <v>39</v>
      </c>
      <c r="E120" t="s">
        <v>52</v>
      </c>
      <c r="F120" t="s">
        <v>23</v>
      </c>
      <c r="G120" t="s">
        <v>24</v>
      </c>
      <c r="H120" t="s">
        <v>129</v>
      </c>
      <c r="I120">
        <v>5</v>
      </c>
      <c r="J120">
        <v>0.15</v>
      </c>
      <c r="K120">
        <v>201738.4</v>
      </c>
      <c r="L120">
        <v>39746.699999999997</v>
      </c>
      <c r="M120">
        <v>2025</v>
      </c>
      <c r="N120" t="s">
        <v>615</v>
      </c>
      <c r="O120" t="s">
        <v>625</v>
      </c>
      <c r="P120">
        <v>0.1970209935242869</v>
      </c>
    </row>
    <row r="121" spans="1:16" x14ac:dyDescent="0.3">
      <c r="A121" t="s">
        <v>220</v>
      </c>
      <c r="B121" s="12">
        <v>45739</v>
      </c>
      <c r="C121" t="s">
        <v>20</v>
      </c>
      <c r="D121" t="s">
        <v>33</v>
      </c>
      <c r="E121" t="s">
        <v>140</v>
      </c>
      <c r="F121" t="s">
        <v>28</v>
      </c>
      <c r="G121" t="s">
        <v>92</v>
      </c>
      <c r="H121" t="s">
        <v>93</v>
      </c>
      <c r="I121">
        <v>5</v>
      </c>
      <c r="J121">
        <v>0.05</v>
      </c>
      <c r="K121">
        <v>15528.65</v>
      </c>
      <c r="L121">
        <v>1188.99</v>
      </c>
      <c r="M121">
        <v>2025</v>
      </c>
      <c r="N121" t="s">
        <v>615</v>
      </c>
      <c r="O121" t="s">
        <v>625</v>
      </c>
      <c r="P121">
        <v>7.6567505868185587E-2</v>
      </c>
    </row>
    <row r="122" spans="1:16" x14ac:dyDescent="0.3">
      <c r="A122" t="s">
        <v>221</v>
      </c>
      <c r="B122" s="12">
        <v>45740</v>
      </c>
      <c r="C122" t="s">
        <v>77</v>
      </c>
      <c r="D122" t="s">
        <v>14</v>
      </c>
      <c r="E122" t="s">
        <v>54</v>
      </c>
      <c r="F122" t="s">
        <v>28</v>
      </c>
      <c r="G122" t="s">
        <v>71</v>
      </c>
      <c r="H122" t="s">
        <v>72</v>
      </c>
      <c r="I122">
        <v>6</v>
      </c>
      <c r="J122">
        <v>0.15</v>
      </c>
      <c r="K122">
        <v>11693.16</v>
      </c>
      <c r="L122">
        <v>1663.63</v>
      </c>
      <c r="M122">
        <v>2025</v>
      </c>
      <c r="N122" t="s">
        <v>615</v>
      </c>
      <c r="O122" t="s">
        <v>625</v>
      </c>
      <c r="P122">
        <v>0.14227377372754671</v>
      </c>
    </row>
    <row r="123" spans="1:16" x14ac:dyDescent="0.3">
      <c r="A123" t="s">
        <v>222</v>
      </c>
      <c r="B123" s="12">
        <v>45740</v>
      </c>
      <c r="C123" t="s">
        <v>111</v>
      </c>
      <c r="D123" t="s">
        <v>33</v>
      </c>
      <c r="E123" t="s">
        <v>140</v>
      </c>
      <c r="F123" t="s">
        <v>23</v>
      </c>
      <c r="G123" t="s">
        <v>24</v>
      </c>
      <c r="H123" t="s">
        <v>129</v>
      </c>
      <c r="I123">
        <v>2</v>
      </c>
      <c r="J123">
        <v>0.05</v>
      </c>
      <c r="K123">
        <v>9163.2199999999993</v>
      </c>
      <c r="L123">
        <v>1810.36</v>
      </c>
      <c r="M123">
        <v>2025</v>
      </c>
      <c r="N123" t="s">
        <v>615</v>
      </c>
      <c r="O123" t="s">
        <v>625</v>
      </c>
      <c r="P123">
        <v>0.19756810378884279</v>
      </c>
    </row>
    <row r="124" spans="1:16" x14ac:dyDescent="0.3">
      <c r="A124" t="s">
        <v>223</v>
      </c>
      <c r="B124" s="12">
        <v>45740</v>
      </c>
      <c r="C124" t="s">
        <v>27</v>
      </c>
      <c r="D124" t="s">
        <v>21</v>
      </c>
      <c r="E124" t="s">
        <v>105</v>
      </c>
      <c r="F124" t="s">
        <v>28</v>
      </c>
      <c r="G124" t="s">
        <v>71</v>
      </c>
      <c r="H124" t="s">
        <v>121</v>
      </c>
      <c r="I124">
        <v>3</v>
      </c>
      <c r="J124">
        <v>0.15</v>
      </c>
      <c r="K124">
        <v>1397.07</v>
      </c>
      <c r="L124">
        <v>110.45</v>
      </c>
      <c r="M124">
        <v>2025</v>
      </c>
      <c r="N124" t="s">
        <v>615</v>
      </c>
      <c r="O124" t="s">
        <v>625</v>
      </c>
      <c r="P124">
        <v>7.9058314901901849E-2</v>
      </c>
    </row>
    <row r="125" spans="1:16" x14ac:dyDescent="0.3">
      <c r="A125" t="s">
        <v>224</v>
      </c>
      <c r="B125" s="12">
        <v>45740</v>
      </c>
      <c r="C125" t="s">
        <v>61</v>
      </c>
      <c r="D125" t="s">
        <v>21</v>
      </c>
      <c r="E125" t="s">
        <v>105</v>
      </c>
      <c r="F125" t="s">
        <v>28</v>
      </c>
      <c r="G125" t="s">
        <v>92</v>
      </c>
      <c r="H125" t="s">
        <v>93</v>
      </c>
      <c r="I125">
        <v>1</v>
      </c>
      <c r="J125">
        <v>0.15</v>
      </c>
      <c r="K125">
        <v>1753.49</v>
      </c>
      <c r="L125">
        <v>240.76</v>
      </c>
      <c r="M125">
        <v>2025</v>
      </c>
      <c r="N125" t="s">
        <v>615</v>
      </c>
      <c r="O125" t="s">
        <v>625</v>
      </c>
      <c r="P125">
        <v>0.13730332080593557</v>
      </c>
    </row>
    <row r="126" spans="1:16" x14ac:dyDescent="0.3">
      <c r="A126" t="s">
        <v>225</v>
      </c>
      <c r="B126" s="12">
        <v>45740</v>
      </c>
      <c r="C126" t="s">
        <v>32</v>
      </c>
      <c r="D126" t="s">
        <v>21</v>
      </c>
      <c r="E126" t="s">
        <v>105</v>
      </c>
      <c r="F126" t="s">
        <v>28</v>
      </c>
      <c r="G126" t="s">
        <v>71</v>
      </c>
      <c r="H126" t="s">
        <v>121</v>
      </c>
      <c r="I126">
        <v>4</v>
      </c>
      <c r="J126">
        <v>0.15</v>
      </c>
      <c r="K126">
        <v>6068.08</v>
      </c>
      <c r="L126">
        <v>1120.6199999999999</v>
      </c>
      <c r="M126">
        <v>2025</v>
      </c>
      <c r="N126" t="s">
        <v>615</v>
      </c>
      <c r="O126" t="s">
        <v>625</v>
      </c>
      <c r="P126">
        <v>0.18467455933342999</v>
      </c>
    </row>
    <row r="127" spans="1:16" x14ac:dyDescent="0.3">
      <c r="A127" t="s">
        <v>226</v>
      </c>
      <c r="B127" s="12">
        <v>45741</v>
      </c>
      <c r="C127" t="s">
        <v>77</v>
      </c>
      <c r="D127" t="s">
        <v>21</v>
      </c>
      <c r="E127" t="s">
        <v>105</v>
      </c>
      <c r="F127" t="s">
        <v>23</v>
      </c>
      <c r="G127" t="s">
        <v>58</v>
      </c>
      <c r="H127" t="s">
        <v>59</v>
      </c>
      <c r="I127">
        <v>1</v>
      </c>
      <c r="J127">
        <v>0.05</v>
      </c>
      <c r="K127">
        <v>21535.05</v>
      </c>
      <c r="L127">
        <v>4883.32</v>
      </c>
      <c r="M127">
        <v>2025</v>
      </c>
      <c r="N127" t="s">
        <v>615</v>
      </c>
      <c r="O127" t="s">
        <v>625</v>
      </c>
      <c r="P127">
        <v>0.22676148882867697</v>
      </c>
    </row>
    <row r="128" spans="1:16" x14ac:dyDescent="0.3">
      <c r="A128" t="s">
        <v>227</v>
      </c>
      <c r="B128" s="12">
        <v>45741</v>
      </c>
      <c r="C128" t="s">
        <v>32</v>
      </c>
      <c r="D128" t="s">
        <v>21</v>
      </c>
      <c r="E128" t="s">
        <v>67</v>
      </c>
      <c r="F128" t="s">
        <v>16</v>
      </c>
      <c r="G128" t="s">
        <v>68</v>
      </c>
      <c r="H128" t="s">
        <v>175</v>
      </c>
      <c r="I128">
        <v>7</v>
      </c>
      <c r="J128">
        <v>0.2</v>
      </c>
      <c r="K128">
        <v>48047.02</v>
      </c>
      <c r="L128">
        <v>603.89</v>
      </c>
      <c r="M128">
        <v>2025</v>
      </c>
      <c r="N128" t="s">
        <v>615</v>
      </c>
      <c r="O128" t="s">
        <v>625</v>
      </c>
      <c r="P128">
        <v>1.2568729548679606E-2</v>
      </c>
    </row>
    <row r="129" spans="1:16" x14ac:dyDescent="0.3">
      <c r="A129" t="s">
        <v>228</v>
      </c>
      <c r="B129" s="12">
        <v>45741</v>
      </c>
      <c r="C129" t="s">
        <v>229</v>
      </c>
      <c r="D129" t="s">
        <v>21</v>
      </c>
      <c r="E129" t="s">
        <v>67</v>
      </c>
      <c r="F129" t="s">
        <v>16</v>
      </c>
      <c r="G129" t="s">
        <v>62</v>
      </c>
      <c r="H129" t="s">
        <v>167</v>
      </c>
      <c r="I129">
        <v>2</v>
      </c>
      <c r="J129">
        <v>0.2</v>
      </c>
      <c r="K129">
        <v>13925.84</v>
      </c>
      <c r="L129">
        <v>1399.71</v>
      </c>
      <c r="M129">
        <v>2025</v>
      </c>
      <c r="N129" t="s">
        <v>615</v>
      </c>
      <c r="O129" t="s">
        <v>625</v>
      </c>
      <c r="P129">
        <v>0.10051171060417181</v>
      </c>
    </row>
    <row r="130" spans="1:16" x14ac:dyDescent="0.3">
      <c r="A130" t="s">
        <v>230</v>
      </c>
      <c r="B130" s="12">
        <v>45742</v>
      </c>
      <c r="C130" t="s">
        <v>44</v>
      </c>
      <c r="D130" t="s">
        <v>33</v>
      </c>
      <c r="E130" t="s">
        <v>140</v>
      </c>
      <c r="F130" t="s">
        <v>28</v>
      </c>
      <c r="G130" t="s">
        <v>71</v>
      </c>
      <c r="H130" t="s">
        <v>72</v>
      </c>
      <c r="I130">
        <v>3</v>
      </c>
      <c r="J130">
        <v>0.15</v>
      </c>
      <c r="K130">
        <v>13276.2</v>
      </c>
      <c r="L130">
        <v>2547.2199999999998</v>
      </c>
      <c r="M130">
        <v>2025</v>
      </c>
      <c r="N130" t="s">
        <v>615</v>
      </c>
      <c r="O130" t="s">
        <v>625</v>
      </c>
      <c r="P130">
        <v>0.19186363567888398</v>
      </c>
    </row>
    <row r="131" spans="1:16" x14ac:dyDescent="0.3">
      <c r="A131" t="s">
        <v>231</v>
      </c>
      <c r="B131" s="12">
        <v>45743</v>
      </c>
      <c r="C131" t="s">
        <v>51</v>
      </c>
      <c r="D131" t="s">
        <v>39</v>
      </c>
      <c r="E131" t="s">
        <v>52</v>
      </c>
      <c r="F131" t="s">
        <v>23</v>
      </c>
      <c r="G131" t="s">
        <v>48</v>
      </c>
      <c r="H131" t="s">
        <v>49</v>
      </c>
      <c r="I131">
        <v>1</v>
      </c>
      <c r="J131">
        <v>0.15</v>
      </c>
      <c r="K131">
        <v>41902.07</v>
      </c>
      <c r="L131">
        <v>3695.55</v>
      </c>
      <c r="M131">
        <v>2025</v>
      </c>
      <c r="N131" t="s">
        <v>615</v>
      </c>
      <c r="O131" t="s">
        <v>625</v>
      </c>
      <c r="P131">
        <v>8.8194926885473687E-2</v>
      </c>
    </row>
    <row r="132" spans="1:16" x14ac:dyDescent="0.3">
      <c r="A132" t="s">
        <v>232</v>
      </c>
      <c r="B132" s="12">
        <v>45743</v>
      </c>
      <c r="C132" t="s">
        <v>150</v>
      </c>
      <c r="D132" t="s">
        <v>39</v>
      </c>
      <c r="E132" t="s">
        <v>52</v>
      </c>
      <c r="F132" t="s">
        <v>16</v>
      </c>
      <c r="G132" t="s">
        <v>68</v>
      </c>
      <c r="H132" t="s">
        <v>69</v>
      </c>
      <c r="I132">
        <v>2</v>
      </c>
      <c r="J132">
        <v>0.05</v>
      </c>
      <c r="K132">
        <v>16217.54</v>
      </c>
      <c r="L132">
        <v>2045.53</v>
      </c>
      <c r="M132">
        <v>2025</v>
      </c>
      <c r="N132" t="s">
        <v>615</v>
      </c>
      <c r="O132" t="s">
        <v>625</v>
      </c>
      <c r="P132">
        <v>0.12613072019554136</v>
      </c>
    </row>
    <row r="133" spans="1:16" x14ac:dyDescent="0.3">
      <c r="A133" t="s">
        <v>233</v>
      </c>
      <c r="B133" s="12">
        <v>45743</v>
      </c>
      <c r="C133" t="s">
        <v>13</v>
      </c>
      <c r="D133" t="s">
        <v>39</v>
      </c>
      <c r="E133" t="s">
        <v>40</v>
      </c>
      <c r="F133" t="s">
        <v>16</v>
      </c>
      <c r="G133" t="s">
        <v>62</v>
      </c>
      <c r="H133" t="s">
        <v>167</v>
      </c>
      <c r="I133">
        <v>5</v>
      </c>
      <c r="J133">
        <v>0.2</v>
      </c>
      <c r="K133">
        <v>9174.2000000000007</v>
      </c>
      <c r="L133">
        <v>238.59</v>
      </c>
      <c r="M133">
        <v>2025</v>
      </c>
      <c r="N133" t="s">
        <v>615</v>
      </c>
      <c r="O133" t="s">
        <v>625</v>
      </c>
      <c r="P133">
        <v>2.6006627280852825E-2</v>
      </c>
    </row>
    <row r="134" spans="1:16" x14ac:dyDescent="0.3">
      <c r="A134" t="s">
        <v>234</v>
      </c>
      <c r="B134" s="12">
        <v>45743</v>
      </c>
      <c r="C134" t="s">
        <v>104</v>
      </c>
      <c r="D134" t="s">
        <v>39</v>
      </c>
      <c r="E134" t="s">
        <v>52</v>
      </c>
      <c r="F134" t="s">
        <v>23</v>
      </c>
      <c r="G134" t="s">
        <v>58</v>
      </c>
      <c r="H134" t="s">
        <v>90</v>
      </c>
      <c r="I134">
        <v>6</v>
      </c>
      <c r="J134">
        <v>0.1</v>
      </c>
      <c r="K134">
        <v>78180.899999999994</v>
      </c>
      <c r="L134">
        <v>9081.39</v>
      </c>
      <c r="M134">
        <v>2025</v>
      </c>
      <c r="N134" t="s">
        <v>615</v>
      </c>
      <c r="O134" t="s">
        <v>625</v>
      </c>
      <c r="P134">
        <v>0.11615867814261539</v>
      </c>
    </row>
    <row r="135" spans="1:16" x14ac:dyDescent="0.3">
      <c r="A135" t="s">
        <v>235</v>
      </c>
      <c r="B135" s="12">
        <v>45744</v>
      </c>
      <c r="C135" t="s">
        <v>85</v>
      </c>
      <c r="D135" t="s">
        <v>39</v>
      </c>
      <c r="E135" t="s">
        <v>128</v>
      </c>
      <c r="F135" t="s">
        <v>16</v>
      </c>
      <c r="G135" t="s">
        <v>41</v>
      </c>
      <c r="H135" t="s">
        <v>177</v>
      </c>
      <c r="I135">
        <v>6</v>
      </c>
      <c r="J135">
        <v>0.2</v>
      </c>
      <c r="K135">
        <v>29551.439999999999</v>
      </c>
      <c r="L135">
        <v>1125.8599999999999</v>
      </c>
      <c r="M135">
        <v>2025</v>
      </c>
      <c r="N135" t="s">
        <v>615</v>
      </c>
      <c r="O135" t="s">
        <v>625</v>
      </c>
      <c r="P135">
        <v>3.8098312637218357E-2</v>
      </c>
    </row>
    <row r="136" spans="1:16" x14ac:dyDescent="0.3">
      <c r="A136" t="s">
        <v>236</v>
      </c>
      <c r="B136" s="12">
        <v>45744</v>
      </c>
      <c r="C136" t="s">
        <v>61</v>
      </c>
      <c r="D136" t="s">
        <v>39</v>
      </c>
      <c r="E136" t="s">
        <v>128</v>
      </c>
      <c r="F136" t="s">
        <v>28</v>
      </c>
      <c r="G136" t="s">
        <v>74</v>
      </c>
      <c r="H136" t="s">
        <v>75</v>
      </c>
      <c r="I136">
        <v>4</v>
      </c>
      <c r="J136">
        <v>0.05</v>
      </c>
      <c r="K136">
        <v>7707.84</v>
      </c>
      <c r="L136">
        <v>718.88</v>
      </c>
      <c r="M136">
        <v>2025</v>
      </c>
      <c r="N136" t="s">
        <v>615</v>
      </c>
      <c r="O136" t="s">
        <v>625</v>
      </c>
      <c r="P136">
        <v>9.3266077137044878E-2</v>
      </c>
    </row>
    <row r="137" spans="1:16" x14ac:dyDescent="0.3">
      <c r="A137" t="s">
        <v>237</v>
      </c>
      <c r="B137" s="12">
        <v>45744</v>
      </c>
      <c r="C137" t="s">
        <v>77</v>
      </c>
      <c r="D137" t="s">
        <v>39</v>
      </c>
      <c r="E137" t="s">
        <v>128</v>
      </c>
      <c r="F137" t="s">
        <v>23</v>
      </c>
      <c r="G137" t="s">
        <v>24</v>
      </c>
      <c r="H137" t="s">
        <v>25</v>
      </c>
      <c r="I137">
        <v>4</v>
      </c>
      <c r="J137">
        <v>0.1</v>
      </c>
      <c r="K137">
        <v>172204.79999999999</v>
      </c>
      <c r="L137">
        <v>19884.099999999999</v>
      </c>
      <c r="M137">
        <v>2025</v>
      </c>
      <c r="N137" t="s">
        <v>615</v>
      </c>
      <c r="O137" t="s">
        <v>625</v>
      </c>
      <c r="P137">
        <v>0.11546774538224254</v>
      </c>
    </row>
    <row r="138" spans="1:16" x14ac:dyDescent="0.3">
      <c r="A138" t="s">
        <v>238</v>
      </c>
      <c r="B138" s="12">
        <v>45746</v>
      </c>
      <c r="C138" t="s">
        <v>179</v>
      </c>
      <c r="D138" t="s">
        <v>14</v>
      </c>
      <c r="E138" t="s">
        <v>15</v>
      </c>
      <c r="F138" t="s">
        <v>23</v>
      </c>
      <c r="G138" t="s">
        <v>24</v>
      </c>
      <c r="H138" t="s">
        <v>129</v>
      </c>
      <c r="I138">
        <v>5</v>
      </c>
      <c r="J138">
        <v>0.2</v>
      </c>
      <c r="K138">
        <v>196466.85</v>
      </c>
      <c r="L138">
        <v>11606.58</v>
      </c>
      <c r="M138">
        <v>2025</v>
      </c>
      <c r="N138" t="s">
        <v>615</v>
      </c>
      <c r="O138" t="s">
        <v>625</v>
      </c>
      <c r="P138">
        <v>5.9076531231604716E-2</v>
      </c>
    </row>
    <row r="139" spans="1:16" x14ac:dyDescent="0.3">
      <c r="A139" t="s">
        <v>239</v>
      </c>
      <c r="B139" s="12">
        <v>45746</v>
      </c>
      <c r="C139" t="s">
        <v>135</v>
      </c>
      <c r="D139" t="s">
        <v>39</v>
      </c>
      <c r="E139" t="s">
        <v>40</v>
      </c>
      <c r="F139" t="s">
        <v>16</v>
      </c>
      <c r="G139" t="s">
        <v>41</v>
      </c>
      <c r="H139" t="s">
        <v>42</v>
      </c>
      <c r="I139">
        <v>2</v>
      </c>
      <c r="J139">
        <v>0.05</v>
      </c>
      <c r="K139">
        <v>9864.58</v>
      </c>
      <c r="L139">
        <v>780.33</v>
      </c>
      <c r="M139">
        <v>2025</v>
      </c>
      <c r="N139" t="s">
        <v>615</v>
      </c>
      <c r="O139" t="s">
        <v>625</v>
      </c>
      <c r="P139">
        <v>7.9104229475558008E-2</v>
      </c>
    </row>
    <row r="140" spans="1:16" x14ac:dyDescent="0.3">
      <c r="A140" t="s">
        <v>240</v>
      </c>
      <c r="B140" s="12">
        <v>45751</v>
      </c>
      <c r="C140" t="s">
        <v>77</v>
      </c>
      <c r="D140" t="s">
        <v>33</v>
      </c>
      <c r="E140" t="s">
        <v>45</v>
      </c>
      <c r="F140" t="s">
        <v>23</v>
      </c>
      <c r="G140" t="s">
        <v>48</v>
      </c>
      <c r="H140" t="s">
        <v>124</v>
      </c>
      <c r="I140">
        <v>5</v>
      </c>
      <c r="J140">
        <v>0.15</v>
      </c>
      <c r="K140">
        <v>208332.35</v>
      </c>
      <c r="L140">
        <v>20197.43</v>
      </c>
      <c r="M140">
        <v>2025</v>
      </c>
      <c r="N140" t="s">
        <v>616</v>
      </c>
      <c r="O140" t="s">
        <v>625</v>
      </c>
      <c r="P140">
        <v>9.6948121595133926E-2</v>
      </c>
    </row>
    <row r="141" spans="1:16" x14ac:dyDescent="0.3">
      <c r="A141" t="s">
        <v>241</v>
      </c>
      <c r="B141" s="12">
        <v>45752</v>
      </c>
      <c r="C141" t="s">
        <v>20</v>
      </c>
      <c r="D141" t="s">
        <v>33</v>
      </c>
      <c r="E141" t="s">
        <v>45</v>
      </c>
      <c r="F141" t="s">
        <v>23</v>
      </c>
      <c r="G141" t="s">
        <v>24</v>
      </c>
      <c r="H141" t="s">
        <v>25</v>
      </c>
      <c r="I141">
        <v>3</v>
      </c>
      <c r="J141">
        <v>0.05</v>
      </c>
      <c r="K141">
        <v>85869.03</v>
      </c>
      <c r="L141">
        <v>9042.51</v>
      </c>
      <c r="M141">
        <v>2025</v>
      </c>
      <c r="N141" t="s">
        <v>616</v>
      </c>
      <c r="O141" t="s">
        <v>625</v>
      </c>
      <c r="P141">
        <v>0.10530583610878101</v>
      </c>
    </row>
    <row r="142" spans="1:16" x14ac:dyDescent="0.3">
      <c r="A142" t="s">
        <v>242</v>
      </c>
      <c r="B142" s="12">
        <v>45753</v>
      </c>
      <c r="C142" t="s">
        <v>82</v>
      </c>
      <c r="D142" t="s">
        <v>33</v>
      </c>
      <c r="E142" t="s">
        <v>34</v>
      </c>
      <c r="F142" t="s">
        <v>16</v>
      </c>
      <c r="G142" t="s">
        <v>68</v>
      </c>
      <c r="H142" t="s">
        <v>175</v>
      </c>
      <c r="I142">
        <v>6</v>
      </c>
      <c r="J142">
        <v>0.1</v>
      </c>
      <c r="K142">
        <v>44620.62</v>
      </c>
      <c r="L142">
        <v>9310.11</v>
      </c>
      <c r="M142">
        <v>2025</v>
      </c>
      <c r="N142" t="s">
        <v>616</v>
      </c>
      <c r="O142" t="s">
        <v>625</v>
      </c>
      <c r="P142">
        <v>0.20865039526568657</v>
      </c>
    </row>
    <row r="143" spans="1:16" x14ac:dyDescent="0.3">
      <c r="A143" t="s">
        <v>243</v>
      </c>
      <c r="B143" s="12">
        <v>45754</v>
      </c>
      <c r="C143" t="s">
        <v>77</v>
      </c>
      <c r="D143" t="s">
        <v>21</v>
      </c>
      <c r="E143" t="s">
        <v>57</v>
      </c>
      <c r="F143" t="s">
        <v>23</v>
      </c>
      <c r="G143" t="s">
        <v>58</v>
      </c>
      <c r="H143" t="s">
        <v>78</v>
      </c>
      <c r="I143">
        <v>5</v>
      </c>
      <c r="J143">
        <v>0.1</v>
      </c>
      <c r="K143">
        <v>226275.4</v>
      </c>
      <c r="L143">
        <v>42066.43</v>
      </c>
      <c r="M143">
        <v>2025</v>
      </c>
      <c r="N143" t="s">
        <v>616</v>
      </c>
      <c r="O143" t="s">
        <v>625</v>
      </c>
      <c r="P143">
        <v>0.1859081013667416</v>
      </c>
    </row>
    <row r="144" spans="1:16" x14ac:dyDescent="0.3">
      <c r="A144" t="s">
        <v>244</v>
      </c>
      <c r="B144" s="12">
        <v>45755</v>
      </c>
      <c r="C144" t="s">
        <v>111</v>
      </c>
      <c r="D144" t="s">
        <v>14</v>
      </c>
      <c r="E144" t="s">
        <v>114</v>
      </c>
      <c r="F144" t="s">
        <v>16</v>
      </c>
      <c r="G144" t="s">
        <v>68</v>
      </c>
      <c r="H144" t="s">
        <v>69</v>
      </c>
      <c r="I144">
        <v>6</v>
      </c>
      <c r="J144">
        <v>0</v>
      </c>
      <c r="K144">
        <v>39968.46</v>
      </c>
      <c r="L144">
        <v>4221.55</v>
      </c>
      <c r="M144">
        <v>2025</v>
      </c>
      <c r="N144" t="s">
        <v>616</v>
      </c>
      <c r="O144" t="s">
        <v>625</v>
      </c>
      <c r="P144">
        <v>0.10562203297299921</v>
      </c>
    </row>
    <row r="145" spans="1:16" x14ac:dyDescent="0.3">
      <c r="A145" t="s">
        <v>245</v>
      </c>
      <c r="B145" s="12">
        <v>45755</v>
      </c>
      <c r="C145" t="s">
        <v>143</v>
      </c>
      <c r="D145" t="s">
        <v>33</v>
      </c>
      <c r="E145" t="s">
        <v>140</v>
      </c>
      <c r="F145" t="s">
        <v>23</v>
      </c>
      <c r="G145" t="s">
        <v>48</v>
      </c>
      <c r="H145" t="s">
        <v>118</v>
      </c>
      <c r="I145">
        <v>2</v>
      </c>
      <c r="J145">
        <v>0.05</v>
      </c>
      <c r="K145">
        <v>17912.22</v>
      </c>
      <c r="L145">
        <v>3142.02</v>
      </c>
      <c r="M145">
        <v>2025</v>
      </c>
      <c r="N145" t="s">
        <v>616</v>
      </c>
      <c r="O145" t="s">
        <v>625</v>
      </c>
      <c r="P145">
        <v>0.17541209297340027</v>
      </c>
    </row>
    <row r="146" spans="1:16" x14ac:dyDescent="0.3">
      <c r="A146" t="s">
        <v>246</v>
      </c>
      <c r="B146" s="12">
        <v>45755</v>
      </c>
      <c r="C146" t="s">
        <v>95</v>
      </c>
      <c r="D146" t="s">
        <v>14</v>
      </c>
      <c r="E146" t="s">
        <v>54</v>
      </c>
      <c r="F146" t="s">
        <v>16</v>
      </c>
      <c r="G146" t="s">
        <v>17</v>
      </c>
      <c r="H146" t="s">
        <v>88</v>
      </c>
      <c r="I146">
        <v>4</v>
      </c>
      <c r="J146">
        <v>0.15</v>
      </c>
      <c r="K146">
        <v>23776.44</v>
      </c>
      <c r="L146">
        <v>2568.9899999999998</v>
      </c>
      <c r="M146">
        <v>2025</v>
      </c>
      <c r="N146" t="s">
        <v>616</v>
      </c>
      <c r="O146" t="s">
        <v>625</v>
      </c>
      <c r="P146">
        <v>0.10804771446019673</v>
      </c>
    </row>
    <row r="147" spans="1:16" x14ac:dyDescent="0.3">
      <c r="A147" t="s">
        <v>247</v>
      </c>
      <c r="B147" s="12">
        <v>45756</v>
      </c>
      <c r="C147" t="s">
        <v>51</v>
      </c>
      <c r="D147" t="s">
        <v>14</v>
      </c>
      <c r="E147" t="s">
        <v>114</v>
      </c>
      <c r="F147" t="s">
        <v>23</v>
      </c>
      <c r="G147" t="s">
        <v>35</v>
      </c>
      <c r="H147" t="s">
        <v>155</v>
      </c>
      <c r="I147">
        <v>6</v>
      </c>
      <c r="J147">
        <v>0</v>
      </c>
      <c r="K147">
        <v>266705.21999999997</v>
      </c>
      <c r="L147">
        <v>38698.28</v>
      </c>
      <c r="M147">
        <v>2025</v>
      </c>
      <c r="N147" t="s">
        <v>616</v>
      </c>
      <c r="O147" t="s">
        <v>625</v>
      </c>
      <c r="P147">
        <v>0.14509757251845315</v>
      </c>
    </row>
    <row r="148" spans="1:16" x14ac:dyDescent="0.3">
      <c r="A148" t="s">
        <v>248</v>
      </c>
      <c r="B148" s="12">
        <v>45757</v>
      </c>
      <c r="C148" t="s">
        <v>95</v>
      </c>
      <c r="D148" t="s">
        <v>33</v>
      </c>
      <c r="E148" t="s">
        <v>45</v>
      </c>
      <c r="F148" t="s">
        <v>16</v>
      </c>
      <c r="G148" t="s">
        <v>68</v>
      </c>
      <c r="H148" t="s">
        <v>69</v>
      </c>
      <c r="I148">
        <v>4</v>
      </c>
      <c r="J148">
        <v>0.05</v>
      </c>
      <c r="K148">
        <v>19232.2</v>
      </c>
      <c r="L148">
        <v>4253.8599999999997</v>
      </c>
      <c r="M148">
        <v>2025</v>
      </c>
      <c r="N148" t="s">
        <v>616</v>
      </c>
      <c r="O148" t="s">
        <v>625</v>
      </c>
      <c r="P148">
        <v>0.22118426389076651</v>
      </c>
    </row>
    <row r="149" spans="1:16" x14ac:dyDescent="0.3">
      <c r="A149" t="s">
        <v>249</v>
      </c>
      <c r="B149" s="12">
        <v>45758</v>
      </c>
      <c r="C149" t="s">
        <v>38</v>
      </c>
      <c r="D149" t="s">
        <v>39</v>
      </c>
      <c r="E149" t="s">
        <v>40</v>
      </c>
      <c r="F149" t="s">
        <v>23</v>
      </c>
      <c r="G149" t="s">
        <v>48</v>
      </c>
      <c r="H149" t="s">
        <v>49</v>
      </c>
      <c r="I149">
        <v>7</v>
      </c>
      <c r="J149">
        <v>0</v>
      </c>
      <c r="K149">
        <v>177938.18</v>
      </c>
      <c r="L149">
        <v>28632.84</v>
      </c>
      <c r="M149">
        <v>2025</v>
      </c>
      <c r="N149" t="s">
        <v>616</v>
      </c>
      <c r="O149" t="s">
        <v>625</v>
      </c>
      <c r="P149">
        <v>0.16091453784679602</v>
      </c>
    </row>
    <row r="150" spans="1:16" x14ac:dyDescent="0.3">
      <c r="A150" t="s">
        <v>250</v>
      </c>
      <c r="B150" s="12">
        <v>45758</v>
      </c>
      <c r="C150" t="s">
        <v>77</v>
      </c>
      <c r="D150" t="s">
        <v>14</v>
      </c>
      <c r="E150" t="s">
        <v>15</v>
      </c>
      <c r="F150" t="s">
        <v>23</v>
      </c>
      <c r="G150" t="s">
        <v>58</v>
      </c>
      <c r="H150" t="s">
        <v>90</v>
      </c>
      <c r="I150">
        <v>1</v>
      </c>
      <c r="J150">
        <v>0.05</v>
      </c>
      <c r="K150">
        <v>13925.63</v>
      </c>
      <c r="L150">
        <v>2060.37</v>
      </c>
      <c r="M150">
        <v>2025</v>
      </c>
      <c r="N150" t="s">
        <v>616</v>
      </c>
      <c r="O150" t="s">
        <v>625</v>
      </c>
      <c r="P150">
        <v>0.14795524511278843</v>
      </c>
    </row>
    <row r="151" spans="1:16" x14ac:dyDescent="0.3">
      <c r="A151" t="s">
        <v>251</v>
      </c>
      <c r="B151" s="12">
        <v>45760</v>
      </c>
      <c r="C151" t="s">
        <v>95</v>
      </c>
      <c r="D151" t="s">
        <v>33</v>
      </c>
      <c r="E151" t="s">
        <v>140</v>
      </c>
      <c r="F151" t="s">
        <v>16</v>
      </c>
      <c r="G151" t="s">
        <v>17</v>
      </c>
      <c r="H151" t="s">
        <v>153</v>
      </c>
      <c r="I151">
        <v>6</v>
      </c>
      <c r="J151">
        <v>0.05</v>
      </c>
      <c r="K151">
        <v>42160.32</v>
      </c>
      <c r="L151">
        <v>8373.0300000000007</v>
      </c>
      <c r="M151">
        <v>2025</v>
      </c>
      <c r="N151" t="s">
        <v>616</v>
      </c>
      <c r="O151" t="s">
        <v>625</v>
      </c>
      <c r="P151">
        <v>0.19859977343625476</v>
      </c>
    </row>
    <row r="152" spans="1:16" x14ac:dyDescent="0.3">
      <c r="A152" t="s">
        <v>252</v>
      </c>
      <c r="B152" s="12">
        <v>45760</v>
      </c>
      <c r="C152" t="s">
        <v>61</v>
      </c>
      <c r="D152" t="s">
        <v>21</v>
      </c>
      <c r="E152" t="s">
        <v>67</v>
      </c>
      <c r="F152" t="s">
        <v>16</v>
      </c>
      <c r="G152" t="s">
        <v>62</v>
      </c>
      <c r="H152" t="s">
        <v>167</v>
      </c>
      <c r="I152">
        <v>5</v>
      </c>
      <c r="J152">
        <v>0.1</v>
      </c>
      <c r="K152">
        <v>38714.699999999997</v>
      </c>
      <c r="L152">
        <v>2343.54</v>
      </c>
      <c r="M152">
        <v>2025</v>
      </c>
      <c r="N152" t="s">
        <v>616</v>
      </c>
      <c r="O152" t="s">
        <v>625</v>
      </c>
      <c r="P152">
        <v>6.0533595765949369E-2</v>
      </c>
    </row>
    <row r="153" spans="1:16" x14ac:dyDescent="0.3">
      <c r="A153" t="s">
        <v>253</v>
      </c>
      <c r="B153" s="12">
        <v>45761</v>
      </c>
      <c r="C153" t="s">
        <v>135</v>
      </c>
      <c r="D153" t="s">
        <v>33</v>
      </c>
      <c r="E153" t="s">
        <v>140</v>
      </c>
      <c r="F153" t="s">
        <v>23</v>
      </c>
      <c r="G153" t="s">
        <v>48</v>
      </c>
      <c r="H153" t="s">
        <v>124</v>
      </c>
      <c r="I153">
        <v>3</v>
      </c>
      <c r="J153">
        <v>0</v>
      </c>
      <c r="K153">
        <v>94517.4</v>
      </c>
      <c r="L153">
        <v>19573.95</v>
      </c>
      <c r="M153">
        <v>2025</v>
      </c>
      <c r="N153" t="s">
        <v>616</v>
      </c>
      <c r="O153" t="s">
        <v>625</v>
      </c>
      <c r="P153">
        <v>0.20709361450907454</v>
      </c>
    </row>
    <row r="154" spans="1:16" x14ac:dyDescent="0.3">
      <c r="A154" t="s">
        <v>254</v>
      </c>
      <c r="B154" s="12">
        <v>45761</v>
      </c>
      <c r="C154" t="s">
        <v>32</v>
      </c>
      <c r="D154" t="s">
        <v>33</v>
      </c>
      <c r="E154" t="s">
        <v>34</v>
      </c>
      <c r="F154" t="s">
        <v>28</v>
      </c>
      <c r="G154" t="s">
        <v>92</v>
      </c>
      <c r="H154" t="s">
        <v>93</v>
      </c>
      <c r="I154">
        <v>2</v>
      </c>
      <c r="J154">
        <v>0</v>
      </c>
      <c r="K154">
        <v>6644.1</v>
      </c>
      <c r="L154">
        <v>1158.49</v>
      </c>
      <c r="M154">
        <v>2025</v>
      </c>
      <c r="N154" t="s">
        <v>616</v>
      </c>
      <c r="O154" t="s">
        <v>625</v>
      </c>
      <c r="P154">
        <v>0.17436372119624929</v>
      </c>
    </row>
    <row r="155" spans="1:16" x14ac:dyDescent="0.3">
      <c r="A155" t="s">
        <v>255</v>
      </c>
      <c r="B155" s="12">
        <v>45762</v>
      </c>
      <c r="C155" t="s">
        <v>147</v>
      </c>
      <c r="D155" t="s">
        <v>39</v>
      </c>
      <c r="E155" t="s">
        <v>52</v>
      </c>
      <c r="F155" t="s">
        <v>28</v>
      </c>
      <c r="G155" t="s">
        <v>71</v>
      </c>
      <c r="H155" t="s">
        <v>121</v>
      </c>
      <c r="I155">
        <v>4</v>
      </c>
      <c r="J155">
        <v>0.05</v>
      </c>
      <c r="K155">
        <v>8459.48</v>
      </c>
      <c r="L155">
        <v>1759.93</v>
      </c>
      <c r="M155">
        <v>2025</v>
      </c>
      <c r="N155" t="s">
        <v>616</v>
      </c>
      <c r="O155" t="s">
        <v>625</v>
      </c>
      <c r="P155">
        <v>0.20804233829975366</v>
      </c>
    </row>
    <row r="156" spans="1:16" x14ac:dyDescent="0.3">
      <c r="A156" t="s">
        <v>256</v>
      </c>
      <c r="B156" s="12">
        <v>45763</v>
      </c>
      <c r="C156" t="s">
        <v>77</v>
      </c>
      <c r="D156" t="s">
        <v>14</v>
      </c>
      <c r="E156" t="s">
        <v>97</v>
      </c>
      <c r="F156" t="s">
        <v>28</v>
      </c>
      <c r="G156" t="s">
        <v>74</v>
      </c>
      <c r="H156" t="s">
        <v>159</v>
      </c>
      <c r="I156">
        <v>4</v>
      </c>
      <c r="J156">
        <v>0</v>
      </c>
      <c r="K156">
        <v>7738.92</v>
      </c>
      <c r="L156">
        <v>1177.1099999999999</v>
      </c>
      <c r="M156">
        <v>2025</v>
      </c>
      <c r="N156" t="s">
        <v>616</v>
      </c>
      <c r="O156" t="s">
        <v>625</v>
      </c>
      <c r="P156">
        <v>0.15210261897008884</v>
      </c>
    </row>
    <row r="157" spans="1:16" x14ac:dyDescent="0.3">
      <c r="A157" t="s">
        <v>257</v>
      </c>
      <c r="B157" s="12">
        <v>45763</v>
      </c>
      <c r="C157" t="s">
        <v>150</v>
      </c>
      <c r="D157" t="s">
        <v>21</v>
      </c>
      <c r="E157" t="s">
        <v>105</v>
      </c>
      <c r="F157" t="s">
        <v>28</v>
      </c>
      <c r="G157" t="s">
        <v>92</v>
      </c>
      <c r="H157" t="s">
        <v>204</v>
      </c>
      <c r="I157">
        <v>7</v>
      </c>
      <c r="J157">
        <v>0.2</v>
      </c>
      <c r="K157">
        <v>19154.169999999998</v>
      </c>
      <c r="L157">
        <v>3413.4</v>
      </c>
      <c r="M157">
        <v>2025</v>
      </c>
      <c r="N157" t="s">
        <v>616</v>
      </c>
      <c r="O157" t="s">
        <v>625</v>
      </c>
      <c r="P157">
        <v>0.17820662550243629</v>
      </c>
    </row>
    <row r="158" spans="1:16" x14ac:dyDescent="0.3">
      <c r="A158" t="s">
        <v>258</v>
      </c>
      <c r="B158" s="12">
        <v>45764</v>
      </c>
      <c r="C158" t="s">
        <v>13</v>
      </c>
      <c r="D158" t="s">
        <v>39</v>
      </c>
      <c r="E158" t="s">
        <v>128</v>
      </c>
      <c r="F158" t="s">
        <v>23</v>
      </c>
      <c r="G158" t="s">
        <v>24</v>
      </c>
      <c r="H158" t="s">
        <v>129</v>
      </c>
      <c r="I158">
        <v>7</v>
      </c>
      <c r="J158">
        <v>0.15</v>
      </c>
      <c r="K158">
        <v>98193.13</v>
      </c>
      <c r="L158">
        <v>17978.55</v>
      </c>
      <c r="M158">
        <v>2025</v>
      </c>
      <c r="N158" t="s">
        <v>616</v>
      </c>
      <c r="O158" t="s">
        <v>625</v>
      </c>
      <c r="P158">
        <v>0.1830937663357915</v>
      </c>
    </row>
    <row r="159" spans="1:16" x14ac:dyDescent="0.3">
      <c r="A159" t="s">
        <v>259</v>
      </c>
      <c r="B159" s="12">
        <v>45766</v>
      </c>
      <c r="C159" t="s">
        <v>95</v>
      </c>
      <c r="D159" t="s">
        <v>39</v>
      </c>
      <c r="E159" t="s">
        <v>128</v>
      </c>
      <c r="F159" t="s">
        <v>28</v>
      </c>
      <c r="G159" t="s">
        <v>29</v>
      </c>
      <c r="H159" t="s">
        <v>30</v>
      </c>
      <c r="I159">
        <v>7</v>
      </c>
      <c r="J159">
        <v>0.05</v>
      </c>
      <c r="K159">
        <v>24133.200000000001</v>
      </c>
      <c r="L159">
        <v>3681.34</v>
      </c>
      <c r="M159">
        <v>2025</v>
      </c>
      <c r="N159" t="s">
        <v>616</v>
      </c>
      <c r="O159" t="s">
        <v>625</v>
      </c>
      <c r="P159">
        <v>0.15254255548373197</v>
      </c>
    </row>
    <row r="160" spans="1:16" x14ac:dyDescent="0.3">
      <c r="A160" t="s">
        <v>260</v>
      </c>
      <c r="B160" s="12">
        <v>45767</v>
      </c>
      <c r="C160" t="s">
        <v>85</v>
      </c>
      <c r="D160" t="s">
        <v>21</v>
      </c>
      <c r="E160" t="s">
        <v>57</v>
      </c>
      <c r="F160" t="s">
        <v>23</v>
      </c>
      <c r="G160" t="s">
        <v>24</v>
      </c>
      <c r="H160" t="s">
        <v>129</v>
      </c>
      <c r="I160">
        <v>3</v>
      </c>
      <c r="J160">
        <v>0.05</v>
      </c>
      <c r="K160">
        <v>90266.76</v>
      </c>
      <c r="L160">
        <v>15799.82</v>
      </c>
      <c r="M160">
        <v>2025</v>
      </c>
      <c r="N160" t="s">
        <v>616</v>
      </c>
      <c r="O160" t="s">
        <v>625</v>
      </c>
      <c r="P160">
        <v>0.17503475254900033</v>
      </c>
    </row>
    <row r="161" spans="1:16" x14ac:dyDescent="0.3">
      <c r="A161" t="s">
        <v>261</v>
      </c>
      <c r="B161" s="12">
        <v>45767</v>
      </c>
      <c r="C161" t="s">
        <v>38</v>
      </c>
      <c r="D161" t="s">
        <v>14</v>
      </c>
      <c r="E161" t="s">
        <v>54</v>
      </c>
      <c r="F161" t="s">
        <v>28</v>
      </c>
      <c r="G161" t="s">
        <v>92</v>
      </c>
      <c r="H161" t="s">
        <v>204</v>
      </c>
      <c r="I161">
        <v>1</v>
      </c>
      <c r="J161">
        <v>0.2</v>
      </c>
      <c r="K161">
        <v>4946.24</v>
      </c>
      <c r="L161">
        <v>754.23</v>
      </c>
      <c r="M161">
        <v>2025</v>
      </c>
      <c r="N161" t="s">
        <v>616</v>
      </c>
      <c r="O161" t="s">
        <v>625</v>
      </c>
      <c r="P161">
        <v>0.15248552435789611</v>
      </c>
    </row>
    <row r="162" spans="1:16" x14ac:dyDescent="0.3">
      <c r="A162" t="s">
        <v>262</v>
      </c>
      <c r="B162" s="12">
        <v>45768</v>
      </c>
      <c r="C162" t="s">
        <v>56</v>
      </c>
      <c r="D162" t="s">
        <v>33</v>
      </c>
      <c r="E162" t="s">
        <v>34</v>
      </c>
      <c r="F162" t="s">
        <v>23</v>
      </c>
      <c r="G162" t="s">
        <v>24</v>
      </c>
      <c r="H162" t="s">
        <v>129</v>
      </c>
      <c r="I162">
        <v>4</v>
      </c>
      <c r="J162">
        <v>0.15</v>
      </c>
      <c r="K162">
        <v>119895.08</v>
      </c>
      <c r="L162">
        <v>14815.75</v>
      </c>
      <c r="M162">
        <v>2025</v>
      </c>
      <c r="N162" t="s">
        <v>616</v>
      </c>
      <c r="O162" t="s">
        <v>625</v>
      </c>
      <c r="P162">
        <v>0.12357262700020719</v>
      </c>
    </row>
    <row r="163" spans="1:16" x14ac:dyDescent="0.3">
      <c r="A163" t="s">
        <v>263</v>
      </c>
      <c r="B163" s="12">
        <v>45768</v>
      </c>
      <c r="C163" t="s">
        <v>111</v>
      </c>
      <c r="D163" t="s">
        <v>14</v>
      </c>
      <c r="E163" t="s">
        <v>15</v>
      </c>
      <c r="F163" t="s">
        <v>23</v>
      </c>
      <c r="G163" t="s">
        <v>24</v>
      </c>
      <c r="H163" t="s">
        <v>132</v>
      </c>
      <c r="I163">
        <v>1</v>
      </c>
      <c r="J163">
        <v>0.15</v>
      </c>
      <c r="K163">
        <v>45378.44</v>
      </c>
      <c r="L163">
        <v>1324.46</v>
      </c>
      <c r="M163">
        <v>2025</v>
      </c>
      <c r="N163" t="s">
        <v>616</v>
      </c>
      <c r="O163" t="s">
        <v>625</v>
      </c>
      <c r="P163">
        <v>2.918698835834815E-2</v>
      </c>
    </row>
    <row r="164" spans="1:16" x14ac:dyDescent="0.3">
      <c r="A164" t="s">
        <v>264</v>
      </c>
      <c r="B164" s="12">
        <v>45768</v>
      </c>
      <c r="C164" t="s">
        <v>13</v>
      </c>
      <c r="D164" t="s">
        <v>21</v>
      </c>
      <c r="E164" t="s">
        <v>105</v>
      </c>
      <c r="F164" t="s">
        <v>23</v>
      </c>
      <c r="G164" t="s">
        <v>58</v>
      </c>
      <c r="H164" t="s">
        <v>101</v>
      </c>
      <c r="I164">
        <v>7</v>
      </c>
      <c r="J164">
        <v>0.1</v>
      </c>
      <c r="K164">
        <v>49699.02</v>
      </c>
      <c r="L164">
        <v>3409.38</v>
      </c>
      <c r="M164">
        <v>2025</v>
      </c>
      <c r="N164" t="s">
        <v>616</v>
      </c>
      <c r="O164" t="s">
        <v>625</v>
      </c>
      <c r="P164">
        <v>6.860054785788533E-2</v>
      </c>
    </row>
    <row r="165" spans="1:16" x14ac:dyDescent="0.3">
      <c r="A165" t="s">
        <v>265</v>
      </c>
      <c r="B165" s="12">
        <v>45769</v>
      </c>
      <c r="C165" t="s">
        <v>109</v>
      </c>
      <c r="D165" t="s">
        <v>21</v>
      </c>
      <c r="E165" t="s">
        <v>57</v>
      </c>
      <c r="F165" t="s">
        <v>23</v>
      </c>
      <c r="G165" t="s">
        <v>48</v>
      </c>
      <c r="H165" t="s">
        <v>49</v>
      </c>
      <c r="I165">
        <v>1</v>
      </c>
      <c r="J165">
        <v>0.15</v>
      </c>
      <c r="K165">
        <v>25920.57</v>
      </c>
      <c r="L165">
        <v>3665.31</v>
      </c>
      <c r="M165">
        <v>2025</v>
      </c>
      <c r="N165" t="s">
        <v>616</v>
      </c>
      <c r="O165" t="s">
        <v>625</v>
      </c>
      <c r="P165">
        <v>0.1414054552041101</v>
      </c>
    </row>
    <row r="166" spans="1:16" x14ac:dyDescent="0.3">
      <c r="A166" t="s">
        <v>266</v>
      </c>
      <c r="B166" s="12">
        <v>45769</v>
      </c>
      <c r="C166" t="s">
        <v>85</v>
      </c>
      <c r="D166" t="s">
        <v>14</v>
      </c>
      <c r="E166" t="s">
        <v>15</v>
      </c>
      <c r="F166" t="s">
        <v>23</v>
      </c>
      <c r="G166" t="s">
        <v>58</v>
      </c>
      <c r="H166" t="s">
        <v>59</v>
      </c>
      <c r="I166">
        <v>1</v>
      </c>
      <c r="J166">
        <v>0.05</v>
      </c>
      <c r="K166">
        <v>28067.94</v>
      </c>
      <c r="L166">
        <v>5385.35</v>
      </c>
      <c r="M166">
        <v>2025</v>
      </c>
      <c r="N166" t="s">
        <v>616</v>
      </c>
      <c r="O166" t="s">
        <v>625</v>
      </c>
      <c r="P166">
        <v>0.19186837366760798</v>
      </c>
    </row>
    <row r="167" spans="1:16" x14ac:dyDescent="0.3">
      <c r="A167" t="s">
        <v>267</v>
      </c>
      <c r="B167" s="12">
        <v>45770</v>
      </c>
      <c r="C167" t="s">
        <v>38</v>
      </c>
      <c r="D167" t="s">
        <v>33</v>
      </c>
      <c r="E167" t="s">
        <v>86</v>
      </c>
      <c r="F167" t="s">
        <v>23</v>
      </c>
      <c r="G167" t="s">
        <v>24</v>
      </c>
      <c r="H167" t="s">
        <v>132</v>
      </c>
      <c r="I167">
        <v>5</v>
      </c>
      <c r="J167">
        <v>0.1</v>
      </c>
      <c r="K167">
        <v>175626.95</v>
      </c>
      <c r="L167">
        <v>16822.14</v>
      </c>
      <c r="M167">
        <v>2025</v>
      </c>
      <c r="N167" t="s">
        <v>616</v>
      </c>
      <c r="O167" t="s">
        <v>625</v>
      </c>
      <c r="P167">
        <v>9.5783363544148542E-2</v>
      </c>
    </row>
    <row r="168" spans="1:16" x14ac:dyDescent="0.3">
      <c r="A168" t="s">
        <v>268</v>
      </c>
      <c r="B168" s="12">
        <v>45770</v>
      </c>
      <c r="C168" t="s">
        <v>229</v>
      </c>
      <c r="D168" t="s">
        <v>21</v>
      </c>
      <c r="E168" t="s">
        <v>105</v>
      </c>
      <c r="F168" t="s">
        <v>23</v>
      </c>
      <c r="G168" t="s">
        <v>48</v>
      </c>
      <c r="H168" t="s">
        <v>118</v>
      </c>
      <c r="I168">
        <v>6</v>
      </c>
      <c r="J168">
        <v>0.15</v>
      </c>
      <c r="K168">
        <v>170005.8</v>
      </c>
      <c r="L168">
        <v>9933.06</v>
      </c>
      <c r="M168">
        <v>2025</v>
      </c>
      <c r="N168" t="s">
        <v>616</v>
      </c>
      <c r="O168" t="s">
        <v>625</v>
      </c>
      <c r="P168">
        <v>5.8427771287803125E-2</v>
      </c>
    </row>
    <row r="169" spans="1:16" x14ac:dyDescent="0.3">
      <c r="A169" t="s">
        <v>269</v>
      </c>
      <c r="B169" s="12">
        <v>45771</v>
      </c>
      <c r="C169" t="s">
        <v>38</v>
      </c>
      <c r="D169" t="s">
        <v>33</v>
      </c>
      <c r="E169" t="s">
        <v>34</v>
      </c>
      <c r="F169" t="s">
        <v>23</v>
      </c>
      <c r="G169" t="s">
        <v>35</v>
      </c>
      <c r="H169" t="s">
        <v>36</v>
      </c>
      <c r="I169">
        <v>4</v>
      </c>
      <c r="J169">
        <v>0.2</v>
      </c>
      <c r="K169">
        <v>50568.32</v>
      </c>
      <c r="L169">
        <v>6316.84</v>
      </c>
      <c r="M169">
        <v>2025</v>
      </c>
      <c r="N169" t="s">
        <v>616</v>
      </c>
      <c r="O169" t="s">
        <v>625</v>
      </c>
      <c r="P169">
        <v>0.12491694404718211</v>
      </c>
    </row>
    <row r="170" spans="1:16" x14ac:dyDescent="0.3">
      <c r="A170" t="s">
        <v>270</v>
      </c>
      <c r="B170" s="12">
        <v>45772</v>
      </c>
      <c r="C170" t="s">
        <v>66</v>
      </c>
      <c r="D170" t="s">
        <v>14</v>
      </c>
      <c r="E170" t="s">
        <v>15</v>
      </c>
      <c r="F170" t="s">
        <v>28</v>
      </c>
      <c r="G170" t="s">
        <v>29</v>
      </c>
      <c r="H170" t="s">
        <v>98</v>
      </c>
      <c r="I170">
        <v>2</v>
      </c>
      <c r="J170">
        <v>0.15</v>
      </c>
      <c r="K170">
        <v>5288.4</v>
      </c>
      <c r="L170">
        <v>425.03</v>
      </c>
      <c r="M170">
        <v>2025</v>
      </c>
      <c r="N170" t="s">
        <v>616</v>
      </c>
      <c r="O170" t="s">
        <v>625</v>
      </c>
      <c r="P170">
        <v>8.0370244308297409E-2</v>
      </c>
    </row>
    <row r="171" spans="1:16" x14ac:dyDescent="0.3">
      <c r="A171" t="s">
        <v>271</v>
      </c>
      <c r="B171" s="12">
        <v>45772</v>
      </c>
      <c r="C171" t="s">
        <v>27</v>
      </c>
      <c r="D171" t="s">
        <v>21</v>
      </c>
      <c r="E171" t="s">
        <v>67</v>
      </c>
      <c r="F171" t="s">
        <v>23</v>
      </c>
      <c r="G171" t="s">
        <v>48</v>
      </c>
      <c r="H171" t="s">
        <v>118</v>
      </c>
      <c r="I171">
        <v>7</v>
      </c>
      <c r="J171">
        <v>0.2</v>
      </c>
      <c r="K171">
        <v>46295.97</v>
      </c>
      <c r="L171">
        <v>3204.48</v>
      </c>
      <c r="M171">
        <v>2025</v>
      </c>
      <c r="N171" t="s">
        <v>616</v>
      </c>
      <c r="O171" t="s">
        <v>625</v>
      </c>
      <c r="P171">
        <v>6.921725584321918E-2</v>
      </c>
    </row>
    <row r="172" spans="1:16" x14ac:dyDescent="0.3">
      <c r="A172" t="s">
        <v>272</v>
      </c>
      <c r="B172" s="12">
        <v>45773</v>
      </c>
      <c r="C172" t="s">
        <v>85</v>
      </c>
      <c r="D172" t="s">
        <v>33</v>
      </c>
      <c r="E172" t="s">
        <v>140</v>
      </c>
      <c r="F172" t="s">
        <v>16</v>
      </c>
      <c r="G172" t="s">
        <v>68</v>
      </c>
      <c r="H172" t="s">
        <v>69</v>
      </c>
      <c r="I172">
        <v>1</v>
      </c>
      <c r="J172">
        <v>0.1</v>
      </c>
      <c r="K172">
        <v>4004.98</v>
      </c>
      <c r="L172">
        <v>464.42</v>
      </c>
      <c r="M172">
        <v>2025</v>
      </c>
      <c r="N172" t="s">
        <v>616</v>
      </c>
      <c r="O172" t="s">
        <v>625</v>
      </c>
      <c r="P172">
        <v>0.115960629016874</v>
      </c>
    </row>
    <row r="173" spans="1:16" x14ac:dyDescent="0.3">
      <c r="A173" t="s">
        <v>273</v>
      </c>
      <c r="B173" s="12">
        <v>45773</v>
      </c>
      <c r="C173" t="s">
        <v>100</v>
      </c>
      <c r="D173" t="s">
        <v>39</v>
      </c>
      <c r="E173" t="s">
        <v>52</v>
      </c>
      <c r="F173" t="s">
        <v>28</v>
      </c>
      <c r="G173" t="s">
        <v>74</v>
      </c>
      <c r="H173" t="s">
        <v>80</v>
      </c>
      <c r="I173">
        <v>1</v>
      </c>
      <c r="J173">
        <v>0.15</v>
      </c>
      <c r="K173">
        <v>891.98</v>
      </c>
      <c r="L173">
        <v>112.58</v>
      </c>
      <c r="M173">
        <v>2025</v>
      </c>
      <c r="N173" t="s">
        <v>616</v>
      </c>
      <c r="O173" t="s">
        <v>627</v>
      </c>
      <c r="P173">
        <v>0.12621359223300971</v>
      </c>
    </row>
    <row r="174" spans="1:16" x14ac:dyDescent="0.3">
      <c r="A174" t="s">
        <v>274</v>
      </c>
      <c r="B174" s="12">
        <v>45773</v>
      </c>
      <c r="C174" t="s">
        <v>85</v>
      </c>
      <c r="D174" t="s">
        <v>14</v>
      </c>
      <c r="E174" t="s">
        <v>114</v>
      </c>
      <c r="F174" t="s">
        <v>23</v>
      </c>
      <c r="G174" t="s">
        <v>58</v>
      </c>
      <c r="H174" t="s">
        <v>59</v>
      </c>
      <c r="I174">
        <v>5</v>
      </c>
      <c r="J174">
        <v>0.1</v>
      </c>
      <c r="K174">
        <v>66806.05</v>
      </c>
      <c r="L174">
        <v>9750.1</v>
      </c>
      <c r="M174">
        <v>2025</v>
      </c>
      <c r="N174" t="s">
        <v>616</v>
      </c>
      <c r="O174" t="s">
        <v>625</v>
      </c>
      <c r="P174">
        <v>0.14594636264230559</v>
      </c>
    </row>
    <row r="175" spans="1:16" x14ac:dyDescent="0.3">
      <c r="A175" t="s">
        <v>275</v>
      </c>
      <c r="B175" s="12">
        <v>45773</v>
      </c>
      <c r="C175" t="s">
        <v>109</v>
      </c>
      <c r="D175" t="s">
        <v>33</v>
      </c>
      <c r="E175" t="s">
        <v>86</v>
      </c>
      <c r="F175" t="s">
        <v>28</v>
      </c>
      <c r="G175" t="s">
        <v>29</v>
      </c>
      <c r="H175" t="s">
        <v>30</v>
      </c>
      <c r="I175">
        <v>2</v>
      </c>
      <c r="J175">
        <v>0</v>
      </c>
      <c r="K175">
        <v>8430.2000000000007</v>
      </c>
      <c r="L175">
        <v>730.21</v>
      </c>
      <c r="M175">
        <v>2025</v>
      </c>
      <c r="N175" t="s">
        <v>616</v>
      </c>
      <c r="O175" t="s">
        <v>625</v>
      </c>
      <c r="P175">
        <v>8.6618348319138339E-2</v>
      </c>
    </row>
    <row r="176" spans="1:16" x14ac:dyDescent="0.3">
      <c r="A176" t="s">
        <v>276</v>
      </c>
      <c r="B176" s="12">
        <v>45774</v>
      </c>
      <c r="C176" t="s">
        <v>95</v>
      </c>
      <c r="D176" t="s">
        <v>14</v>
      </c>
      <c r="E176" t="s">
        <v>15</v>
      </c>
      <c r="F176" t="s">
        <v>16</v>
      </c>
      <c r="G176" t="s">
        <v>62</v>
      </c>
      <c r="H176" t="s">
        <v>167</v>
      </c>
      <c r="I176">
        <v>3</v>
      </c>
      <c r="J176">
        <v>0.15</v>
      </c>
      <c r="K176">
        <v>13694.4</v>
      </c>
      <c r="L176">
        <v>465.02</v>
      </c>
      <c r="M176">
        <v>2025</v>
      </c>
      <c r="N176" t="s">
        <v>616</v>
      </c>
      <c r="O176" t="s">
        <v>625</v>
      </c>
      <c r="P176">
        <v>3.3956945904895432E-2</v>
      </c>
    </row>
    <row r="177" spans="1:16" x14ac:dyDescent="0.3">
      <c r="A177" t="s">
        <v>277</v>
      </c>
      <c r="B177" s="12">
        <v>45774</v>
      </c>
      <c r="C177" t="s">
        <v>95</v>
      </c>
      <c r="D177" t="s">
        <v>21</v>
      </c>
      <c r="E177" t="s">
        <v>57</v>
      </c>
      <c r="F177" t="s">
        <v>23</v>
      </c>
      <c r="G177" t="s">
        <v>24</v>
      </c>
      <c r="H177" t="s">
        <v>25</v>
      </c>
      <c r="I177">
        <v>4</v>
      </c>
      <c r="J177">
        <v>0.05</v>
      </c>
      <c r="K177">
        <v>175089.68</v>
      </c>
      <c r="L177">
        <v>34545.64</v>
      </c>
      <c r="M177">
        <v>2025</v>
      </c>
      <c r="N177" t="s">
        <v>616</v>
      </c>
      <c r="O177" t="s">
        <v>625</v>
      </c>
      <c r="P177">
        <v>0.1973025480428087</v>
      </c>
    </row>
    <row r="178" spans="1:16" x14ac:dyDescent="0.3">
      <c r="A178" t="s">
        <v>278</v>
      </c>
      <c r="B178" s="12">
        <v>45774</v>
      </c>
      <c r="C178" t="s">
        <v>111</v>
      </c>
      <c r="D178" t="s">
        <v>39</v>
      </c>
      <c r="E178" t="s">
        <v>52</v>
      </c>
      <c r="F178" t="s">
        <v>16</v>
      </c>
      <c r="G178" t="s">
        <v>62</v>
      </c>
      <c r="H178" t="s">
        <v>63</v>
      </c>
      <c r="I178">
        <v>2</v>
      </c>
      <c r="J178">
        <v>0.2</v>
      </c>
      <c r="K178">
        <v>1279.56</v>
      </c>
      <c r="L178">
        <v>22.18</v>
      </c>
      <c r="M178">
        <v>2025</v>
      </c>
      <c r="N178" t="s">
        <v>616</v>
      </c>
      <c r="O178" t="s">
        <v>625</v>
      </c>
      <c r="P178">
        <v>1.7334083591234489E-2</v>
      </c>
    </row>
    <row r="179" spans="1:16" x14ac:dyDescent="0.3">
      <c r="A179" t="s">
        <v>279</v>
      </c>
      <c r="B179" s="12">
        <v>45775</v>
      </c>
      <c r="C179" t="s">
        <v>85</v>
      </c>
      <c r="D179" t="s">
        <v>14</v>
      </c>
      <c r="E179" t="s">
        <v>114</v>
      </c>
      <c r="F179" t="s">
        <v>28</v>
      </c>
      <c r="G179" t="s">
        <v>92</v>
      </c>
      <c r="H179" t="s">
        <v>93</v>
      </c>
      <c r="I179">
        <v>1</v>
      </c>
      <c r="J179">
        <v>0.15</v>
      </c>
      <c r="K179">
        <v>2164.12</v>
      </c>
      <c r="L179">
        <v>242.05</v>
      </c>
      <c r="M179">
        <v>2025</v>
      </c>
      <c r="N179" t="s">
        <v>616</v>
      </c>
      <c r="O179" t="s">
        <v>625</v>
      </c>
      <c r="P179">
        <v>0.11184684767942629</v>
      </c>
    </row>
    <row r="180" spans="1:16" x14ac:dyDescent="0.3">
      <c r="A180" t="s">
        <v>280</v>
      </c>
      <c r="B180" s="12">
        <v>45775</v>
      </c>
      <c r="C180" t="s">
        <v>150</v>
      </c>
      <c r="D180" t="s">
        <v>39</v>
      </c>
      <c r="E180" t="s">
        <v>40</v>
      </c>
      <c r="F180" t="s">
        <v>16</v>
      </c>
      <c r="G180" t="s">
        <v>41</v>
      </c>
      <c r="H180" t="s">
        <v>177</v>
      </c>
      <c r="I180">
        <v>6</v>
      </c>
      <c r="J180">
        <v>0.1</v>
      </c>
      <c r="K180">
        <v>69230.52</v>
      </c>
      <c r="L180">
        <v>9669.3799999999992</v>
      </c>
      <c r="M180">
        <v>2025</v>
      </c>
      <c r="N180" t="s">
        <v>616</v>
      </c>
      <c r="O180" t="s">
        <v>625</v>
      </c>
      <c r="P180">
        <v>0.13966932503179233</v>
      </c>
    </row>
    <row r="181" spans="1:16" x14ac:dyDescent="0.3">
      <c r="A181" t="s">
        <v>281</v>
      </c>
      <c r="B181" s="12">
        <v>45777</v>
      </c>
      <c r="C181" t="s">
        <v>111</v>
      </c>
      <c r="D181" t="s">
        <v>39</v>
      </c>
      <c r="E181" t="s">
        <v>47</v>
      </c>
      <c r="F181" t="s">
        <v>16</v>
      </c>
      <c r="G181" t="s">
        <v>41</v>
      </c>
      <c r="H181" t="s">
        <v>42</v>
      </c>
      <c r="I181">
        <v>5</v>
      </c>
      <c r="J181">
        <v>0</v>
      </c>
      <c r="K181">
        <v>33590.15</v>
      </c>
      <c r="L181">
        <v>4068.5</v>
      </c>
      <c r="M181">
        <v>2025</v>
      </c>
      <c r="N181" t="s">
        <v>616</v>
      </c>
      <c r="O181" t="s">
        <v>625</v>
      </c>
      <c r="P181">
        <v>0.12112181696122226</v>
      </c>
    </row>
    <row r="182" spans="1:16" x14ac:dyDescent="0.3">
      <c r="A182" t="s">
        <v>282</v>
      </c>
      <c r="B182" s="12">
        <v>45777</v>
      </c>
      <c r="C182" t="s">
        <v>147</v>
      </c>
      <c r="D182" t="s">
        <v>33</v>
      </c>
      <c r="E182" t="s">
        <v>140</v>
      </c>
      <c r="F182" t="s">
        <v>23</v>
      </c>
      <c r="G182" t="s">
        <v>48</v>
      </c>
      <c r="H182" t="s">
        <v>124</v>
      </c>
      <c r="I182">
        <v>6</v>
      </c>
      <c r="J182">
        <v>0.1</v>
      </c>
      <c r="K182">
        <v>256977.78</v>
      </c>
      <c r="L182">
        <v>19551.490000000002</v>
      </c>
      <c r="M182">
        <v>2025</v>
      </c>
      <c r="N182" t="s">
        <v>616</v>
      </c>
      <c r="O182" t="s">
        <v>625</v>
      </c>
      <c r="P182">
        <v>7.608241459631257E-2</v>
      </c>
    </row>
    <row r="183" spans="1:16" x14ac:dyDescent="0.3">
      <c r="A183" t="s">
        <v>283</v>
      </c>
      <c r="B183" s="12">
        <v>45777</v>
      </c>
      <c r="C183" t="s">
        <v>51</v>
      </c>
      <c r="D183" t="s">
        <v>39</v>
      </c>
      <c r="E183" t="s">
        <v>47</v>
      </c>
      <c r="F183" t="s">
        <v>23</v>
      </c>
      <c r="G183" t="s">
        <v>24</v>
      </c>
      <c r="H183" t="s">
        <v>129</v>
      </c>
      <c r="I183">
        <v>4</v>
      </c>
      <c r="J183">
        <v>0.15</v>
      </c>
      <c r="K183">
        <v>173277.76</v>
      </c>
      <c r="L183">
        <v>20669.259999999998</v>
      </c>
      <c r="M183">
        <v>2025</v>
      </c>
      <c r="N183" t="s">
        <v>616</v>
      </c>
      <c r="O183" t="s">
        <v>625</v>
      </c>
      <c r="P183">
        <v>0.11928397504676883</v>
      </c>
    </row>
    <row r="184" spans="1:16" x14ac:dyDescent="0.3">
      <c r="A184" t="s">
        <v>284</v>
      </c>
      <c r="B184" s="12">
        <v>45777</v>
      </c>
      <c r="C184" t="s">
        <v>82</v>
      </c>
      <c r="D184" t="s">
        <v>14</v>
      </c>
      <c r="E184" t="s">
        <v>54</v>
      </c>
      <c r="F184" t="s">
        <v>16</v>
      </c>
      <c r="G184" t="s">
        <v>62</v>
      </c>
      <c r="H184" t="s">
        <v>63</v>
      </c>
      <c r="I184">
        <v>1</v>
      </c>
      <c r="J184">
        <v>0</v>
      </c>
      <c r="K184">
        <v>5848.14</v>
      </c>
      <c r="L184">
        <v>950.12</v>
      </c>
      <c r="M184">
        <v>2025</v>
      </c>
      <c r="N184" t="s">
        <v>616</v>
      </c>
      <c r="O184" t="s">
        <v>625</v>
      </c>
      <c r="P184">
        <v>0.16246533085733242</v>
      </c>
    </row>
    <row r="185" spans="1:16" x14ac:dyDescent="0.3">
      <c r="A185" t="s">
        <v>285</v>
      </c>
      <c r="B185" s="12">
        <v>45778</v>
      </c>
      <c r="C185" t="s">
        <v>143</v>
      </c>
      <c r="D185" t="s">
        <v>14</v>
      </c>
      <c r="E185" t="s">
        <v>97</v>
      </c>
      <c r="F185" t="s">
        <v>16</v>
      </c>
      <c r="G185" t="s">
        <v>62</v>
      </c>
      <c r="H185" t="s">
        <v>167</v>
      </c>
      <c r="I185">
        <v>3</v>
      </c>
      <c r="J185">
        <v>0.1</v>
      </c>
      <c r="K185">
        <v>10828.56</v>
      </c>
      <c r="L185">
        <v>2082.4699999999998</v>
      </c>
      <c r="M185">
        <v>2025</v>
      </c>
      <c r="N185" t="s">
        <v>617</v>
      </c>
      <c r="O185" t="s">
        <v>625</v>
      </c>
      <c r="P185">
        <v>0.19231273595011708</v>
      </c>
    </row>
    <row r="186" spans="1:16" x14ac:dyDescent="0.3">
      <c r="A186" t="s">
        <v>286</v>
      </c>
      <c r="B186" s="12">
        <v>45779</v>
      </c>
      <c r="C186" t="s">
        <v>109</v>
      </c>
      <c r="D186" t="s">
        <v>39</v>
      </c>
      <c r="E186" t="s">
        <v>128</v>
      </c>
      <c r="F186" t="s">
        <v>16</v>
      </c>
      <c r="G186" t="s">
        <v>17</v>
      </c>
      <c r="H186" t="s">
        <v>18</v>
      </c>
      <c r="I186">
        <v>7</v>
      </c>
      <c r="J186">
        <v>0</v>
      </c>
      <c r="K186">
        <v>71644.37</v>
      </c>
      <c r="L186">
        <v>12357.42</v>
      </c>
      <c r="M186">
        <v>2025</v>
      </c>
      <c r="N186" t="s">
        <v>617</v>
      </c>
      <c r="O186" t="s">
        <v>625</v>
      </c>
      <c r="P186">
        <v>0.17248277847931387</v>
      </c>
    </row>
    <row r="187" spans="1:16" x14ac:dyDescent="0.3">
      <c r="A187" t="s">
        <v>287</v>
      </c>
      <c r="B187" s="12">
        <v>45779</v>
      </c>
      <c r="C187" t="s">
        <v>135</v>
      </c>
      <c r="D187" t="s">
        <v>33</v>
      </c>
      <c r="E187" t="s">
        <v>140</v>
      </c>
      <c r="F187" t="s">
        <v>23</v>
      </c>
      <c r="G187" t="s">
        <v>35</v>
      </c>
      <c r="H187" t="s">
        <v>36</v>
      </c>
      <c r="I187">
        <v>2</v>
      </c>
      <c r="J187">
        <v>0.1</v>
      </c>
      <c r="K187">
        <v>17962.28</v>
      </c>
      <c r="L187">
        <v>1371.3</v>
      </c>
      <c r="M187">
        <v>2025</v>
      </c>
      <c r="N187" t="s">
        <v>617</v>
      </c>
      <c r="O187" t="s">
        <v>625</v>
      </c>
      <c r="P187">
        <v>7.6343314991192651E-2</v>
      </c>
    </row>
    <row r="188" spans="1:16" x14ac:dyDescent="0.3">
      <c r="A188" t="s">
        <v>288</v>
      </c>
      <c r="B188" s="12">
        <v>45781</v>
      </c>
      <c r="C188" t="s">
        <v>100</v>
      </c>
      <c r="D188" t="s">
        <v>39</v>
      </c>
      <c r="E188" t="s">
        <v>40</v>
      </c>
      <c r="F188" t="s">
        <v>23</v>
      </c>
      <c r="G188" t="s">
        <v>58</v>
      </c>
      <c r="H188" t="s">
        <v>59</v>
      </c>
      <c r="I188">
        <v>7</v>
      </c>
      <c r="J188">
        <v>0.2</v>
      </c>
      <c r="K188">
        <v>202552.84</v>
      </c>
      <c r="L188">
        <v>8377.7800000000007</v>
      </c>
      <c r="M188">
        <v>2025</v>
      </c>
      <c r="N188" t="s">
        <v>617</v>
      </c>
      <c r="O188" t="s">
        <v>625</v>
      </c>
      <c r="P188">
        <v>4.136096042889352E-2</v>
      </c>
    </row>
    <row r="189" spans="1:16" x14ac:dyDescent="0.3">
      <c r="A189" t="s">
        <v>289</v>
      </c>
      <c r="B189" s="12">
        <v>45782</v>
      </c>
      <c r="C189" t="s">
        <v>51</v>
      </c>
      <c r="D189" t="s">
        <v>39</v>
      </c>
      <c r="E189" t="s">
        <v>128</v>
      </c>
      <c r="F189" t="s">
        <v>28</v>
      </c>
      <c r="G189" t="s">
        <v>29</v>
      </c>
      <c r="H189" t="s">
        <v>98</v>
      </c>
      <c r="I189">
        <v>3</v>
      </c>
      <c r="J189">
        <v>0.2</v>
      </c>
      <c r="K189">
        <v>9457.6200000000008</v>
      </c>
      <c r="L189">
        <v>1273.27</v>
      </c>
      <c r="M189">
        <v>2025</v>
      </c>
      <c r="N189" t="s">
        <v>617</v>
      </c>
      <c r="O189" t="s">
        <v>625</v>
      </c>
      <c r="P189">
        <v>0.13462900814369788</v>
      </c>
    </row>
    <row r="190" spans="1:16" x14ac:dyDescent="0.3">
      <c r="A190" t="s">
        <v>290</v>
      </c>
      <c r="B190" s="12">
        <v>45782</v>
      </c>
      <c r="C190" t="s">
        <v>138</v>
      </c>
      <c r="D190" t="s">
        <v>33</v>
      </c>
      <c r="E190" t="s">
        <v>86</v>
      </c>
      <c r="F190" t="s">
        <v>16</v>
      </c>
      <c r="G190" t="s">
        <v>62</v>
      </c>
      <c r="H190" t="s">
        <v>167</v>
      </c>
      <c r="I190">
        <v>6</v>
      </c>
      <c r="J190">
        <v>0.15</v>
      </c>
      <c r="K190">
        <v>23050.560000000001</v>
      </c>
      <c r="L190">
        <v>2028.81</v>
      </c>
      <c r="M190">
        <v>2025</v>
      </c>
      <c r="N190" t="s">
        <v>617</v>
      </c>
      <c r="O190" t="s">
        <v>625</v>
      </c>
      <c r="P190">
        <v>8.8015649077506142E-2</v>
      </c>
    </row>
    <row r="191" spans="1:16" x14ac:dyDescent="0.3">
      <c r="A191" t="s">
        <v>291</v>
      </c>
      <c r="B191" s="12">
        <v>45783</v>
      </c>
      <c r="C191" t="s">
        <v>95</v>
      </c>
      <c r="D191" t="s">
        <v>21</v>
      </c>
      <c r="E191" t="s">
        <v>105</v>
      </c>
      <c r="F191" t="s">
        <v>16</v>
      </c>
      <c r="G191" t="s">
        <v>17</v>
      </c>
      <c r="H191" t="s">
        <v>88</v>
      </c>
      <c r="I191">
        <v>5</v>
      </c>
      <c r="J191">
        <v>0.15</v>
      </c>
      <c r="K191">
        <v>30643.55</v>
      </c>
      <c r="L191">
        <v>1263.9000000000001</v>
      </c>
      <c r="M191">
        <v>2025</v>
      </c>
      <c r="N191" t="s">
        <v>617</v>
      </c>
      <c r="O191" t="s">
        <v>625</v>
      </c>
      <c r="P191">
        <v>4.1245221261896878E-2</v>
      </c>
    </row>
    <row r="192" spans="1:16" x14ac:dyDescent="0.3">
      <c r="A192" t="s">
        <v>292</v>
      </c>
      <c r="B192" s="12">
        <v>45784</v>
      </c>
      <c r="C192" t="s">
        <v>100</v>
      </c>
      <c r="D192" t="s">
        <v>39</v>
      </c>
      <c r="E192" t="s">
        <v>128</v>
      </c>
      <c r="F192" t="s">
        <v>28</v>
      </c>
      <c r="G192" t="s">
        <v>74</v>
      </c>
      <c r="H192" t="s">
        <v>75</v>
      </c>
      <c r="I192">
        <v>1</v>
      </c>
      <c r="J192">
        <v>0</v>
      </c>
      <c r="K192">
        <v>3768.36</v>
      </c>
      <c r="L192">
        <v>301.56</v>
      </c>
      <c r="M192">
        <v>2025</v>
      </c>
      <c r="N192" t="s">
        <v>617</v>
      </c>
      <c r="O192" t="s">
        <v>625</v>
      </c>
      <c r="P192">
        <v>8.002420150940992E-2</v>
      </c>
    </row>
    <row r="193" spans="1:16" x14ac:dyDescent="0.3">
      <c r="A193" t="s">
        <v>293</v>
      </c>
      <c r="B193" s="12">
        <v>45784</v>
      </c>
      <c r="C193" t="s">
        <v>135</v>
      </c>
      <c r="D193" t="s">
        <v>14</v>
      </c>
      <c r="E193" t="s">
        <v>114</v>
      </c>
      <c r="F193" t="s">
        <v>16</v>
      </c>
      <c r="G193" t="s">
        <v>41</v>
      </c>
      <c r="H193" t="s">
        <v>177</v>
      </c>
      <c r="I193">
        <v>5</v>
      </c>
      <c r="J193">
        <v>0.15</v>
      </c>
      <c r="K193">
        <v>25188.1</v>
      </c>
      <c r="L193">
        <v>3817.92</v>
      </c>
      <c r="M193">
        <v>2025</v>
      </c>
      <c r="N193" t="s">
        <v>617</v>
      </c>
      <c r="O193" t="s">
        <v>625</v>
      </c>
      <c r="P193">
        <v>0.15157633962069392</v>
      </c>
    </row>
    <row r="194" spans="1:16" x14ac:dyDescent="0.3">
      <c r="A194" t="s">
        <v>294</v>
      </c>
      <c r="B194" s="12">
        <v>45785</v>
      </c>
      <c r="C194" t="s">
        <v>104</v>
      </c>
      <c r="D194" t="s">
        <v>14</v>
      </c>
      <c r="E194" t="s">
        <v>15</v>
      </c>
      <c r="F194" t="s">
        <v>28</v>
      </c>
      <c r="G194" t="s">
        <v>71</v>
      </c>
      <c r="H194" t="s">
        <v>72</v>
      </c>
      <c r="I194">
        <v>1</v>
      </c>
      <c r="J194">
        <v>0.15</v>
      </c>
      <c r="K194">
        <v>555.85</v>
      </c>
      <c r="L194">
        <v>83.26</v>
      </c>
      <c r="M194">
        <v>2025</v>
      </c>
      <c r="N194" t="s">
        <v>617</v>
      </c>
      <c r="O194" t="s">
        <v>627</v>
      </c>
      <c r="P194">
        <v>0.14978861203562113</v>
      </c>
    </row>
    <row r="195" spans="1:16" x14ac:dyDescent="0.3">
      <c r="A195" t="s">
        <v>295</v>
      </c>
      <c r="B195" s="12">
        <v>45785</v>
      </c>
      <c r="C195" t="s">
        <v>27</v>
      </c>
      <c r="D195" t="s">
        <v>33</v>
      </c>
      <c r="E195" t="s">
        <v>140</v>
      </c>
      <c r="F195" t="s">
        <v>28</v>
      </c>
      <c r="G195" t="s">
        <v>92</v>
      </c>
      <c r="H195" t="s">
        <v>93</v>
      </c>
      <c r="I195">
        <v>7</v>
      </c>
      <c r="J195">
        <v>0.1</v>
      </c>
      <c r="K195">
        <v>31035.759999999998</v>
      </c>
      <c r="L195">
        <v>4634.03</v>
      </c>
      <c r="M195">
        <v>2025</v>
      </c>
      <c r="N195" t="s">
        <v>617</v>
      </c>
      <c r="O195" t="s">
        <v>625</v>
      </c>
      <c r="P195">
        <v>0.14931259940146463</v>
      </c>
    </row>
    <row r="196" spans="1:16" x14ac:dyDescent="0.3">
      <c r="A196" t="s">
        <v>296</v>
      </c>
      <c r="B196" s="12">
        <v>45787</v>
      </c>
      <c r="C196" t="s">
        <v>109</v>
      </c>
      <c r="D196" t="s">
        <v>14</v>
      </c>
      <c r="E196" t="s">
        <v>97</v>
      </c>
      <c r="F196" t="s">
        <v>23</v>
      </c>
      <c r="G196" t="s">
        <v>48</v>
      </c>
      <c r="H196" t="s">
        <v>118</v>
      </c>
      <c r="I196">
        <v>4</v>
      </c>
      <c r="J196">
        <v>0</v>
      </c>
      <c r="K196">
        <v>133449.96</v>
      </c>
      <c r="L196">
        <v>33259.96</v>
      </c>
      <c r="M196">
        <v>2025</v>
      </c>
      <c r="N196" t="s">
        <v>617</v>
      </c>
      <c r="O196" t="s">
        <v>625</v>
      </c>
      <c r="P196">
        <v>0.24923169703460385</v>
      </c>
    </row>
    <row r="197" spans="1:16" x14ac:dyDescent="0.3">
      <c r="A197" t="s">
        <v>297</v>
      </c>
      <c r="B197" s="12">
        <v>45789</v>
      </c>
      <c r="C197" t="s">
        <v>111</v>
      </c>
      <c r="D197" t="s">
        <v>39</v>
      </c>
      <c r="E197" t="s">
        <v>52</v>
      </c>
      <c r="F197" t="s">
        <v>23</v>
      </c>
      <c r="G197" t="s">
        <v>48</v>
      </c>
      <c r="H197" t="s">
        <v>118</v>
      </c>
      <c r="I197">
        <v>3</v>
      </c>
      <c r="J197">
        <v>0.05</v>
      </c>
      <c r="K197">
        <v>121638.06</v>
      </c>
      <c r="L197">
        <v>25755.82</v>
      </c>
      <c r="M197">
        <v>2025</v>
      </c>
      <c r="N197" t="s">
        <v>617</v>
      </c>
      <c r="O197" t="s">
        <v>625</v>
      </c>
      <c r="P197">
        <v>0.21174145658028418</v>
      </c>
    </row>
    <row r="198" spans="1:16" x14ac:dyDescent="0.3">
      <c r="A198" t="s">
        <v>298</v>
      </c>
      <c r="B198" s="12">
        <v>45790</v>
      </c>
      <c r="C198" t="s">
        <v>82</v>
      </c>
      <c r="D198" t="s">
        <v>21</v>
      </c>
      <c r="E198" t="s">
        <v>67</v>
      </c>
      <c r="F198" t="s">
        <v>28</v>
      </c>
      <c r="G198" t="s">
        <v>92</v>
      </c>
      <c r="H198" t="s">
        <v>204</v>
      </c>
      <c r="I198">
        <v>4</v>
      </c>
      <c r="J198">
        <v>0.15</v>
      </c>
      <c r="K198">
        <v>11071.84</v>
      </c>
      <c r="L198">
        <v>1766.82</v>
      </c>
      <c r="M198">
        <v>2025</v>
      </c>
      <c r="N198" t="s">
        <v>617</v>
      </c>
      <c r="O198" t="s">
        <v>625</v>
      </c>
      <c r="P198">
        <v>0.15957781181808986</v>
      </c>
    </row>
    <row r="199" spans="1:16" x14ac:dyDescent="0.3">
      <c r="A199" t="s">
        <v>299</v>
      </c>
      <c r="B199" s="12">
        <v>45791</v>
      </c>
      <c r="C199" t="s">
        <v>56</v>
      </c>
      <c r="D199" t="s">
        <v>33</v>
      </c>
      <c r="E199" t="s">
        <v>34</v>
      </c>
      <c r="F199" t="s">
        <v>16</v>
      </c>
      <c r="G199" t="s">
        <v>68</v>
      </c>
      <c r="H199" t="s">
        <v>83</v>
      </c>
      <c r="I199">
        <v>7</v>
      </c>
      <c r="J199">
        <v>0.1</v>
      </c>
      <c r="K199">
        <v>40691.49</v>
      </c>
      <c r="L199">
        <v>2891.93</v>
      </c>
      <c r="M199">
        <v>2025</v>
      </c>
      <c r="N199" t="s">
        <v>617</v>
      </c>
      <c r="O199" t="s">
        <v>625</v>
      </c>
      <c r="P199">
        <v>7.1069651172763648E-2</v>
      </c>
    </row>
    <row r="200" spans="1:16" x14ac:dyDescent="0.3">
      <c r="A200" t="s">
        <v>300</v>
      </c>
      <c r="B200" s="12">
        <v>45791</v>
      </c>
      <c r="C200" t="s">
        <v>66</v>
      </c>
      <c r="D200" t="s">
        <v>33</v>
      </c>
      <c r="E200" t="s">
        <v>86</v>
      </c>
      <c r="F200" t="s">
        <v>23</v>
      </c>
      <c r="G200" t="s">
        <v>58</v>
      </c>
      <c r="H200" t="s">
        <v>101</v>
      </c>
      <c r="I200">
        <v>2</v>
      </c>
      <c r="J200">
        <v>0</v>
      </c>
      <c r="K200">
        <v>82948</v>
      </c>
      <c r="L200">
        <v>7879.59</v>
      </c>
      <c r="M200">
        <v>2025</v>
      </c>
      <c r="N200" t="s">
        <v>617</v>
      </c>
      <c r="O200" t="s">
        <v>625</v>
      </c>
      <c r="P200">
        <v>9.4994333799488836E-2</v>
      </c>
    </row>
    <row r="201" spans="1:16" x14ac:dyDescent="0.3">
      <c r="A201" t="s">
        <v>301</v>
      </c>
      <c r="B201" s="12">
        <v>45792</v>
      </c>
      <c r="C201" t="s">
        <v>32</v>
      </c>
      <c r="D201" t="s">
        <v>14</v>
      </c>
      <c r="E201" t="s">
        <v>15</v>
      </c>
      <c r="F201" t="s">
        <v>28</v>
      </c>
      <c r="G201" t="s">
        <v>71</v>
      </c>
      <c r="H201" t="s">
        <v>121</v>
      </c>
      <c r="I201">
        <v>1</v>
      </c>
      <c r="J201">
        <v>0.2</v>
      </c>
      <c r="K201">
        <v>1774.73</v>
      </c>
      <c r="L201">
        <v>241.15</v>
      </c>
      <c r="M201">
        <v>2025</v>
      </c>
      <c r="N201" t="s">
        <v>617</v>
      </c>
      <c r="O201" t="s">
        <v>625</v>
      </c>
      <c r="P201">
        <v>0.1358798239732241</v>
      </c>
    </row>
    <row r="202" spans="1:16" x14ac:dyDescent="0.3">
      <c r="A202" t="s">
        <v>302</v>
      </c>
      <c r="B202" s="12">
        <v>45794</v>
      </c>
      <c r="C202" t="s">
        <v>150</v>
      </c>
      <c r="D202" t="s">
        <v>14</v>
      </c>
      <c r="E202" t="s">
        <v>97</v>
      </c>
      <c r="F202" t="s">
        <v>28</v>
      </c>
      <c r="G202" t="s">
        <v>74</v>
      </c>
      <c r="H202" t="s">
        <v>75</v>
      </c>
      <c r="I202">
        <v>4</v>
      </c>
      <c r="J202">
        <v>0.2</v>
      </c>
      <c r="K202">
        <v>5749.8</v>
      </c>
      <c r="L202">
        <v>494.15</v>
      </c>
      <c r="M202">
        <v>2025</v>
      </c>
      <c r="N202" t="s">
        <v>617</v>
      </c>
      <c r="O202" t="s">
        <v>625</v>
      </c>
      <c r="P202">
        <v>8.5942119725903501E-2</v>
      </c>
    </row>
    <row r="203" spans="1:16" x14ac:dyDescent="0.3">
      <c r="A203" t="s">
        <v>303</v>
      </c>
      <c r="B203" s="12">
        <v>45795</v>
      </c>
      <c r="C203" t="s">
        <v>51</v>
      </c>
      <c r="D203" t="s">
        <v>33</v>
      </c>
      <c r="E203" t="s">
        <v>45</v>
      </c>
      <c r="F203" t="s">
        <v>28</v>
      </c>
      <c r="G203" t="s">
        <v>29</v>
      </c>
      <c r="H203" t="s">
        <v>98</v>
      </c>
      <c r="I203">
        <v>3</v>
      </c>
      <c r="J203">
        <v>0</v>
      </c>
      <c r="K203">
        <v>3062.43</v>
      </c>
      <c r="L203">
        <v>549.38</v>
      </c>
      <c r="M203">
        <v>2025</v>
      </c>
      <c r="N203" t="s">
        <v>617</v>
      </c>
      <c r="O203" t="s">
        <v>625</v>
      </c>
      <c r="P203">
        <v>0.17939348817768896</v>
      </c>
    </row>
    <row r="204" spans="1:16" x14ac:dyDescent="0.3">
      <c r="A204" t="s">
        <v>304</v>
      </c>
      <c r="B204" s="12">
        <v>45796</v>
      </c>
      <c r="C204" t="s">
        <v>82</v>
      </c>
      <c r="D204" t="s">
        <v>39</v>
      </c>
      <c r="E204" t="s">
        <v>128</v>
      </c>
      <c r="F204" t="s">
        <v>16</v>
      </c>
      <c r="G204" t="s">
        <v>17</v>
      </c>
      <c r="H204" t="s">
        <v>18</v>
      </c>
      <c r="I204">
        <v>1</v>
      </c>
      <c r="J204">
        <v>0.05</v>
      </c>
      <c r="K204">
        <v>4320.3599999999997</v>
      </c>
      <c r="L204">
        <v>760.55</v>
      </c>
      <c r="M204">
        <v>2025</v>
      </c>
      <c r="N204" t="s">
        <v>617</v>
      </c>
      <c r="O204" t="s">
        <v>625</v>
      </c>
      <c r="P204">
        <v>0.17603857085983576</v>
      </c>
    </row>
    <row r="205" spans="1:16" x14ac:dyDescent="0.3">
      <c r="A205" t="s">
        <v>305</v>
      </c>
      <c r="B205" s="12">
        <v>45796</v>
      </c>
      <c r="C205" t="s">
        <v>66</v>
      </c>
      <c r="D205" t="s">
        <v>14</v>
      </c>
      <c r="E205" t="s">
        <v>97</v>
      </c>
      <c r="F205" t="s">
        <v>23</v>
      </c>
      <c r="G205" t="s">
        <v>58</v>
      </c>
      <c r="H205" t="s">
        <v>59</v>
      </c>
      <c r="I205">
        <v>3</v>
      </c>
      <c r="J205">
        <v>0.1</v>
      </c>
      <c r="K205">
        <v>117880.53</v>
      </c>
      <c r="L205">
        <v>22945.86</v>
      </c>
      <c r="M205">
        <v>2025</v>
      </c>
      <c r="N205" t="s">
        <v>617</v>
      </c>
      <c r="O205" t="s">
        <v>625</v>
      </c>
      <c r="P205">
        <v>0.19465351911804266</v>
      </c>
    </row>
    <row r="206" spans="1:16" x14ac:dyDescent="0.3">
      <c r="A206" t="s">
        <v>306</v>
      </c>
      <c r="B206" s="12">
        <v>45797</v>
      </c>
      <c r="C206" t="s">
        <v>143</v>
      </c>
      <c r="D206" t="s">
        <v>39</v>
      </c>
      <c r="E206" t="s">
        <v>128</v>
      </c>
      <c r="F206" t="s">
        <v>16</v>
      </c>
      <c r="G206" t="s">
        <v>62</v>
      </c>
      <c r="H206" t="s">
        <v>167</v>
      </c>
      <c r="I206">
        <v>5</v>
      </c>
      <c r="J206">
        <v>0</v>
      </c>
      <c r="K206">
        <v>8916.6</v>
      </c>
      <c r="L206">
        <v>1000.03</v>
      </c>
      <c r="M206">
        <v>2025</v>
      </c>
      <c r="N206" t="s">
        <v>617</v>
      </c>
      <c r="O206" t="s">
        <v>625</v>
      </c>
      <c r="P206">
        <v>0.11215373572886525</v>
      </c>
    </row>
    <row r="207" spans="1:16" x14ac:dyDescent="0.3">
      <c r="A207" t="s">
        <v>307</v>
      </c>
      <c r="B207" s="12">
        <v>45800</v>
      </c>
      <c r="C207" t="s">
        <v>32</v>
      </c>
      <c r="D207" t="s">
        <v>39</v>
      </c>
      <c r="E207" t="s">
        <v>47</v>
      </c>
      <c r="F207" t="s">
        <v>16</v>
      </c>
      <c r="G207" t="s">
        <v>62</v>
      </c>
      <c r="H207" t="s">
        <v>63</v>
      </c>
      <c r="I207">
        <v>4</v>
      </c>
      <c r="J207">
        <v>0.1</v>
      </c>
      <c r="K207">
        <v>11484.56</v>
      </c>
      <c r="L207">
        <v>969.65</v>
      </c>
      <c r="M207">
        <v>2025</v>
      </c>
      <c r="N207" t="s">
        <v>617</v>
      </c>
      <c r="O207" t="s">
        <v>625</v>
      </c>
      <c r="P207">
        <v>8.443074876181586E-2</v>
      </c>
    </row>
    <row r="208" spans="1:16" x14ac:dyDescent="0.3">
      <c r="A208" t="s">
        <v>308</v>
      </c>
      <c r="B208" s="12">
        <v>45802</v>
      </c>
      <c r="C208" t="s">
        <v>138</v>
      </c>
      <c r="D208" t="s">
        <v>14</v>
      </c>
      <c r="E208" t="s">
        <v>54</v>
      </c>
      <c r="F208" t="s">
        <v>23</v>
      </c>
      <c r="G208" t="s">
        <v>48</v>
      </c>
      <c r="H208" t="s">
        <v>49</v>
      </c>
      <c r="I208">
        <v>3</v>
      </c>
      <c r="J208">
        <v>0.1</v>
      </c>
      <c r="K208">
        <v>144429.78</v>
      </c>
      <c r="L208">
        <v>15213.17</v>
      </c>
      <c r="M208">
        <v>2025</v>
      </c>
      <c r="N208" t="s">
        <v>617</v>
      </c>
      <c r="O208" t="s">
        <v>625</v>
      </c>
      <c r="P208">
        <v>0.1053326398475439</v>
      </c>
    </row>
    <row r="209" spans="1:16" x14ac:dyDescent="0.3">
      <c r="A209" t="s">
        <v>309</v>
      </c>
      <c r="B209" s="12">
        <v>45802</v>
      </c>
      <c r="C209" t="s">
        <v>27</v>
      </c>
      <c r="D209" t="s">
        <v>14</v>
      </c>
      <c r="E209" t="s">
        <v>97</v>
      </c>
      <c r="F209" t="s">
        <v>28</v>
      </c>
      <c r="G209" t="s">
        <v>74</v>
      </c>
      <c r="H209" t="s">
        <v>159</v>
      </c>
      <c r="I209">
        <v>1</v>
      </c>
      <c r="J209">
        <v>0.2</v>
      </c>
      <c r="K209">
        <v>2114.91</v>
      </c>
      <c r="L209">
        <v>267.33</v>
      </c>
      <c r="M209">
        <v>2025</v>
      </c>
      <c r="N209" t="s">
        <v>617</v>
      </c>
      <c r="O209" t="s">
        <v>625</v>
      </c>
      <c r="P209">
        <v>0.12640254195213982</v>
      </c>
    </row>
    <row r="210" spans="1:16" x14ac:dyDescent="0.3">
      <c r="A210" t="s">
        <v>310</v>
      </c>
      <c r="B210" s="12">
        <v>45804</v>
      </c>
      <c r="C210" t="s">
        <v>13</v>
      </c>
      <c r="D210" t="s">
        <v>39</v>
      </c>
      <c r="E210" t="s">
        <v>52</v>
      </c>
      <c r="F210" t="s">
        <v>28</v>
      </c>
      <c r="G210" t="s">
        <v>74</v>
      </c>
      <c r="H210" t="s">
        <v>75</v>
      </c>
      <c r="I210">
        <v>5</v>
      </c>
      <c r="J210">
        <v>0</v>
      </c>
      <c r="K210">
        <v>24607.45</v>
      </c>
      <c r="L210">
        <v>3310.35</v>
      </c>
      <c r="M210">
        <v>2025</v>
      </c>
      <c r="N210" t="s">
        <v>617</v>
      </c>
      <c r="O210" t="s">
        <v>625</v>
      </c>
      <c r="P210">
        <v>0.13452633247248291</v>
      </c>
    </row>
    <row r="211" spans="1:16" x14ac:dyDescent="0.3">
      <c r="A211" t="s">
        <v>311</v>
      </c>
      <c r="B211" s="12">
        <v>45804</v>
      </c>
      <c r="C211" t="s">
        <v>150</v>
      </c>
      <c r="D211" t="s">
        <v>21</v>
      </c>
      <c r="E211" t="s">
        <v>57</v>
      </c>
      <c r="F211" t="s">
        <v>23</v>
      </c>
      <c r="G211" t="s">
        <v>48</v>
      </c>
      <c r="H211" t="s">
        <v>49</v>
      </c>
      <c r="I211">
        <v>4</v>
      </c>
      <c r="J211">
        <v>0</v>
      </c>
      <c r="K211">
        <v>111358.08</v>
      </c>
      <c r="L211">
        <v>10252.879999999999</v>
      </c>
      <c r="M211">
        <v>2025</v>
      </c>
      <c r="N211" t="s">
        <v>617</v>
      </c>
      <c r="O211" t="s">
        <v>625</v>
      </c>
      <c r="P211">
        <v>9.2071271343758795E-2</v>
      </c>
    </row>
    <row r="212" spans="1:16" x14ac:dyDescent="0.3">
      <c r="A212" t="s">
        <v>312</v>
      </c>
      <c r="B212" s="12">
        <v>45804</v>
      </c>
      <c r="C212" t="s">
        <v>82</v>
      </c>
      <c r="D212" t="s">
        <v>39</v>
      </c>
      <c r="E212" t="s">
        <v>40</v>
      </c>
      <c r="F212" t="s">
        <v>16</v>
      </c>
      <c r="G212" t="s">
        <v>17</v>
      </c>
      <c r="H212" t="s">
        <v>153</v>
      </c>
      <c r="I212">
        <v>6</v>
      </c>
      <c r="J212">
        <v>0.2</v>
      </c>
      <c r="K212">
        <v>23400.18</v>
      </c>
      <c r="L212">
        <v>3753.98</v>
      </c>
      <c r="M212">
        <v>2025</v>
      </c>
      <c r="N212" t="s">
        <v>617</v>
      </c>
      <c r="O212" t="s">
        <v>625</v>
      </c>
      <c r="P212">
        <v>0.16042526168602123</v>
      </c>
    </row>
    <row r="213" spans="1:16" x14ac:dyDescent="0.3">
      <c r="A213" t="s">
        <v>313</v>
      </c>
      <c r="B213" s="12">
        <v>45806</v>
      </c>
      <c r="C213" t="s">
        <v>66</v>
      </c>
      <c r="D213" t="s">
        <v>21</v>
      </c>
      <c r="E213" t="s">
        <v>105</v>
      </c>
      <c r="F213" t="s">
        <v>16</v>
      </c>
      <c r="G213" t="s">
        <v>68</v>
      </c>
      <c r="H213" t="s">
        <v>83</v>
      </c>
      <c r="I213">
        <v>4</v>
      </c>
      <c r="J213">
        <v>0.05</v>
      </c>
      <c r="K213">
        <v>23819.48</v>
      </c>
      <c r="L213">
        <v>3925.92</v>
      </c>
      <c r="M213">
        <v>2025</v>
      </c>
      <c r="N213" t="s">
        <v>617</v>
      </c>
      <c r="O213" t="s">
        <v>625</v>
      </c>
      <c r="P213">
        <v>0.16481971898630868</v>
      </c>
    </row>
    <row r="214" spans="1:16" x14ac:dyDescent="0.3">
      <c r="A214" t="s">
        <v>314</v>
      </c>
      <c r="B214" s="12">
        <v>45806</v>
      </c>
      <c r="C214" t="s">
        <v>150</v>
      </c>
      <c r="D214" t="s">
        <v>33</v>
      </c>
      <c r="E214" t="s">
        <v>140</v>
      </c>
      <c r="F214" t="s">
        <v>28</v>
      </c>
      <c r="G214" t="s">
        <v>71</v>
      </c>
      <c r="H214" t="s">
        <v>72</v>
      </c>
      <c r="I214">
        <v>1</v>
      </c>
      <c r="J214">
        <v>0.05</v>
      </c>
      <c r="K214">
        <v>3746.82</v>
      </c>
      <c r="L214">
        <v>745.56</v>
      </c>
      <c r="M214">
        <v>2025</v>
      </c>
      <c r="N214" t="s">
        <v>617</v>
      </c>
      <c r="O214" t="s">
        <v>625</v>
      </c>
      <c r="P214">
        <v>0.19898473905872177</v>
      </c>
    </row>
    <row r="215" spans="1:16" x14ac:dyDescent="0.3">
      <c r="A215" t="s">
        <v>315</v>
      </c>
      <c r="B215" s="12">
        <v>45807</v>
      </c>
      <c r="C215" t="s">
        <v>229</v>
      </c>
      <c r="D215" t="s">
        <v>14</v>
      </c>
      <c r="E215" t="s">
        <v>97</v>
      </c>
      <c r="F215" t="s">
        <v>23</v>
      </c>
      <c r="G215" t="s">
        <v>58</v>
      </c>
      <c r="H215" t="s">
        <v>101</v>
      </c>
      <c r="I215">
        <v>5</v>
      </c>
      <c r="J215">
        <v>0</v>
      </c>
      <c r="K215">
        <v>130732.75</v>
      </c>
      <c r="L215">
        <v>31817.99</v>
      </c>
      <c r="M215">
        <v>2025</v>
      </c>
      <c r="N215" t="s">
        <v>617</v>
      </c>
      <c r="O215" t="s">
        <v>625</v>
      </c>
      <c r="P215">
        <v>0.24338193757876278</v>
      </c>
    </row>
    <row r="216" spans="1:16" x14ac:dyDescent="0.3">
      <c r="A216" t="s">
        <v>316</v>
      </c>
      <c r="B216" s="12">
        <v>45809</v>
      </c>
      <c r="C216" t="s">
        <v>109</v>
      </c>
      <c r="D216" t="s">
        <v>14</v>
      </c>
      <c r="E216" t="s">
        <v>54</v>
      </c>
      <c r="F216" t="s">
        <v>23</v>
      </c>
      <c r="G216" t="s">
        <v>58</v>
      </c>
      <c r="H216" t="s">
        <v>78</v>
      </c>
      <c r="I216">
        <v>6</v>
      </c>
      <c r="J216">
        <v>0.15</v>
      </c>
      <c r="K216">
        <v>170663.04000000001</v>
      </c>
      <c r="L216">
        <v>17139.52</v>
      </c>
      <c r="M216">
        <v>2025</v>
      </c>
      <c r="N216" t="s">
        <v>618</v>
      </c>
      <c r="O216" t="s">
        <v>625</v>
      </c>
      <c r="P216">
        <v>0.10042900911644372</v>
      </c>
    </row>
    <row r="217" spans="1:16" x14ac:dyDescent="0.3">
      <c r="A217" t="s">
        <v>317</v>
      </c>
      <c r="B217" s="12">
        <v>45809</v>
      </c>
      <c r="C217" t="s">
        <v>32</v>
      </c>
      <c r="D217" t="s">
        <v>21</v>
      </c>
      <c r="E217" t="s">
        <v>57</v>
      </c>
      <c r="F217" t="s">
        <v>23</v>
      </c>
      <c r="G217" t="s">
        <v>48</v>
      </c>
      <c r="H217" t="s">
        <v>49</v>
      </c>
      <c r="I217">
        <v>6</v>
      </c>
      <c r="J217">
        <v>0.1</v>
      </c>
      <c r="K217">
        <v>287438.64</v>
      </c>
      <c r="L217">
        <v>61692.82</v>
      </c>
      <c r="M217">
        <v>2025</v>
      </c>
      <c r="N217" t="s">
        <v>618</v>
      </c>
      <c r="O217" t="s">
        <v>625</v>
      </c>
      <c r="P217">
        <v>0.21462952927970991</v>
      </c>
    </row>
    <row r="218" spans="1:16" x14ac:dyDescent="0.3">
      <c r="A218" t="s">
        <v>318</v>
      </c>
      <c r="B218" s="12">
        <v>45809</v>
      </c>
      <c r="C218" t="s">
        <v>85</v>
      </c>
      <c r="D218" t="s">
        <v>14</v>
      </c>
      <c r="E218" t="s">
        <v>114</v>
      </c>
      <c r="F218" t="s">
        <v>23</v>
      </c>
      <c r="G218" t="s">
        <v>48</v>
      </c>
      <c r="H218" t="s">
        <v>124</v>
      </c>
      <c r="I218">
        <v>4</v>
      </c>
      <c r="J218">
        <v>0.2</v>
      </c>
      <c r="K218">
        <v>157667.72</v>
      </c>
      <c r="L218">
        <v>22714.33</v>
      </c>
      <c r="M218">
        <v>2025</v>
      </c>
      <c r="N218" t="s">
        <v>618</v>
      </c>
      <c r="O218" t="s">
        <v>625</v>
      </c>
      <c r="P218">
        <v>0.14406455550952346</v>
      </c>
    </row>
    <row r="219" spans="1:16" x14ac:dyDescent="0.3">
      <c r="A219" t="s">
        <v>319</v>
      </c>
      <c r="B219" s="12">
        <v>45809</v>
      </c>
      <c r="C219" t="s">
        <v>38</v>
      </c>
      <c r="D219" t="s">
        <v>14</v>
      </c>
      <c r="E219" t="s">
        <v>114</v>
      </c>
      <c r="F219" t="s">
        <v>28</v>
      </c>
      <c r="G219" t="s">
        <v>71</v>
      </c>
      <c r="H219" t="s">
        <v>72</v>
      </c>
      <c r="I219">
        <v>6</v>
      </c>
      <c r="J219">
        <v>0</v>
      </c>
      <c r="K219">
        <v>22137.599999999999</v>
      </c>
      <c r="L219">
        <v>2786.79</v>
      </c>
      <c r="M219">
        <v>2025</v>
      </c>
      <c r="N219" t="s">
        <v>618</v>
      </c>
      <c r="O219" t="s">
        <v>625</v>
      </c>
      <c r="P219">
        <v>0.12588491977450131</v>
      </c>
    </row>
    <row r="220" spans="1:16" x14ac:dyDescent="0.3">
      <c r="A220" t="s">
        <v>320</v>
      </c>
      <c r="B220" s="12">
        <v>45810</v>
      </c>
      <c r="C220" t="s">
        <v>147</v>
      </c>
      <c r="D220" t="s">
        <v>21</v>
      </c>
      <c r="E220" t="s">
        <v>22</v>
      </c>
      <c r="F220" t="s">
        <v>16</v>
      </c>
      <c r="G220" t="s">
        <v>62</v>
      </c>
      <c r="H220" t="s">
        <v>167</v>
      </c>
      <c r="I220">
        <v>5</v>
      </c>
      <c r="J220">
        <v>0</v>
      </c>
      <c r="K220">
        <v>8394.65</v>
      </c>
      <c r="L220">
        <v>1682.65</v>
      </c>
      <c r="M220">
        <v>2025</v>
      </c>
      <c r="N220" t="s">
        <v>618</v>
      </c>
      <c r="O220" t="s">
        <v>625</v>
      </c>
      <c r="P220">
        <v>0.20044313938043876</v>
      </c>
    </row>
    <row r="221" spans="1:16" x14ac:dyDescent="0.3">
      <c r="A221" t="s">
        <v>321</v>
      </c>
      <c r="B221" s="12">
        <v>45811</v>
      </c>
      <c r="C221" t="s">
        <v>95</v>
      </c>
      <c r="D221" t="s">
        <v>14</v>
      </c>
      <c r="E221" t="s">
        <v>15</v>
      </c>
      <c r="F221" t="s">
        <v>23</v>
      </c>
      <c r="G221" t="s">
        <v>35</v>
      </c>
      <c r="H221" t="s">
        <v>155</v>
      </c>
      <c r="I221">
        <v>6</v>
      </c>
      <c r="J221">
        <v>0.1</v>
      </c>
      <c r="K221">
        <v>232788.36</v>
      </c>
      <c r="L221">
        <v>22655.46</v>
      </c>
      <c r="M221">
        <v>2025</v>
      </c>
      <c r="N221" t="s">
        <v>618</v>
      </c>
      <c r="O221" t="s">
        <v>625</v>
      </c>
      <c r="P221">
        <v>9.7322134147944508E-2</v>
      </c>
    </row>
    <row r="222" spans="1:16" x14ac:dyDescent="0.3">
      <c r="A222" t="s">
        <v>322</v>
      </c>
      <c r="B222" s="12">
        <v>45811</v>
      </c>
      <c r="C222" t="s">
        <v>104</v>
      </c>
      <c r="D222" t="s">
        <v>33</v>
      </c>
      <c r="E222" t="s">
        <v>140</v>
      </c>
      <c r="F222" t="s">
        <v>28</v>
      </c>
      <c r="G222" t="s">
        <v>74</v>
      </c>
      <c r="H222" t="s">
        <v>80</v>
      </c>
      <c r="I222">
        <v>4</v>
      </c>
      <c r="J222">
        <v>0.1</v>
      </c>
      <c r="K222">
        <v>5786.2</v>
      </c>
      <c r="L222">
        <v>1097.6400000000001</v>
      </c>
      <c r="M222">
        <v>2025</v>
      </c>
      <c r="N222" t="s">
        <v>618</v>
      </c>
      <c r="O222" t="s">
        <v>625</v>
      </c>
      <c r="P222">
        <v>0.18969963015450558</v>
      </c>
    </row>
    <row r="223" spans="1:16" x14ac:dyDescent="0.3">
      <c r="A223" t="s">
        <v>323</v>
      </c>
      <c r="B223" s="12">
        <v>45813</v>
      </c>
      <c r="C223" t="s">
        <v>51</v>
      </c>
      <c r="D223" t="s">
        <v>14</v>
      </c>
      <c r="E223" t="s">
        <v>114</v>
      </c>
      <c r="F223" t="s">
        <v>28</v>
      </c>
      <c r="G223" t="s">
        <v>71</v>
      </c>
      <c r="H223" t="s">
        <v>72</v>
      </c>
      <c r="I223">
        <v>6</v>
      </c>
      <c r="J223">
        <v>0.15</v>
      </c>
      <c r="K223">
        <v>3801.48</v>
      </c>
      <c r="L223">
        <v>719.4</v>
      </c>
      <c r="M223">
        <v>2025</v>
      </c>
      <c r="N223" t="s">
        <v>618</v>
      </c>
      <c r="O223" t="s">
        <v>625</v>
      </c>
      <c r="P223">
        <v>0.18924208466176332</v>
      </c>
    </row>
    <row r="224" spans="1:16" x14ac:dyDescent="0.3">
      <c r="A224" t="s">
        <v>324</v>
      </c>
      <c r="B224" s="12">
        <v>45813</v>
      </c>
      <c r="C224" t="s">
        <v>32</v>
      </c>
      <c r="D224" t="s">
        <v>33</v>
      </c>
      <c r="E224" t="s">
        <v>34</v>
      </c>
      <c r="F224" t="s">
        <v>23</v>
      </c>
      <c r="G224" t="s">
        <v>24</v>
      </c>
      <c r="H224" t="s">
        <v>132</v>
      </c>
      <c r="I224">
        <v>2</v>
      </c>
      <c r="J224">
        <v>0.05</v>
      </c>
      <c r="K224">
        <v>61656.84</v>
      </c>
      <c r="L224">
        <v>8045.22</v>
      </c>
      <c r="M224">
        <v>2025</v>
      </c>
      <c r="N224" t="s">
        <v>618</v>
      </c>
      <c r="O224" t="s">
        <v>625</v>
      </c>
      <c r="P224">
        <v>0.13048381980004167</v>
      </c>
    </row>
    <row r="225" spans="1:16" x14ac:dyDescent="0.3">
      <c r="A225" t="s">
        <v>325</v>
      </c>
      <c r="B225" s="12">
        <v>45814</v>
      </c>
      <c r="C225" t="s">
        <v>143</v>
      </c>
      <c r="D225" t="s">
        <v>14</v>
      </c>
      <c r="E225" t="s">
        <v>15</v>
      </c>
      <c r="F225" t="s">
        <v>16</v>
      </c>
      <c r="G225" t="s">
        <v>41</v>
      </c>
      <c r="H225" t="s">
        <v>177</v>
      </c>
      <c r="I225">
        <v>4</v>
      </c>
      <c r="J225">
        <v>0.1</v>
      </c>
      <c r="K225">
        <v>36107.199999999997</v>
      </c>
      <c r="L225">
        <v>6465.41</v>
      </c>
      <c r="M225">
        <v>2025</v>
      </c>
      <c r="N225" t="s">
        <v>618</v>
      </c>
      <c r="O225" t="s">
        <v>625</v>
      </c>
      <c r="P225">
        <v>0.1790615168165906</v>
      </c>
    </row>
    <row r="226" spans="1:16" x14ac:dyDescent="0.3">
      <c r="A226" t="s">
        <v>326</v>
      </c>
      <c r="B226" s="12">
        <v>45814</v>
      </c>
      <c r="C226" t="s">
        <v>20</v>
      </c>
      <c r="D226" t="s">
        <v>14</v>
      </c>
      <c r="E226" t="s">
        <v>97</v>
      </c>
      <c r="F226" t="s">
        <v>23</v>
      </c>
      <c r="G226" t="s">
        <v>35</v>
      </c>
      <c r="H226" t="s">
        <v>155</v>
      </c>
      <c r="I226">
        <v>4</v>
      </c>
      <c r="J226">
        <v>0.15</v>
      </c>
      <c r="K226">
        <v>136320.72</v>
      </c>
      <c r="L226">
        <v>6164.18</v>
      </c>
      <c r="M226">
        <v>2025</v>
      </c>
      <c r="N226" t="s">
        <v>618</v>
      </c>
      <c r="O226" t="s">
        <v>625</v>
      </c>
      <c r="P226">
        <v>4.5218217744155111E-2</v>
      </c>
    </row>
    <row r="227" spans="1:16" x14ac:dyDescent="0.3">
      <c r="A227" t="s">
        <v>327</v>
      </c>
      <c r="B227" s="12">
        <v>45815</v>
      </c>
      <c r="C227" t="s">
        <v>77</v>
      </c>
      <c r="D227" t="s">
        <v>39</v>
      </c>
      <c r="E227" t="s">
        <v>40</v>
      </c>
      <c r="F227" t="s">
        <v>28</v>
      </c>
      <c r="G227" t="s">
        <v>29</v>
      </c>
      <c r="H227" t="s">
        <v>98</v>
      </c>
      <c r="I227">
        <v>5</v>
      </c>
      <c r="J227">
        <v>0.1</v>
      </c>
      <c r="K227">
        <v>9754.2999999999993</v>
      </c>
      <c r="L227">
        <v>547.9</v>
      </c>
      <c r="M227">
        <v>2025</v>
      </c>
      <c r="N227" t="s">
        <v>618</v>
      </c>
      <c r="O227" t="s">
        <v>625</v>
      </c>
      <c r="P227">
        <v>5.6170099340803546E-2</v>
      </c>
    </row>
    <row r="228" spans="1:16" x14ac:dyDescent="0.3">
      <c r="A228" t="s">
        <v>328</v>
      </c>
      <c r="B228" s="12">
        <v>45815</v>
      </c>
      <c r="C228" t="s">
        <v>20</v>
      </c>
      <c r="D228" t="s">
        <v>14</v>
      </c>
      <c r="E228" t="s">
        <v>54</v>
      </c>
      <c r="F228" t="s">
        <v>28</v>
      </c>
      <c r="G228" t="s">
        <v>74</v>
      </c>
      <c r="H228" t="s">
        <v>75</v>
      </c>
      <c r="I228">
        <v>1</v>
      </c>
      <c r="J228">
        <v>0.1</v>
      </c>
      <c r="K228">
        <v>2054.2199999999998</v>
      </c>
      <c r="L228">
        <v>245.74</v>
      </c>
      <c r="M228">
        <v>2025</v>
      </c>
      <c r="N228" t="s">
        <v>618</v>
      </c>
      <c r="O228" t="s">
        <v>625</v>
      </c>
      <c r="P228">
        <v>0.11962691435191948</v>
      </c>
    </row>
    <row r="229" spans="1:16" x14ac:dyDescent="0.3">
      <c r="A229" t="s">
        <v>329</v>
      </c>
      <c r="B229" s="12">
        <v>45817</v>
      </c>
      <c r="C229" t="s">
        <v>82</v>
      </c>
      <c r="D229" t="s">
        <v>33</v>
      </c>
      <c r="E229" t="s">
        <v>45</v>
      </c>
      <c r="F229" t="s">
        <v>23</v>
      </c>
      <c r="G229" t="s">
        <v>58</v>
      </c>
      <c r="H229" t="s">
        <v>101</v>
      </c>
      <c r="I229">
        <v>3</v>
      </c>
      <c r="J229">
        <v>0.2</v>
      </c>
      <c r="K229">
        <v>144597.03</v>
      </c>
      <c r="L229">
        <v>2730.55</v>
      </c>
      <c r="M229">
        <v>2025</v>
      </c>
      <c r="N229" t="s">
        <v>618</v>
      </c>
      <c r="O229" t="s">
        <v>625</v>
      </c>
      <c r="P229">
        <v>1.8883859509424228E-2</v>
      </c>
    </row>
    <row r="230" spans="1:16" x14ac:dyDescent="0.3">
      <c r="A230" t="s">
        <v>330</v>
      </c>
      <c r="B230" s="12">
        <v>45817</v>
      </c>
      <c r="C230" t="s">
        <v>100</v>
      </c>
      <c r="D230" t="s">
        <v>33</v>
      </c>
      <c r="E230" t="s">
        <v>45</v>
      </c>
      <c r="F230" t="s">
        <v>28</v>
      </c>
      <c r="G230" t="s">
        <v>71</v>
      </c>
      <c r="H230" t="s">
        <v>72</v>
      </c>
      <c r="I230">
        <v>1</v>
      </c>
      <c r="J230">
        <v>0.2</v>
      </c>
      <c r="K230">
        <v>3070.12</v>
      </c>
      <c r="L230">
        <v>238.43</v>
      </c>
      <c r="M230">
        <v>2025</v>
      </c>
      <c r="N230" t="s">
        <v>618</v>
      </c>
      <c r="O230" t="s">
        <v>625</v>
      </c>
      <c r="P230">
        <v>7.7661459486925599E-2</v>
      </c>
    </row>
    <row r="231" spans="1:16" x14ac:dyDescent="0.3">
      <c r="A231" t="s">
        <v>331</v>
      </c>
      <c r="B231" s="12">
        <v>45818</v>
      </c>
      <c r="C231" t="s">
        <v>61</v>
      </c>
      <c r="D231" t="s">
        <v>39</v>
      </c>
      <c r="E231" t="s">
        <v>52</v>
      </c>
      <c r="F231" t="s">
        <v>23</v>
      </c>
      <c r="G231" t="s">
        <v>35</v>
      </c>
      <c r="H231" t="s">
        <v>36</v>
      </c>
      <c r="I231">
        <v>2</v>
      </c>
      <c r="J231">
        <v>0.05</v>
      </c>
      <c r="K231">
        <v>33723.800000000003</v>
      </c>
      <c r="L231">
        <v>5170.57</v>
      </c>
      <c r="M231">
        <v>2025</v>
      </c>
      <c r="N231" t="s">
        <v>618</v>
      </c>
      <c r="O231" t="s">
        <v>625</v>
      </c>
      <c r="P231">
        <v>0.15332109667356583</v>
      </c>
    </row>
    <row r="232" spans="1:16" x14ac:dyDescent="0.3">
      <c r="A232" t="s">
        <v>332</v>
      </c>
      <c r="B232" s="12">
        <v>45818</v>
      </c>
      <c r="C232" t="s">
        <v>229</v>
      </c>
      <c r="D232" t="s">
        <v>33</v>
      </c>
      <c r="E232" t="s">
        <v>45</v>
      </c>
      <c r="F232" t="s">
        <v>23</v>
      </c>
      <c r="G232" t="s">
        <v>24</v>
      </c>
      <c r="H232" t="s">
        <v>129</v>
      </c>
      <c r="I232">
        <v>5</v>
      </c>
      <c r="J232">
        <v>0.05</v>
      </c>
      <c r="K232">
        <v>59427.95</v>
      </c>
      <c r="L232">
        <v>4611.78</v>
      </c>
      <c r="M232">
        <v>2025</v>
      </c>
      <c r="N232" t="s">
        <v>618</v>
      </c>
      <c r="O232" t="s">
        <v>625</v>
      </c>
      <c r="P232">
        <v>7.7602878780102622E-2</v>
      </c>
    </row>
    <row r="233" spans="1:16" x14ac:dyDescent="0.3">
      <c r="A233" t="s">
        <v>333</v>
      </c>
      <c r="B233" s="12">
        <v>45819</v>
      </c>
      <c r="C233" t="s">
        <v>143</v>
      </c>
      <c r="D233" t="s">
        <v>33</v>
      </c>
      <c r="E233" t="s">
        <v>45</v>
      </c>
      <c r="F233" t="s">
        <v>28</v>
      </c>
      <c r="G233" t="s">
        <v>74</v>
      </c>
      <c r="H233" t="s">
        <v>75</v>
      </c>
      <c r="I233">
        <v>7</v>
      </c>
      <c r="J233">
        <v>0.05</v>
      </c>
      <c r="K233">
        <v>34277.32</v>
      </c>
      <c r="L233">
        <v>7194.43</v>
      </c>
      <c r="M233">
        <v>2025</v>
      </c>
      <c r="N233" t="s">
        <v>618</v>
      </c>
      <c r="O233" t="s">
        <v>625</v>
      </c>
      <c r="P233">
        <v>0.2098889294728993</v>
      </c>
    </row>
    <row r="234" spans="1:16" x14ac:dyDescent="0.3">
      <c r="A234" t="s">
        <v>334</v>
      </c>
      <c r="B234" s="12">
        <v>45819</v>
      </c>
      <c r="C234" t="s">
        <v>109</v>
      </c>
      <c r="D234" t="s">
        <v>21</v>
      </c>
      <c r="E234" t="s">
        <v>67</v>
      </c>
      <c r="F234" t="s">
        <v>23</v>
      </c>
      <c r="G234" t="s">
        <v>48</v>
      </c>
      <c r="H234" t="s">
        <v>118</v>
      </c>
      <c r="I234">
        <v>1</v>
      </c>
      <c r="J234">
        <v>0</v>
      </c>
      <c r="K234">
        <v>25708.29</v>
      </c>
      <c r="L234">
        <v>2069.4299999999998</v>
      </c>
      <c r="M234">
        <v>2025</v>
      </c>
      <c r="N234" t="s">
        <v>618</v>
      </c>
      <c r="O234" t="s">
        <v>625</v>
      </c>
      <c r="P234">
        <v>8.0496602457806404E-2</v>
      </c>
    </row>
    <row r="235" spans="1:16" x14ac:dyDescent="0.3">
      <c r="A235" t="s">
        <v>335</v>
      </c>
      <c r="B235" s="12">
        <v>45820</v>
      </c>
      <c r="C235" t="s">
        <v>111</v>
      </c>
      <c r="D235" t="s">
        <v>33</v>
      </c>
      <c r="E235" t="s">
        <v>45</v>
      </c>
      <c r="F235" t="s">
        <v>28</v>
      </c>
      <c r="G235" t="s">
        <v>71</v>
      </c>
      <c r="H235" t="s">
        <v>72</v>
      </c>
      <c r="I235">
        <v>5</v>
      </c>
      <c r="J235">
        <v>0</v>
      </c>
      <c r="K235">
        <v>23376.85</v>
      </c>
      <c r="L235">
        <v>3542.28</v>
      </c>
      <c r="M235">
        <v>2025</v>
      </c>
      <c r="N235" t="s">
        <v>618</v>
      </c>
      <c r="O235" t="s">
        <v>625</v>
      </c>
      <c r="P235">
        <v>0.15152939767333923</v>
      </c>
    </row>
    <row r="236" spans="1:16" x14ac:dyDescent="0.3">
      <c r="A236" t="s">
        <v>336</v>
      </c>
      <c r="B236" s="12">
        <v>45821</v>
      </c>
      <c r="C236" t="s">
        <v>32</v>
      </c>
      <c r="D236" t="s">
        <v>33</v>
      </c>
      <c r="E236" t="s">
        <v>86</v>
      </c>
      <c r="F236" t="s">
        <v>16</v>
      </c>
      <c r="G236" t="s">
        <v>17</v>
      </c>
      <c r="H236" t="s">
        <v>88</v>
      </c>
      <c r="I236">
        <v>1</v>
      </c>
      <c r="J236">
        <v>0.1</v>
      </c>
      <c r="K236">
        <v>4218.7700000000004</v>
      </c>
      <c r="L236">
        <v>436.24</v>
      </c>
      <c r="M236">
        <v>2025</v>
      </c>
      <c r="N236" t="s">
        <v>618</v>
      </c>
      <c r="O236" t="s">
        <v>625</v>
      </c>
      <c r="P236">
        <v>0.10340454682288913</v>
      </c>
    </row>
    <row r="237" spans="1:16" x14ac:dyDescent="0.3">
      <c r="A237" t="s">
        <v>337</v>
      </c>
      <c r="B237" s="12">
        <v>45822</v>
      </c>
      <c r="C237" t="s">
        <v>138</v>
      </c>
      <c r="D237" t="s">
        <v>14</v>
      </c>
      <c r="E237" t="s">
        <v>15</v>
      </c>
      <c r="F237" t="s">
        <v>23</v>
      </c>
      <c r="G237" t="s">
        <v>48</v>
      </c>
      <c r="H237" t="s">
        <v>124</v>
      </c>
      <c r="I237">
        <v>5</v>
      </c>
      <c r="J237">
        <v>0.2</v>
      </c>
      <c r="K237">
        <v>40404.1</v>
      </c>
      <c r="L237">
        <v>3670.42</v>
      </c>
      <c r="M237">
        <v>2025</v>
      </c>
      <c r="N237" t="s">
        <v>618</v>
      </c>
      <c r="O237" t="s">
        <v>625</v>
      </c>
      <c r="P237">
        <v>9.0842761006927522E-2</v>
      </c>
    </row>
    <row r="238" spans="1:16" x14ac:dyDescent="0.3">
      <c r="A238" t="s">
        <v>338</v>
      </c>
      <c r="B238" s="12">
        <v>45822</v>
      </c>
      <c r="C238" t="s">
        <v>13</v>
      </c>
      <c r="D238" t="s">
        <v>21</v>
      </c>
      <c r="E238" t="s">
        <v>67</v>
      </c>
      <c r="F238" t="s">
        <v>23</v>
      </c>
      <c r="G238" t="s">
        <v>48</v>
      </c>
      <c r="H238" t="s">
        <v>49</v>
      </c>
      <c r="I238">
        <v>6</v>
      </c>
      <c r="J238">
        <v>0.2</v>
      </c>
      <c r="K238">
        <v>249739.8</v>
      </c>
      <c r="L238">
        <v>2964.23</v>
      </c>
      <c r="M238">
        <v>2025</v>
      </c>
      <c r="N238" t="s">
        <v>618</v>
      </c>
      <c r="O238" t="s">
        <v>625</v>
      </c>
      <c r="P238">
        <v>1.1869273539900329E-2</v>
      </c>
    </row>
    <row r="239" spans="1:16" x14ac:dyDescent="0.3">
      <c r="A239" t="s">
        <v>339</v>
      </c>
      <c r="B239" s="12">
        <v>45823</v>
      </c>
      <c r="C239" t="s">
        <v>38</v>
      </c>
      <c r="D239" t="s">
        <v>33</v>
      </c>
      <c r="E239" t="s">
        <v>45</v>
      </c>
      <c r="F239" t="s">
        <v>16</v>
      </c>
      <c r="G239" t="s">
        <v>62</v>
      </c>
      <c r="H239" t="s">
        <v>180</v>
      </c>
      <c r="I239">
        <v>2</v>
      </c>
      <c r="J239">
        <v>0.1</v>
      </c>
      <c r="K239">
        <v>14883.66</v>
      </c>
      <c r="L239">
        <v>861.01</v>
      </c>
      <c r="M239">
        <v>2025</v>
      </c>
      <c r="N239" t="s">
        <v>618</v>
      </c>
      <c r="O239" t="s">
        <v>625</v>
      </c>
      <c r="P239">
        <v>5.7849346195760987E-2</v>
      </c>
    </row>
    <row r="240" spans="1:16" x14ac:dyDescent="0.3">
      <c r="A240" t="s">
        <v>340</v>
      </c>
      <c r="B240" s="12">
        <v>45825</v>
      </c>
      <c r="C240" t="s">
        <v>95</v>
      </c>
      <c r="D240" t="s">
        <v>33</v>
      </c>
      <c r="E240" t="s">
        <v>45</v>
      </c>
      <c r="F240" t="s">
        <v>23</v>
      </c>
      <c r="G240" t="s">
        <v>48</v>
      </c>
      <c r="H240" t="s">
        <v>49</v>
      </c>
      <c r="I240">
        <v>4</v>
      </c>
      <c r="J240">
        <v>0.2</v>
      </c>
      <c r="K240">
        <v>53313.279999999999</v>
      </c>
      <c r="L240">
        <v>557.70000000000005</v>
      </c>
      <c r="M240">
        <v>2025</v>
      </c>
      <c r="N240" t="s">
        <v>618</v>
      </c>
      <c r="O240" t="s">
        <v>625</v>
      </c>
      <c r="P240">
        <v>1.046080826390723E-2</v>
      </c>
    </row>
    <row r="241" spans="1:16" x14ac:dyDescent="0.3">
      <c r="A241" t="s">
        <v>341</v>
      </c>
      <c r="B241" s="12">
        <v>45825</v>
      </c>
      <c r="C241" t="s">
        <v>95</v>
      </c>
      <c r="D241" t="s">
        <v>33</v>
      </c>
      <c r="E241" t="s">
        <v>45</v>
      </c>
      <c r="F241" t="s">
        <v>28</v>
      </c>
      <c r="G241" t="s">
        <v>29</v>
      </c>
      <c r="H241" t="s">
        <v>30</v>
      </c>
      <c r="I241">
        <v>4</v>
      </c>
      <c r="J241">
        <v>0.2</v>
      </c>
      <c r="K241">
        <v>12808.72</v>
      </c>
      <c r="L241">
        <v>509.96</v>
      </c>
      <c r="M241">
        <v>2025</v>
      </c>
      <c r="N241" t="s">
        <v>618</v>
      </c>
      <c r="O241" t="s">
        <v>625</v>
      </c>
      <c r="P241">
        <v>3.9813502051727262E-2</v>
      </c>
    </row>
    <row r="242" spans="1:16" x14ac:dyDescent="0.3">
      <c r="A242" t="s">
        <v>342</v>
      </c>
      <c r="B242" s="12">
        <v>45827</v>
      </c>
      <c r="C242" t="s">
        <v>38</v>
      </c>
      <c r="D242" t="s">
        <v>39</v>
      </c>
      <c r="E242" t="s">
        <v>40</v>
      </c>
      <c r="F242" t="s">
        <v>28</v>
      </c>
      <c r="G242" t="s">
        <v>29</v>
      </c>
      <c r="H242" t="s">
        <v>98</v>
      </c>
      <c r="I242">
        <v>5</v>
      </c>
      <c r="J242">
        <v>0.2</v>
      </c>
      <c r="K242">
        <v>13943.55</v>
      </c>
      <c r="L242">
        <v>1231.67</v>
      </c>
      <c r="M242">
        <v>2025</v>
      </c>
      <c r="N242" t="s">
        <v>618</v>
      </c>
      <c r="O242" t="s">
        <v>625</v>
      </c>
      <c r="P242">
        <v>8.8332598226420117E-2</v>
      </c>
    </row>
    <row r="243" spans="1:16" x14ac:dyDescent="0.3">
      <c r="A243" t="s">
        <v>343</v>
      </c>
      <c r="B243" s="12">
        <v>45827</v>
      </c>
      <c r="C243" t="s">
        <v>95</v>
      </c>
      <c r="D243" t="s">
        <v>21</v>
      </c>
      <c r="E243" t="s">
        <v>67</v>
      </c>
      <c r="F243" t="s">
        <v>16</v>
      </c>
      <c r="G243" t="s">
        <v>41</v>
      </c>
      <c r="H243" t="s">
        <v>177</v>
      </c>
      <c r="I243">
        <v>6</v>
      </c>
      <c r="J243">
        <v>0.2</v>
      </c>
      <c r="K243">
        <v>3016.38</v>
      </c>
      <c r="L243">
        <v>301.39</v>
      </c>
      <c r="M243">
        <v>2025</v>
      </c>
      <c r="N243" t="s">
        <v>618</v>
      </c>
      <c r="O243" t="s">
        <v>625</v>
      </c>
      <c r="P243">
        <v>9.991778224229042E-2</v>
      </c>
    </row>
    <row r="244" spans="1:16" x14ac:dyDescent="0.3">
      <c r="A244" t="s">
        <v>344</v>
      </c>
      <c r="B244" s="12">
        <v>45830</v>
      </c>
      <c r="C244" t="s">
        <v>61</v>
      </c>
      <c r="D244" t="s">
        <v>39</v>
      </c>
      <c r="E244" t="s">
        <v>47</v>
      </c>
      <c r="F244" t="s">
        <v>23</v>
      </c>
      <c r="G244" t="s">
        <v>35</v>
      </c>
      <c r="H244" t="s">
        <v>155</v>
      </c>
      <c r="I244">
        <v>4</v>
      </c>
      <c r="J244">
        <v>0.1</v>
      </c>
      <c r="K244">
        <v>60052.56</v>
      </c>
      <c r="L244">
        <v>12450.34</v>
      </c>
      <c r="M244">
        <v>2025</v>
      </c>
      <c r="N244" t="s">
        <v>618</v>
      </c>
      <c r="O244" t="s">
        <v>625</v>
      </c>
      <c r="P244">
        <v>0.20732405079816749</v>
      </c>
    </row>
    <row r="245" spans="1:16" x14ac:dyDescent="0.3">
      <c r="A245" t="s">
        <v>345</v>
      </c>
      <c r="B245" s="12">
        <v>45830</v>
      </c>
      <c r="C245" t="s">
        <v>44</v>
      </c>
      <c r="D245" t="s">
        <v>39</v>
      </c>
      <c r="E245" t="s">
        <v>40</v>
      </c>
      <c r="F245" t="s">
        <v>16</v>
      </c>
      <c r="G245" t="s">
        <v>17</v>
      </c>
      <c r="H245" t="s">
        <v>153</v>
      </c>
      <c r="I245">
        <v>5</v>
      </c>
      <c r="J245">
        <v>0.1</v>
      </c>
      <c r="K245">
        <v>34934.25</v>
      </c>
      <c r="L245">
        <v>4040.24</v>
      </c>
      <c r="M245">
        <v>2025</v>
      </c>
      <c r="N245" t="s">
        <v>618</v>
      </c>
      <c r="O245" t="s">
        <v>625</v>
      </c>
      <c r="P245">
        <v>0.1156526904112726</v>
      </c>
    </row>
    <row r="246" spans="1:16" x14ac:dyDescent="0.3">
      <c r="A246" t="s">
        <v>346</v>
      </c>
      <c r="B246" s="12">
        <v>45831</v>
      </c>
      <c r="C246" t="s">
        <v>32</v>
      </c>
      <c r="D246" t="s">
        <v>39</v>
      </c>
      <c r="E246" t="s">
        <v>40</v>
      </c>
      <c r="F246" t="s">
        <v>23</v>
      </c>
      <c r="G246" t="s">
        <v>58</v>
      </c>
      <c r="H246" t="s">
        <v>90</v>
      </c>
      <c r="I246">
        <v>2</v>
      </c>
      <c r="J246">
        <v>0.1</v>
      </c>
      <c r="K246">
        <v>52139.32</v>
      </c>
      <c r="L246">
        <v>6968.23</v>
      </c>
      <c r="M246">
        <v>2025</v>
      </c>
      <c r="N246" t="s">
        <v>618</v>
      </c>
      <c r="O246" t="s">
        <v>625</v>
      </c>
      <c r="P246">
        <v>0.13364635365401772</v>
      </c>
    </row>
    <row r="247" spans="1:16" x14ac:dyDescent="0.3">
      <c r="A247" t="s">
        <v>347</v>
      </c>
      <c r="B247" s="12">
        <v>45832</v>
      </c>
      <c r="C247" t="s">
        <v>51</v>
      </c>
      <c r="D247" t="s">
        <v>14</v>
      </c>
      <c r="E247" t="s">
        <v>114</v>
      </c>
      <c r="F247" t="s">
        <v>28</v>
      </c>
      <c r="G247" t="s">
        <v>29</v>
      </c>
      <c r="H247" t="s">
        <v>98</v>
      </c>
      <c r="I247">
        <v>4</v>
      </c>
      <c r="J247">
        <v>0.15</v>
      </c>
      <c r="K247">
        <v>13092.44</v>
      </c>
      <c r="L247">
        <v>2047.72</v>
      </c>
      <c r="M247">
        <v>2025</v>
      </c>
      <c r="N247" t="s">
        <v>618</v>
      </c>
      <c r="O247" t="s">
        <v>625</v>
      </c>
      <c r="P247">
        <v>0.15640476488721736</v>
      </c>
    </row>
    <row r="248" spans="1:16" x14ac:dyDescent="0.3">
      <c r="A248" t="s">
        <v>348</v>
      </c>
      <c r="B248" s="12">
        <v>45833</v>
      </c>
      <c r="C248" t="s">
        <v>38</v>
      </c>
      <c r="D248" t="s">
        <v>39</v>
      </c>
      <c r="E248" t="s">
        <v>128</v>
      </c>
      <c r="F248" t="s">
        <v>28</v>
      </c>
      <c r="G248" t="s">
        <v>92</v>
      </c>
      <c r="H248" t="s">
        <v>204</v>
      </c>
      <c r="I248">
        <v>1</v>
      </c>
      <c r="J248">
        <v>0.1</v>
      </c>
      <c r="K248">
        <v>4223.09</v>
      </c>
      <c r="L248">
        <v>795.78</v>
      </c>
      <c r="M248">
        <v>2025</v>
      </c>
      <c r="N248" t="s">
        <v>618</v>
      </c>
      <c r="O248" t="s">
        <v>625</v>
      </c>
      <c r="P248">
        <v>0.1884354820759207</v>
      </c>
    </row>
    <row r="249" spans="1:16" x14ac:dyDescent="0.3">
      <c r="A249" t="s">
        <v>349</v>
      </c>
      <c r="B249" s="12">
        <v>45833</v>
      </c>
      <c r="C249" t="s">
        <v>100</v>
      </c>
      <c r="D249" t="s">
        <v>39</v>
      </c>
      <c r="E249" t="s">
        <v>52</v>
      </c>
      <c r="F249" t="s">
        <v>23</v>
      </c>
      <c r="G249" t="s">
        <v>35</v>
      </c>
      <c r="H249" t="s">
        <v>36</v>
      </c>
      <c r="I249">
        <v>5</v>
      </c>
      <c r="J249">
        <v>0.1</v>
      </c>
      <c r="K249">
        <v>112319.55</v>
      </c>
      <c r="L249">
        <v>21903.52</v>
      </c>
      <c r="M249">
        <v>2025</v>
      </c>
      <c r="N249" t="s">
        <v>618</v>
      </c>
      <c r="O249" t="s">
        <v>625</v>
      </c>
      <c r="P249">
        <v>0.19501075280305166</v>
      </c>
    </row>
    <row r="250" spans="1:16" x14ac:dyDescent="0.3">
      <c r="A250" t="s">
        <v>350</v>
      </c>
      <c r="B250" s="12">
        <v>45833</v>
      </c>
      <c r="C250" t="s">
        <v>44</v>
      </c>
      <c r="D250" t="s">
        <v>33</v>
      </c>
      <c r="E250" t="s">
        <v>140</v>
      </c>
      <c r="F250" t="s">
        <v>23</v>
      </c>
      <c r="G250" t="s">
        <v>24</v>
      </c>
      <c r="H250" t="s">
        <v>25</v>
      </c>
      <c r="I250">
        <v>4</v>
      </c>
      <c r="J250">
        <v>0.15</v>
      </c>
      <c r="K250">
        <v>113346.68</v>
      </c>
      <c r="L250">
        <v>6341.88</v>
      </c>
      <c r="M250">
        <v>2025</v>
      </c>
      <c r="N250" t="s">
        <v>618</v>
      </c>
      <c r="O250" t="s">
        <v>625</v>
      </c>
      <c r="P250">
        <v>5.595117563214027E-2</v>
      </c>
    </row>
    <row r="251" spans="1:16" x14ac:dyDescent="0.3">
      <c r="A251" t="s">
        <v>351</v>
      </c>
      <c r="B251" s="12">
        <v>45833</v>
      </c>
      <c r="C251" t="s">
        <v>109</v>
      </c>
      <c r="D251" t="s">
        <v>21</v>
      </c>
      <c r="E251" t="s">
        <v>67</v>
      </c>
      <c r="F251" t="s">
        <v>28</v>
      </c>
      <c r="G251" t="s">
        <v>74</v>
      </c>
      <c r="H251" t="s">
        <v>159</v>
      </c>
      <c r="I251">
        <v>1</v>
      </c>
      <c r="J251">
        <v>0.05</v>
      </c>
      <c r="K251">
        <v>2256.2800000000002</v>
      </c>
      <c r="L251">
        <v>211.84</v>
      </c>
      <c r="M251">
        <v>2025</v>
      </c>
      <c r="N251" t="s">
        <v>618</v>
      </c>
      <c r="O251" t="s">
        <v>625</v>
      </c>
      <c r="P251">
        <v>9.3889056322796816E-2</v>
      </c>
    </row>
    <row r="252" spans="1:16" x14ac:dyDescent="0.3">
      <c r="A252" t="s">
        <v>352</v>
      </c>
      <c r="B252" s="12">
        <v>45834</v>
      </c>
      <c r="C252" t="s">
        <v>85</v>
      </c>
      <c r="D252" t="s">
        <v>21</v>
      </c>
      <c r="E252" t="s">
        <v>105</v>
      </c>
      <c r="F252" t="s">
        <v>23</v>
      </c>
      <c r="G252" t="s">
        <v>35</v>
      </c>
      <c r="H252" t="s">
        <v>36</v>
      </c>
      <c r="I252">
        <v>5</v>
      </c>
      <c r="J252">
        <v>0</v>
      </c>
      <c r="K252">
        <v>5354.45</v>
      </c>
      <c r="L252">
        <v>627.76</v>
      </c>
      <c r="M252">
        <v>2025</v>
      </c>
      <c r="N252" t="s">
        <v>618</v>
      </c>
      <c r="O252" t="s">
        <v>625</v>
      </c>
      <c r="P252">
        <v>0.11724079970865355</v>
      </c>
    </row>
    <row r="253" spans="1:16" x14ac:dyDescent="0.3">
      <c r="A253" t="s">
        <v>353</v>
      </c>
      <c r="B253" s="12">
        <v>45834</v>
      </c>
      <c r="C253" t="s">
        <v>85</v>
      </c>
      <c r="D253" t="s">
        <v>21</v>
      </c>
      <c r="E253" t="s">
        <v>105</v>
      </c>
      <c r="F253" t="s">
        <v>23</v>
      </c>
      <c r="G253" t="s">
        <v>58</v>
      </c>
      <c r="H253" t="s">
        <v>101</v>
      </c>
      <c r="I253">
        <v>1</v>
      </c>
      <c r="J253">
        <v>0.1</v>
      </c>
      <c r="K253">
        <v>23859.7</v>
      </c>
      <c r="L253">
        <v>1616.61</v>
      </c>
      <c r="M253">
        <v>2025</v>
      </c>
      <c r="N253" t="s">
        <v>618</v>
      </c>
      <c r="O253" t="s">
        <v>625</v>
      </c>
      <c r="P253">
        <v>6.7754833463958053E-2</v>
      </c>
    </row>
    <row r="254" spans="1:16" x14ac:dyDescent="0.3">
      <c r="A254" t="s">
        <v>354</v>
      </c>
      <c r="B254" s="12">
        <v>45835</v>
      </c>
      <c r="C254" t="s">
        <v>229</v>
      </c>
      <c r="D254" t="s">
        <v>14</v>
      </c>
      <c r="E254" t="s">
        <v>15</v>
      </c>
      <c r="F254" t="s">
        <v>23</v>
      </c>
      <c r="G254" t="s">
        <v>58</v>
      </c>
      <c r="H254" t="s">
        <v>59</v>
      </c>
      <c r="I254">
        <v>6</v>
      </c>
      <c r="J254">
        <v>0.1</v>
      </c>
      <c r="K254">
        <v>298918.32</v>
      </c>
      <c r="L254">
        <v>54908.79</v>
      </c>
      <c r="M254">
        <v>2025</v>
      </c>
      <c r="N254" t="s">
        <v>618</v>
      </c>
      <c r="O254" t="s">
        <v>625</v>
      </c>
      <c r="P254">
        <v>0.18369161849966237</v>
      </c>
    </row>
    <row r="255" spans="1:16" x14ac:dyDescent="0.3">
      <c r="A255" t="s">
        <v>355</v>
      </c>
      <c r="B255" s="12">
        <v>45836</v>
      </c>
      <c r="C255" t="s">
        <v>100</v>
      </c>
      <c r="D255" t="s">
        <v>14</v>
      </c>
      <c r="E255" t="s">
        <v>15</v>
      </c>
      <c r="F255" t="s">
        <v>23</v>
      </c>
      <c r="G255" t="s">
        <v>24</v>
      </c>
      <c r="H255" t="s">
        <v>129</v>
      </c>
      <c r="I255">
        <v>5</v>
      </c>
      <c r="J255">
        <v>0</v>
      </c>
      <c r="K255">
        <v>157981.15</v>
      </c>
      <c r="L255">
        <v>38452.99</v>
      </c>
      <c r="M255">
        <v>2025</v>
      </c>
      <c r="N255" t="s">
        <v>618</v>
      </c>
      <c r="O255" t="s">
        <v>625</v>
      </c>
      <c r="P255">
        <v>0.24340239326020857</v>
      </c>
    </row>
    <row r="256" spans="1:16" x14ac:dyDescent="0.3">
      <c r="A256" t="s">
        <v>356</v>
      </c>
      <c r="B256" s="12">
        <v>45837</v>
      </c>
      <c r="C256" t="s">
        <v>143</v>
      </c>
      <c r="D256" t="s">
        <v>14</v>
      </c>
      <c r="E256" t="s">
        <v>15</v>
      </c>
      <c r="F256" t="s">
        <v>28</v>
      </c>
      <c r="G256" t="s">
        <v>92</v>
      </c>
      <c r="H256" t="s">
        <v>204</v>
      </c>
      <c r="I256">
        <v>1</v>
      </c>
      <c r="J256">
        <v>0</v>
      </c>
      <c r="K256">
        <v>2247.08</v>
      </c>
      <c r="L256">
        <v>483.84</v>
      </c>
      <c r="M256">
        <v>2025</v>
      </c>
      <c r="N256" t="s">
        <v>618</v>
      </c>
      <c r="O256" t="s">
        <v>625</v>
      </c>
      <c r="P256">
        <v>0.21531943678017693</v>
      </c>
    </row>
    <row r="257" spans="1:16" x14ac:dyDescent="0.3">
      <c r="A257" t="s">
        <v>357</v>
      </c>
      <c r="B257" s="12">
        <v>45838</v>
      </c>
      <c r="C257" t="s">
        <v>82</v>
      </c>
      <c r="D257" t="s">
        <v>39</v>
      </c>
      <c r="E257" t="s">
        <v>40</v>
      </c>
      <c r="F257" t="s">
        <v>23</v>
      </c>
      <c r="G257" t="s">
        <v>58</v>
      </c>
      <c r="H257" t="s">
        <v>59</v>
      </c>
      <c r="I257">
        <v>2</v>
      </c>
      <c r="J257">
        <v>0.2</v>
      </c>
      <c r="K257">
        <v>46709.66</v>
      </c>
      <c r="L257">
        <v>3222.99</v>
      </c>
      <c r="M257">
        <v>2025</v>
      </c>
      <c r="N257" t="s">
        <v>618</v>
      </c>
      <c r="O257" t="s">
        <v>625</v>
      </c>
      <c r="P257">
        <v>6.9000502251568507E-2</v>
      </c>
    </row>
    <row r="258" spans="1:16" x14ac:dyDescent="0.3">
      <c r="A258" t="s">
        <v>358</v>
      </c>
      <c r="B258" s="12">
        <v>45838</v>
      </c>
      <c r="C258" t="s">
        <v>109</v>
      </c>
      <c r="D258" t="s">
        <v>33</v>
      </c>
      <c r="E258" t="s">
        <v>45</v>
      </c>
      <c r="F258" t="s">
        <v>28</v>
      </c>
      <c r="G258" t="s">
        <v>74</v>
      </c>
      <c r="H258" t="s">
        <v>159</v>
      </c>
      <c r="I258">
        <v>7</v>
      </c>
      <c r="J258">
        <v>0.1</v>
      </c>
      <c r="K258">
        <v>4995.0600000000004</v>
      </c>
      <c r="L258">
        <v>250.27</v>
      </c>
      <c r="M258">
        <v>2025</v>
      </c>
      <c r="N258" t="s">
        <v>618</v>
      </c>
      <c r="O258" t="s">
        <v>625</v>
      </c>
      <c r="P258">
        <v>5.0103502260233107E-2</v>
      </c>
    </row>
    <row r="259" spans="1:16" x14ac:dyDescent="0.3">
      <c r="A259" t="s">
        <v>359</v>
      </c>
      <c r="B259" s="12">
        <v>45838</v>
      </c>
      <c r="C259" t="s">
        <v>61</v>
      </c>
      <c r="D259" t="s">
        <v>33</v>
      </c>
      <c r="E259" t="s">
        <v>45</v>
      </c>
      <c r="F259" t="s">
        <v>28</v>
      </c>
      <c r="G259" t="s">
        <v>71</v>
      </c>
      <c r="H259" t="s">
        <v>72</v>
      </c>
      <c r="I259">
        <v>2</v>
      </c>
      <c r="J259">
        <v>0.05</v>
      </c>
      <c r="K259">
        <v>764.08</v>
      </c>
      <c r="L259">
        <v>105.11</v>
      </c>
      <c r="M259">
        <v>2025</v>
      </c>
      <c r="N259" t="s">
        <v>618</v>
      </c>
      <c r="O259" t="s">
        <v>627</v>
      </c>
      <c r="P259">
        <v>0.13756412941053292</v>
      </c>
    </row>
    <row r="260" spans="1:16" x14ac:dyDescent="0.3">
      <c r="A260" t="s">
        <v>360</v>
      </c>
      <c r="B260" s="12">
        <v>45839</v>
      </c>
      <c r="C260" t="s">
        <v>135</v>
      </c>
      <c r="D260" t="s">
        <v>39</v>
      </c>
      <c r="E260" t="s">
        <v>128</v>
      </c>
      <c r="F260" t="s">
        <v>23</v>
      </c>
      <c r="G260" t="s">
        <v>58</v>
      </c>
      <c r="H260" t="s">
        <v>101</v>
      </c>
      <c r="I260">
        <v>3</v>
      </c>
      <c r="J260">
        <v>0.15</v>
      </c>
      <c r="K260">
        <v>106699.23</v>
      </c>
      <c r="L260">
        <v>11354.99</v>
      </c>
      <c r="M260">
        <v>2025</v>
      </c>
      <c r="N260" t="s">
        <v>619</v>
      </c>
      <c r="O260" t="s">
        <v>625</v>
      </c>
      <c r="P260">
        <v>0.10642054305359093</v>
      </c>
    </row>
    <row r="261" spans="1:16" x14ac:dyDescent="0.3">
      <c r="A261" t="s">
        <v>361</v>
      </c>
      <c r="B261" s="12">
        <v>45840</v>
      </c>
      <c r="C261" t="s">
        <v>77</v>
      </c>
      <c r="D261" t="s">
        <v>14</v>
      </c>
      <c r="E261" t="s">
        <v>114</v>
      </c>
      <c r="F261" t="s">
        <v>23</v>
      </c>
      <c r="G261" t="s">
        <v>35</v>
      </c>
      <c r="H261" t="s">
        <v>36</v>
      </c>
      <c r="I261">
        <v>7</v>
      </c>
      <c r="J261">
        <v>0.15</v>
      </c>
      <c r="K261">
        <v>86829.33</v>
      </c>
      <c r="L261">
        <v>3310.99</v>
      </c>
      <c r="M261">
        <v>2025</v>
      </c>
      <c r="N261" t="s">
        <v>619</v>
      </c>
      <c r="O261" t="s">
        <v>625</v>
      </c>
      <c r="P261">
        <v>3.8132161102705731E-2</v>
      </c>
    </row>
    <row r="262" spans="1:16" x14ac:dyDescent="0.3">
      <c r="A262" t="s">
        <v>362</v>
      </c>
      <c r="B262" s="12">
        <v>45841</v>
      </c>
      <c r="C262" t="s">
        <v>44</v>
      </c>
      <c r="D262" t="s">
        <v>21</v>
      </c>
      <c r="E262" t="s">
        <v>105</v>
      </c>
      <c r="F262" t="s">
        <v>23</v>
      </c>
      <c r="G262" t="s">
        <v>24</v>
      </c>
      <c r="H262" t="s">
        <v>129</v>
      </c>
      <c r="I262">
        <v>1</v>
      </c>
      <c r="J262">
        <v>0.15</v>
      </c>
      <c r="K262">
        <v>43952.86</v>
      </c>
      <c r="L262">
        <v>8453.6</v>
      </c>
      <c r="M262">
        <v>2025</v>
      </c>
      <c r="N262" t="s">
        <v>619</v>
      </c>
      <c r="O262" t="s">
        <v>625</v>
      </c>
      <c r="P262">
        <v>0.19233333166487915</v>
      </c>
    </row>
    <row r="263" spans="1:16" x14ac:dyDescent="0.3">
      <c r="A263" t="s">
        <v>363</v>
      </c>
      <c r="B263" s="12">
        <v>45842</v>
      </c>
      <c r="C263" t="s">
        <v>138</v>
      </c>
      <c r="D263" t="s">
        <v>39</v>
      </c>
      <c r="E263" t="s">
        <v>128</v>
      </c>
      <c r="F263" t="s">
        <v>28</v>
      </c>
      <c r="G263" t="s">
        <v>29</v>
      </c>
      <c r="H263" t="s">
        <v>30</v>
      </c>
      <c r="I263">
        <v>7</v>
      </c>
      <c r="J263">
        <v>0.1</v>
      </c>
      <c r="K263">
        <v>9419.9</v>
      </c>
      <c r="L263">
        <v>1206.73</v>
      </c>
      <c r="M263">
        <v>2025</v>
      </c>
      <c r="N263" t="s">
        <v>619</v>
      </c>
      <c r="O263" t="s">
        <v>625</v>
      </c>
      <c r="P263">
        <v>0.12810433231775284</v>
      </c>
    </row>
    <row r="264" spans="1:16" x14ac:dyDescent="0.3">
      <c r="A264" t="s">
        <v>364</v>
      </c>
      <c r="B264" s="12">
        <v>45844</v>
      </c>
      <c r="C264" t="s">
        <v>82</v>
      </c>
      <c r="D264" t="s">
        <v>21</v>
      </c>
      <c r="E264" t="s">
        <v>67</v>
      </c>
      <c r="F264" t="s">
        <v>23</v>
      </c>
      <c r="G264" t="s">
        <v>35</v>
      </c>
      <c r="H264" t="s">
        <v>36</v>
      </c>
      <c r="I264">
        <v>7</v>
      </c>
      <c r="J264">
        <v>0.2</v>
      </c>
      <c r="K264">
        <v>315890.96000000002</v>
      </c>
      <c r="L264">
        <v>47484.94</v>
      </c>
      <c r="M264">
        <v>2025</v>
      </c>
      <c r="N264" t="s">
        <v>619</v>
      </c>
      <c r="O264" t="s">
        <v>625</v>
      </c>
      <c r="P264">
        <v>0.15032066761264709</v>
      </c>
    </row>
    <row r="265" spans="1:16" x14ac:dyDescent="0.3">
      <c r="A265" t="s">
        <v>365</v>
      </c>
      <c r="B265" s="12">
        <v>45844</v>
      </c>
      <c r="C265" t="s">
        <v>150</v>
      </c>
      <c r="D265" t="s">
        <v>21</v>
      </c>
      <c r="E265" t="s">
        <v>67</v>
      </c>
      <c r="F265" t="s">
        <v>16</v>
      </c>
      <c r="G265" t="s">
        <v>17</v>
      </c>
      <c r="H265" t="s">
        <v>153</v>
      </c>
      <c r="I265">
        <v>6</v>
      </c>
      <c r="J265">
        <v>0.2</v>
      </c>
      <c r="K265">
        <v>28373.64</v>
      </c>
      <c r="L265">
        <v>1564.78</v>
      </c>
      <c r="M265">
        <v>2025</v>
      </c>
      <c r="N265" t="s">
        <v>619</v>
      </c>
      <c r="O265" t="s">
        <v>625</v>
      </c>
      <c r="P265">
        <v>5.5149074986501553E-2</v>
      </c>
    </row>
    <row r="266" spans="1:16" x14ac:dyDescent="0.3">
      <c r="A266" t="s">
        <v>366</v>
      </c>
      <c r="B266" s="12">
        <v>45844</v>
      </c>
      <c r="C266" t="s">
        <v>85</v>
      </c>
      <c r="D266" t="s">
        <v>21</v>
      </c>
      <c r="E266" t="s">
        <v>67</v>
      </c>
      <c r="F266" t="s">
        <v>16</v>
      </c>
      <c r="G266" t="s">
        <v>68</v>
      </c>
      <c r="H266" t="s">
        <v>175</v>
      </c>
      <c r="I266">
        <v>7</v>
      </c>
      <c r="J266">
        <v>0.15</v>
      </c>
      <c r="K266">
        <v>4018</v>
      </c>
      <c r="L266">
        <v>630.01</v>
      </c>
      <c r="M266">
        <v>2025</v>
      </c>
      <c r="N266" t="s">
        <v>619</v>
      </c>
      <c r="O266" t="s">
        <v>625</v>
      </c>
      <c r="P266">
        <v>0.15679691388750622</v>
      </c>
    </row>
    <row r="267" spans="1:16" x14ac:dyDescent="0.3">
      <c r="A267" t="s">
        <v>367</v>
      </c>
      <c r="B267" s="12">
        <v>45845</v>
      </c>
      <c r="C267" t="s">
        <v>229</v>
      </c>
      <c r="D267" t="s">
        <v>39</v>
      </c>
      <c r="E267" t="s">
        <v>52</v>
      </c>
      <c r="F267" t="s">
        <v>16</v>
      </c>
      <c r="G267" t="s">
        <v>62</v>
      </c>
      <c r="H267" t="s">
        <v>63</v>
      </c>
      <c r="I267">
        <v>2</v>
      </c>
      <c r="J267">
        <v>0.2</v>
      </c>
      <c r="K267">
        <v>21944.36</v>
      </c>
      <c r="L267">
        <v>1494.61</v>
      </c>
      <c r="M267">
        <v>2025</v>
      </c>
      <c r="N267" t="s">
        <v>619</v>
      </c>
      <c r="O267" t="s">
        <v>625</v>
      </c>
      <c r="P267">
        <v>6.8109072217189287E-2</v>
      </c>
    </row>
    <row r="268" spans="1:16" x14ac:dyDescent="0.3">
      <c r="A268" t="s">
        <v>368</v>
      </c>
      <c r="B268" s="12">
        <v>45845</v>
      </c>
      <c r="C268" t="s">
        <v>85</v>
      </c>
      <c r="D268" t="s">
        <v>33</v>
      </c>
      <c r="E268" t="s">
        <v>86</v>
      </c>
      <c r="F268" t="s">
        <v>23</v>
      </c>
      <c r="G268" t="s">
        <v>58</v>
      </c>
      <c r="H268" t="s">
        <v>78</v>
      </c>
      <c r="I268">
        <v>2</v>
      </c>
      <c r="J268">
        <v>0.1</v>
      </c>
      <c r="K268">
        <v>88683.839999999997</v>
      </c>
      <c r="L268">
        <v>9114.81</v>
      </c>
      <c r="M268">
        <v>2025</v>
      </c>
      <c r="N268" t="s">
        <v>619</v>
      </c>
      <c r="O268" t="s">
        <v>625</v>
      </c>
      <c r="P268">
        <v>0.10277870241072105</v>
      </c>
    </row>
    <row r="269" spans="1:16" x14ac:dyDescent="0.3">
      <c r="A269" t="s">
        <v>369</v>
      </c>
      <c r="B269" s="12">
        <v>45845</v>
      </c>
      <c r="C269" t="s">
        <v>82</v>
      </c>
      <c r="D269" t="s">
        <v>33</v>
      </c>
      <c r="E269" t="s">
        <v>140</v>
      </c>
      <c r="F269" t="s">
        <v>23</v>
      </c>
      <c r="G269" t="s">
        <v>58</v>
      </c>
      <c r="H269" t="s">
        <v>59</v>
      </c>
      <c r="I269">
        <v>5</v>
      </c>
      <c r="J269">
        <v>0.1</v>
      </c>
      <c r="K269">
        <v>195841.95</v>
      </c>
      <c r="L269">
        <v>34149.89</v>
      </c>
      <c r="M269">
        <v>2025</v>
      </c>
      <c r="N269" t="s">
        <v>619</v>
      </c>
      <c r="O269" t="s">
        <v>625</v>
      </c>
      <c r="P269">
        <v>0.17437474453251714</v>
      </c>
    </row>
    <row r="270" spans="1:16" x14ac:dyDescent="0.3">
      <c r="A270" t="s">
        <v>370</v>
      </c>
      <c r="B270" s="12">
        <v>45845</v>
      </c>
      <c r="C270" t="s">
        <v>135</v>
      </c>
      <c r="D270" t="s">
        <v>33</v>
      </c>
      <c r="E270" t="s">
        <v>140</v>
      </c>
      <c r="F270" t="s">
        <v>23</v>
      </c>
      <c r="G270" t="s">
        <v>24</v>
      </c>
      <c r="H270" t="s">
        <v>129</v>
      </c>
      <c r="I270">
        <v>7</v>
      </c>
      <c r="J270">
        <v>0.15</v>
      </c>
      <c r="K270">
        <v>144315.99</v>
      </c>
      <c r="L270">
        <v>17527.55</v>
      </c>
      <c r="M270">
        <v>2025</v>
      </c>
      <c r="N270" t="s">
        <v>619</v>
      </c>
      <c r="O270" t="s">
        <v>625</v>
      </c>
      <c r="P270">
        <v>0.12145258470665656</v>
      </c>
    </row>
    <row r="271" spans="1:16" x14ac:dyDescent="0.3">
      <c r="A271" t="s">
        <v>371</v>
      </c>
      <c r="B271" s="12">
        <v>45845</v>
      </c>
      <c r="C271" t="s">
        <v>100</v>
      </c>
      <c r="D271" t="s">
        <v>21</v>
      </c>
      <c r="E271" t="s">
        <v>57</v>
      </c>
      <c r="F271" t="s">
        <v>28</v>
      </c>
      <c r="G271" t="s">
        <v>74</v>
      </c>
      <c r="H271" t="s">
        <v>80</v>
      </c>
      <c r="I271">
        <v>7</v>
      </c>
      <c r="J271">
        <v>0.2</v>
      </c>
      <c r="K271">
        <v>17827.18</v>
      </c>
      <c r="L271">
        <v>1657.95</v>
      </c>
      <c r="M271">
        <v>2025</v>
      </c>
      <c r="N271" t="s">
        <v>619</v>
      </c>
      <c r="O271" t="s">
        <v>625</v>
      </c>
      <c r="P271">
        <v>9.3001248655143434E-2</v>
      </c>
    </row>
    <row r="272" spans="1:16" x14ac:dyDescent="0.3">
      <c r="A272" t="s">
        <v>372</v>
      </c>
      <c r="B272" s="12">
        <v>45846</v>
      </c>
      <c r="C272" t="s">
        <v>27</v>
      </c>
      <c r="D272" t="s">
        <v>21</v>
      </c>
      <c r="E272" t="s">
        <v>22</v>
      </c>
      <c r="F272" t="s">
        <v>16</v>
      </c>
      <c r="G272" t="s">
        <v>17</v>
      </c>
      <c r="H272" t="s">
        <v>18</v>
      </c>
      <c r="I272">
        <v>4</v>
      </c>
      <c r="J272">
        <v>0.1</v>
      </c>
      <c r="K272">
        <v>44237.56</v>
      </c>
      <c r="L272">
        <v>7703.04</v>
      </c>
      <c r="M272">
        <v>2025</v>
      </c>
      <c r="N272" t="s">
        <v>619</v>
      </c>
      <c r="O272" t="s">
        <v>625</v>
      </c>
      <c r="P272">
        <v>0.17412895286268049</v>
      </c>
    </row>
    <row r="273" spans="1:16" x14ac:dyDescent="0.3">
      <c r="A273" t="s">
        <v>373</v>
      </c>
      <c r="B273" s="12">
        <v>45846</v>
      </c>
      <c r="C273" t="s">
        <v>109</v>
      </c>
      <c r="D273" t="s">
        <v>14</v>
      </c>
      <c r="E273" t="s">
        <v>15</v>
      </c>
      <c r="F273" t="s">
        <v>28</v>
      </c>
      <c r="G273" t="s">
        <v>29</v>
      </c>
      <c r="H273" t="s">
        <v>98</v>
      </c>
      <c r="I273">
        <v>4</v>
      </c>
      <c r="J273">
        <v>0.2</v>
      </c>
      <c r="K273">
        <v>11356.04</v>
      </c>
      <c r="L273">
        <v>1691.05</v>
      </c>
      <c r="M273">
        <v>2025</v>
      </c>
      <c r="N273" t="s">
        <v>619</v>
      </c>
      <c r="O273" t="s">
        <v>625</v>
      </c>
      <c r="P273">
        <v>0.14891194465676413</v>
      </c>
    </row>
    <row r="274" spans="1:16" x14ac:dyDescent="0.3">
      <c r="A274" t="s">
        <v>374</v>
      </c>
      <c r="B274" s="12">
        <v>45846</v>
      </c>
      <c r="C274" t="s">
        <v>147</v>
      </c>
      <c r="D274" t="s">
        <v>39</v>
      </c>
      <c r="E274" t="s">
        <v>52</v>
      </c>
      <c r="F274" t="s">
        <v>28</v>
      </c>
      <c r="G274" t="s">
        <v>71</v>
      </c>
      <c r="H274" t="s">
        <v>121</v>
      </c>
      <c r="I274">
        <v>7</v>
      </c>
      <c r="J274">
        <v>0.1</v>
      </c>
      <c r="K274">
        <v>15992.06</v>
      </c>
      <c r="L274">
        <v>1968.18</v>
      </c>
      <c r="M274">
        <v>2025</v>
      </c>
      <c r="N274" t="s">
        <v>619</v>
      </c>
      <c r="O274" t="s">
        <v>625</v>
      </c>
      <c r="P274">
        <v>0.12307232464110315</v>
      </c>
    </row>
    <row r="275" spans="1:16" x14ac:dyDescent="0.3">
      <c r="A275" t="s">
        <v>375</v>
      </c>
      <c r="B275" s="12">
        <v>45846</v>
      </c>
      <c r="C275" t="s">
        <v>56</v>
      </c>
      <c r="D275" t="s">
        <v>33</v>
      </c>
      <c r="E275" t="s">
        <v>34</v>
      </c>
      <c r="F275" t="s">
        <v>23</v>
      </c>
      <c r="G275" t="s">
        <v>35</v>
      </c>
      <c r="H275" t="s">
        <v>155</v>
      </c>
      <c r="I275">
        <v>1</v>
      </c>
      <c r="J275">
        <v>0.2</v>
      </c>
      <c r="K275">
        <v>15540.12</v>
      </c>
      <c r="L275">
        <v>1205.04</v>
      </c>
      <c r="M275">
        <v>2025</v>
      </c>
      <c r="N275" t="s">
        <v>619</v>
      </c>
      <c r="O275" t="s">
        <v>625</v>
      </c>
      <c r="P275">
        <v>7.7543802750557903E-2</v>
      </c>
    </row>
    <row r="276" spans="1:16" x14ac:dyDescent="0.3">
      <c r="A276" t="s">
        <v>376</v>
      </c>
      <c r="B276" s="12">
        <v>45847</v>
      </c>
      <c r="C276" t="s">
        <v>143</v>
      </c>
      <c r="D276" t="s">
        <v>21</v>
      </c>
      <c r="E276" t="s">
        <v>67</v>
      </c>
      <c r="F276" t="s">
        <v>28</v>
      </c>
      <c r="G276" t="s">
        <v>74</v>
      </c>
      <c r="H276" t="s">
        <v>75</v>
      </c>
      <c r="I276">
        <v>5</v>
      </c>
      <c r="J276">
        <v>0.05</v>
      </c>
      <c r="K276">
        <v>10792.9</v>
      </c>
      <c r="L276">
        <v>1312.96</v>
      </c>
      <c r="M276">
        <v>2025</v>
      </c>
      <c r="N276" t="s">
        <v>619</v>
      </c>
      <c r="O276" t="s">
        <v>625</v>
      </c>
      <c r="P276">
        <v>0.12165034420776623</v>
      </c>
    </row>
    <row r="277" spans="1:16" x14ac:dyDescent="0.3">
      <c r="A277" t="s">
        <v>377</v>
      </c>
      <c r="B277" s="12">
        <v>45848</v>
      </c>
      <c r="C277" t="s">
        <v>66</v>
      </c>
      <c r="D277" t="s">
        <v>14</v>
      </c>
      <c r="E277" t="s">
        <v>97</v>
      </c>
      <c r="F277" t="s">
        <v>28</v>
      </c>
      <c r="G277" t="s">
        <v>29</v>
      </c>
      <c r="H277" t="s">
        <v>98</v>
      </c>
      <c r="I277">
        <v>5</v>
      </c>
      <c r="J277">
        <v>0.05</v>
      </c>
      <c r="K277">
        <v>22961.4</v>
      </c>
      <c r="L277">
        <v>3002.11</v>
      </c>
      <c r="M277">
        <v>2025</v>
      </c>
      <c r="N277" t="s">
        <v>619</v>
      </c>
      <c r="O277" t="s">
        <v>625</v>
      </c>
      <c r="P277">
        <v>0.13074594754675237</v>
      </c>
    </row>
    <row r="278" spans="1:16" x14ac:dyDescent="0.3">
      <c r="A278" t="s">
        <v>378</v>
      </c>
      <c r="B278" s="12">
        <v>45848</v>
      </c>
      <c r="C278" t="s">
        <v>104</v>
      </c>
      <c r="D278" t="s">
        <v>39</v>
      </c>
      <c r="E278" t="s">
        <v>128</v>
      </c>
      <c r="F278" t="s">
        <v>23</v>
      </c>
      <c r="G278" t="s">
        <v>35</v>
      </c>
      <c r="H278" t="s">
        <v>155</v>
      </c>
      <c r="I278">
        <v>3</v>
      </c>
      <c r="J278">
        <v>0.05</v>
      </c>
      <c r="K278">
        <v>67795.56</v>
      </c>
      <c r="L278">
        <v>11722.97</v>
      </c>
      <c r="M278">
        <v>2025</v>
      </c>
      <c r="N278" t="s">
        <v>619</v>
      </c>
      <c r="O278" t="s">
        <v>625</v>
      </c>
      <c r="P278">
        <v>0.17291648597636777</v>
      </c>
    </row>
    <row r="279" spans="1:16" x14ac:dyDescent="0.3">
      <c r="A279" t="s">
        <v>379</v>
      </c>
      <c r="B279" s="12">
        <v>45848</v>
      </c>
      <c r="C279" t="s">
        <v>147</v>
      </c>
      <c r="D279" t="s">
        <v>33</v>
      </c>
      <c r="E279" t="s">
        <v>45</v>
      </c>
      <c r="F279" t="s">
        <v>28</v>
      </c>
      <c r="G279" t="s">
        <v>92</v>
      </c>
      <c r="H279" t="s">
        <v>93</v>
      </c>
      <c r="I279">
        <v>7</v>
      </c>
      <c r="J279">
        <v>0.1</v>
      </c>
      <c r="K279">
        <v>9908.7099999999991</v>
      </c>
      <c r="L279">
        <v>731.4</v>
      </c>
      <c r="M279">
        <v>2025</v>
      </c>
      <c r="N279" t="s">
        <v>619</v>
      </c>
      <c r="O279" t="s">
        <v>625</v>
      </c>
      <c r="P279">
        <v>7.3813846605663105E-2</v>
      </c>
    </row>
    <row r="280" spans="1:16" x14ac:dyDescent="0.3">
      <c r="A280" t="s">
        <v>380</v>
      </c>
      <c r="B280" s="12">
        <v>45849</v>
      </c>
      <c r="C280" t="s">
        <v>32</v>
      </c>
      <c r="D280" t="s">
        <v>33</v>
      </c>
      <c r="E280" t="s">
        <v>34</v>
      </c>
      <c r="F280" t="s">
        <v>28</v>
      </c>
      <c r="G280" t="s">
        <v>74</v>
      </c>
      <c r="H280" t="s">
        <v>159</v>
      </c>
      <c r="I280">
        <v>2</v>
      </c>
      <c r="J280">
        <v>0.15</v>
      </c>
      <c r="K280">
        <v>5693.68</v>
      </c>
      <c r="L280">
        <v>167.04</v>
      </c>
      <c r="M280">
        <v>2025</v>
      </c>
      <c r="N280" t="s">
        <v>619</v>
      </c>
      <c r="O280" t="s">
        <v>625</v>
      </c>
      <c r="P280">
        <v>2.9337792078234108E-2</v>
      </c>
    </row>
    <row r="281" spans="1:16" x14ac:dyDescent="0.3">
      <c r="A281" t="s">
        <v>381</v>
      </c>
      <c r="B281" s="12">
        <v>45850</v>
      </c>
      <c r="C281" t="s">
        <v>104</v>
      </c>
      <c r="D281" t="s">
        <v>33</v>
      </c>
      <c r="E281" t="s">
        <v>140</v>
      </c>
      <c r="F281" t="s">
        <v>28</v>
      </c>
      <c r="G281" t="s">
        <v>71</v>
      </c>
      <c r="H281" t="s">
        <v>72</v>
      </c>
      <c r="I281">
        <v>3</v>
      </c>
      <c r="J281">
        <v>0.2</v>
      </c>
      <c r="K281">
        <v>7389.3</v>
      </c>
      <c r="L281">
        <v>1281.73</v>
      </c>
      <c r="M281">
        <v>2025</v>
      </c>
      <c r="N281" t="s">
        <v>619</v>
      </c>
      <c r="O281" t="s">
        <v>625</v>
      </c>
      <c r="P281">
        <v>0.17345756702258672</v>
      </c>
    </row>
    <row r="282" spans="1:16" x14ac:dyDescent="0.3">
      <c r="A282" t="s">
        <v>382</v>
      </c>
      <c r="B282" s="12">
        <v>45851</v>
      </c>
      <c r="C282" t="s">
        <v>56</v>
      </c>
      <c r="D282" t="s">
        <v>39</v>
      </c>
      <c r="E282" t="s">
        <v>52</v>
      </c>
      <c r="F282" t="s">
        <v>28</v>
      </c>
      <c r="G282" t="s">
        <v>71</v>
      </c>
      <c r="H282" t="s">
        <v>121</v>
      </c>
      <c r="I282">
        <v>7</v>
      </c>
      <c r="J282">
        <v>0.1</v>
      </c>
      <c r="K282">
        <v>25201.4</v>
      </c>
      <c r="L282">
        <v>4576.53</v>
      </c>
      <c r="M282">
        <v>2025</v>
      </c>
      <c r="N282" t="s">
        <v>619</v>
      </c>
      <c r="O282" t="s">
        <v>625</v>
      </c>
      <c r="P282">
        <v>0.18159824454196988</v>
      </c>
    </row>
    <row r="283" spans="1:16" x14ac:dyDescent="0.3">
      <c r="A283" t="s">
        <v>383</v>
      </c>
      <c r="B283" s="12">
        <v>45852</v>
      </c>
      <c r="C283" t="s">
        <v>77</v>
      </c>
      <c r="D283" t="s">
        <v>33</v>
      </c>
      <c r="E283" t="s">
        <v>34</v>
      </c>
      <c r="F283" t="s">
        <v>16</v>
      </c>
      <c r="G283" t="s">
        <v>17</v>
      </c>
      <c r="H283" t="s">
        <v>18</v>
      </c>
      <c r="I283">
        <v>1</v>
      </c>
      <c r="J283">
        <v>0.1</v>
      </c>
      <c r="K283">
        <v>6739.21</v>
      </c>
      <c r="L283">
        <v>724.54</v>
      </c>
      <c r="M283">
        <v>2025</v>
      </c>
      <c r="N283" t="s">
        <v>619</v>
      </c>
      <c r="O283" t="s">
        <v>625</v>
      </c>
      <c r="P283">
        <v>0.10751111777196436</v>
      </c>
    </row>
    <row r="284" spans="1:16" x14ac:dyDescent="0.3">
      <c r="A284" t="s">
        <v>384</v>
      </c>
      <c r="B284" s="12">
        <v>45852</v>
      </c>
      <c r="C284" t="s">
        <v>32</v>
      </c>
      <c r="D284" t="s">
        <v>14</v>
      </c>
      <c r="E284" t="s">
        <v>54</v>
      </c>
      <c r="F284" t="s">
        <v>16</v>
      </c>
      <c r="G284" t="s">
        <v>62</v>
      </c>
      <c r="H284" t="s">
        <v>63</v>
      </c>
      <c r="I284">
        <v>3</v>
      </c>
      <c r="J284">
        <v>0.05</v>
      </c>
      <c r="K284">
        <v>24530.73</v>
      </c>
      <c r="L284">
        <v>4043.38</v>
      </c>
      <c r="M284">
        <v>2025</v>
      </c>
      <c r="N284" t="s">
        <v>619</v>
      </c>
      <c r="O284" t="s">
        <v>625</v>
      </c>
      <c r="P284">
        <v>0.1648291754872358</v>
      </c>
    </row>
    <row r="285" spans="1:16" x14ac:dyDescent="0.3">
      <c r="A285" t="s">
        <v>385</v>
      </c>
      <c r="B285" s="12">
        <v>45854</v>
      </c>
      <c r="C285" t="s">
        <v>20</v>
      </c>
      <c r="D285" t="s">
        <v>39</v>
      </c>
      <c r="E285" t="s">
        <v>52</v>
      </c>
      <c r="F285" t="s">
        <v>23</v>
      </c>
      <c r="G285" t="s">
        <v>58</v>
      </c>
      <c r="H285" t="s">
        <v>59</v>
      </c>
      <c r="I285">
        <v>3</v>
      </c>
      <c r="J285">
        <v>0.05</v>
      </c>
      <c r="K285">
        <v>32475.93</v>
      </c>
      <c r="L285">
        <v>2548.91</v>
      </c>
      <c r="M285">
        <v>2025</v>
      </c>
      <c r="N285" t="s">
        <v>619</v>
      </c>
      <c r="O285" t="s">
        <v>625</v>
      </c>
      <c r="P285">
        <v>7.8486128033900801E-2</v>
      </c>
    </row>
    <row r="286" spans="1:16" x14ac:dyDescent="0.3">
      <c r="A286" t="s">
        <v>386</v>
      </c>
      <c r="B286" s="12">
        <v>45854</v>
      </c>
      <c r="C286" t="s">
        <v>104</v>
      </c>
      <c r="D286" t="s">
        <v>33</v>
      </c>
      <c r="E286" t="s">
        <v>34</v>
      </c>
      <c r="F286" t="s">
        <v>16</v>
      </c>
      <c r="G286" t="s">
        <v>62</v>
      </c>
      <c r="H286" t="s">
        <v>63</v>
      </c>
      <c r="I286">
        <v>6</v>
      </c>
      <c r="J286">
        <v>0.2</v>
      </c>
      <c r="K286">
        <v>66008.460000000006</v>
      </c>
      <c r="L286">
        <v>8808.2000000000007</v>
      </c>
      <c r="M286">
        <v>2025</v>
      </c>
      <c r="N286" t="s">
        <v>619</v>
      </c>
      <c r="O286" t="s">
        <v>625</v>
      </c>
      <c r="P286">
        <v>0.13344047111536914</v>
      </c>
    </row>
    <row r="287" spans="1:16" x14ac:dyDescent="0.3">
      <c r="A287" t="s">
        <v>387</v>
      </c>
      <c r="B287" s="12">
        <v>45855</v>
      </c>
      <c r="C287" t="s">
        <v>229</v>
      </c>
      <c r="D287" t="s">
        <v>21</v>
      </c>
      <c r="E287" t="s">
        <v>22</v>
      </c>
      <c r="F287" t="s">
        <v>28</v>
      </c>
      <c r="G287" t="s">
        <v>29</v>
      </c>
      <c r="H287" t="s">
        <v>98</v>
      </c>
      <c r="I287">
        <v>2</v>
      </c>
      <c r="J287">
        <v>0</v>
      </c>
      <c r="K287">
        <v>3454.68</v>
      </c>
      <c r="L287">
        <v>696.15</v>
      </c>
      <c r="M287">
        <v>2025</v>
      </c>
      <c r="N287" t="s">
        <v>619</v>
      </c>
      <c r="O287" t="s">
        <v>625</v>
      </c>
      <c r="P287">
        <v>0.20150925700788497</v>
      </c>
    </row>
    <row r="288" spans="1:16" x14ac:dyDescent="0.3">
      <c r="A288" t="s">
        <v>388</v>
      </c>
      <c r="B288" s="12">
        <v>45856</v>
      </c>
      <c r="C288" t="s">
        <v>150</v>
      </c>
      <c r="D288" t="s">
        <v>14</v>
      </c>
      <c r="E288" t="s">
        <v>15</v>
      </c>
      <c r="F288" t="s">
        <v>28</v>
      </c>
      <c r="G288" t="s">
        <v>92</v>
      </c>
      <c r="H288" t="s">
        <v>93</v>
      </c>
      <c r="I288">
        <v>7</v>
      </c>
      <c r="J288">
        <v>0.2</v>
      </c>
      <c r="K288">
        <v>33163.480000000003</v>
      </c>
      <c r="L288">
        <v>2696.4</v>
      </c>
      <c r="M288">
        <v>2025</v>
      </c>
      <c r="N288" t="s">
        <v>619</v>
      </c>
      <c r="O288" t="s">
        <v>625</v>
      </c>
      <c r="P288">
        <v>8.1306304404724708E-2</v>
      </c>
    </row>
    <row r="289" spans="1:16" x14ac:dyDescent="0.3">
      <c r="A289" t="s">
        <v>389</v>
      </c>
      <c r="B289" s="12">
        <v>45857</v>
      </c>
      <c r="C289" t="s">
        <v>13</v>
      </c>
      <c r="D289" t="s">
        <v>33</v>
      </c>
      <c r="E289" t="s">
        <v>140</v>
      </c>
      <c r="F289" t="s">
        <v>23</v>
      </c>
      <c r="G289" t="s">
        <v>48</v>
      </c>
      <c r="H289" t="s">
        <v>118</v>
      </c>
      <c r="I289">
        <v>2</v>
      </c>
      <c r="J289">
        <v>0.1</v>
      </c>
      <c r="K289">
        <v>49759.42</v>
      </c>
      <c r="L289">
        <v>10593.96</v>
      </c>
      <c r="M289">
        <v>2025</v>
      </c>
      <c r="N289" t="s">
        <v>619</v>
      </c>
      <c r="O289" t="s">
        <v>625</v>
      </c>
      <c r="P289">
        <v>0.21290360699541916</v>
      </c>
    </row>
    <row r="290" spans="1:16" x14ac:dyDescent="0.3">
      <c r="A290" t="s">
        <v>390</v>
      </c>
      <c r="B290" s="12">
        <v>45857</v>
      </c>
      <c r="C290" t="s">
        <v>109</v>
      </c>
      <c r="D290" t="s">
        <v>21</v>
      </c>
      <c r="E290" t="s">
        <v>67</v>
      </c>
      <c r="F290" t="s">
        <v>16</v>
      </c>
      <c r="G290" t="s">
        <v>17</v>
      </c>
      <c r="H290" t="s">
        <v>153</v>
      </c>
      <c r="I290">
        <v>6</v>
      </c>
      <c r="J290">
        <v>0.1</v>
      </c>
      <c r="K290">
        <v>12867.06</v>
      </c>
      <c r="L290">
        <v>2632.76</v>
      </c>
      <c r="M290">
        <v>2025</v>
      </c>
      <c r="N290" t="s">
        <v>619</v>
      </c>
      <c r="O290" t="s">
        <v>625</v>
      </c>
      <c r="P290">
        <v>0.20461239785934007</v>
      </c>
    </row>
    <row r="291" spans="1:16" x14ac:dyDescent="0.3">
      <c r="A291" t="s">
        <v>391</v>
      </c>
      <c r="B291" s="12">
        <v>45859</v>
      </c>
      <c r="C291" t="s">
        <v>95</v>
      </c>
      <c r="D291" t="s">
        <v>14</v>
      </c>
      <c r="E291" t="s">
        <v>97</v>
      </c>
      <c r="F291" t="s">
        <v>23</v>
      </c>
      <c r="G291" t="s">
        <v>58</v>
      </c>
      <c r="H291" t="s">
        <v>101</v>
      </c>
      <c r="I291">
        <v>7</v>
      </c>
      <c r="J291">
        <v>0</v>
      </c>
      <c r="K291">
        <v>183860.18</v>
      </c>
      <c r="L291">
        <v>44471.68</v>
      </c>
      <c r="M291">
        <v>2025</v>
      </c>
      <c r="N291" t="s">
        <v>619</v>
      </c>
      <c r="O291" t="s">
        <v>625</v>
      </c>
      <c r="P291">
        <v>0.24187771381492176</v>
      </c>
    </row>
    <row r="292" spans="1:16" x14ac:dyDescent="0.3">
      <c r="A292" t="s">
        <v>392</v>
      </c>
      <c r="B292" s="12">
        <v>45859</v>
      </c>
      <c r="C292" t="s">
        <v>77</v>
      </c>
      <c r="D292" t="s">
        <v>33</v>
      </c>
      <c r="E292" t="s">
        <v>140</v>
      </c>
      <c r="F292" t="s">
        <v>16</v>
      </c>
      <c r="G292" t="s">
        <v>68</v>
      </c>
      <c r="H292" t="s">
        <v>69</v>
      </c>
      <c r="I292">
        <v>2</v>
      </c>
      <c r="J292">
        <v>0.2</v>
      </c>
      <c r="K292">
        <v>23325.56</v>
      </c>
      <c r="L292">
        <v>4115.16</v>
      </c>
      <c r="M292">
        <v>2025</v>
      </c>
      <c r="N292" t="s">
        <v>619</v>
      </c>
      <c r="O292" t="s">
        <v>625</v>
      </c>
      <c r="P292">
        <v>0.17642277398699108</v>
      </c>
    </row>
    <row r="293" spans="1:16" x14ac:dyDescent="0.3">
      <c r="A293" t="s">
        <v>393</v>
      </c>
      <c r="B293" s="12">
        <v>45859</v>
      </c>
      <c r="C293" t="s">
        <v>229</v>
      </c>
      <c r="D293" t="s">
        <v>33</v>
      </c>
      <c r="E293" t="s">
        <v>140</v>
      </c>
      <c r="F293" t="s">
        <v>28</v>
      </c>
      <c r="G293" t="s">
        <v>71</v>
      </c>
      <c r="H293" t="s">
        <v>72</v>
      </c>
      <c r="I293">
        <v>4</v>
      </c>
      <c r="J293">
        <v>0.1</v>
      </c>
      <c r="K293">
        <v>531.52</v>
      </c>
      <c r="L293">
        <v>60.93</v>
      </c>
      <c r="M293">
        <v>2025</v>
      </c>
      <c r="N293" t="s">
        <v>619</v>
      </c>
      <c r="O293" t="s">
        <v>627</v>
      </c>
      <c r="P293">
        <v>0.11463350391330523</v>
      </c>
    </row>
    <row r="294" spans="1:16" x14ac:dyDescent="0.3">
      <c r="A294" t="s">
        <v>394</v>
      </c>
      <c r="B294" s="12">
        <v>45860</v>
      </c>
      <c r="C294" t="s">
        <v>147</v>
      </c>
      <c r="D294" t="s">
        <v>14</v>
      </c>
      <c r="E294" t="s">
        <v>97</v>
      </c>
      <c r="F294" t="s">
        <v>23</v>
      </c>
      <c r="G294" t="s">
        <v>24</v>
      </c>
      <c r="H294" t="s">
        <v>25</v>
      </c>
      <c r="I294">
        <v>3</v>
      </c>
      <c r="J294">
        <v>0</v>
      </c>
      <c r="K294">
        <v>35809.47</v>
      </c>
      <c r="L294">
        <v>3157.83</v>
      </c>
      <c r="M294">
        <v>2025</v>
      </c>
      <c r="N294" t="s">
        <v>619</v>
      </c>
      <c r="O294" t="s">
        <v>625</v>
      </c>
      <c r="P294">
        <v>8.8184214957663432E-2</v>
      </c>
    </row>
    <row r="295" spans="1:16" x14ac:dyDescent="0.3">
      <c r="A295" t="s">
        <v>395</v>
      </c>
      <c r="B295" s="12">
        <v>45860</v>
      </c>
      <c r="C295" t="s">
        <v>100</v>
      </c>
      <c r="D295" t="s">
        <v>33</v>
      </c>
      <c r="E295" t="s">
        <v>86</v>
      </c>
      <c r="F295" t="s">
        <v>28</v>
      </c>
      <c r="G295" t="s">
        <v>92</v>
      </c>
      <c r="H295" t="s">
        <v>93</v>
      </c>
      <c r="I295">
        <v>5</v>
      </c>
      <c r="J295">
        <v>0.05</v>
      </c>
      <c r="K295">
        <v>17032.25</v>
      </c>
      <c r="L295">
        <v>1383.2</v>
      </c>
      <c r="M295">
        <v>2025</v>
      </c>
      <c r="N295" t="s">
        <v>619</v>
      </c>
      <c r="O295" t="s">
        <v>625</v>
      </c>
      <c r="P295">
        <v>8.1210644512615782E-2</v>
      </c>
    </row>
    <row r="296" spans="1:16" x14ac:dyDescent="0.3">
      <c r="A296" t="s">
        <v>396</v>
      </c>
      <c r="B296" s="12">
        <v>45860</v>
      </c>
      <c r="C296" t="s">
        <v>13</v>
      </c>
      <c r="D296" t="s">
        <v>33</v>
      </c>
      <c r="E296" t="s">
        <v>86</v>
      </c>
      <c r="F296" t="s">
        <v>28</v>
      </c>
      <c r="G296" t="s">
        <v>71</v>
      </c>
      <c r="H296" t="s">
        <v>72</v>
      </c>
      <c r="I296">
        <v>3</v>
      </c>
      <c r="J296">
        <v>0.1</v>
      </c>
      <c r="K296">
        <v>8786.01</v>
      </c>
      <c r="L296">
        <v>1731.34</v>
      </c>
      <c r="M296">
        <v>2025</v>
      </c>
      <c r="N296" t="s">
        <v>619</v>
      </c>
      <c r="O296" t="s">
        <v>625</v>
      </c>
      <c r="P296">
        <v>0.19705645679893374</v>
      </c>
    </row>
    <row r="297" spans="1:16" x14ac:dyDescent="0.3">
      <c r="A297" t="s">
        <v>397</v>
      </c>
      <c r="B297" s="12">
        <v>45860</v>
      </c>
      <c r="C297" t="s">
        <v>56</v>
      </c>
      <c r="D297" t="s">
        <v>21</v>
      </c>
      <c r="E297" t="s">
        <v>105</v>
      </c>
      <c r="F297" t="s">
        <v>28</v>
      </c>
      <c r="G297" t="s">
        <v>29</v>
      </c>
      <c r="H297" t="s">
        <v>30</v>
      </c>
      <c r="I297">
        <v>2</v>
      </c>
      <c r="J297">
        <v>0.15</v>
      </c>
      <c r="K297">
        <v>2943.8</v>
      </c>
      <c r="L297">
        <v>183.58</v>
      </c>
      <c r="M297">
        <v>2025</v>
      </c>
      <c r="N297" t="s">
        <v>619</v>
      </c>
      <c r="O297" t="s">
        <v>625</v>
      </c>
      <c r="P297">
        <v>6.2361573476459001E-2</v>
      </c>
    </row>
    <row r="298" spans="1:16" x14ac:dyDescent="0.3">
      <c r="A298" t="s">
        <v>398</v>
      </c>
      <c r="B298" s="12">
        <v>45863</v>
      </c>
      <c r="C298" t="s">
        <v>51</v>
      </c>
      <c r="D298" t="s">
        <v>33</v>
      </c>
      <c r="E298" t="s">
        <v>45</v>
      </c>
      <c r="F298" t="s">
        <v>23</v>
      </c>
      <c r="G298" t="s">
        <v>24</v>
      </c>
      <c r="H298" t="s">
        <v>132</v>
      </c>
      <c r="I298">
        <v>2</v>
      </c>
      <c r="J298">
        <v>0.05</v>
      </c>
      <c r="K298">
        <v>40702.1</v>
      </c>
      <c r="L298">
        <v>9221.8799999999992</v>
      </c>
      <c r="M298">
        <v>2025</v>
      </c>
      <c r="N298" t="s">
        <v>619</v>
      </c>
      <c r="O298" t="s">
        <v>625</v>
      </c>
      <c r="P298">
        <v>0.22657012783124211</v>
      </c>
    </row>
    <row r="299" spans="1:16" x14ac:dyDescent="0.3">
      <c r="A299" t="s">
        <v>399</v>
      </c>
      <c r="B299" s="12">
        <v>45866</v>
      </c>
      <c r="C299" t="s">
        <v>32</v>
      </c>
      <c r="D299" t="s">
        <v>14</v>
      </c>
      <c r="E299" t="s">
        <v>97</v>
      </c>
      <c r="F299" t="s">
        <v>23</v>
      </c>
      <c r="G299" t="s">
        <v>35</v>
      </c>
      <c r="H299" t="s">
        <v>36</v>
      </c>
      <c r="I299">
        <v>5</v>
      </c>
      <c r="J299">
        <v>0.15</v>
      </c>
      <c r="K299">
        <v>54981.599999999999</v>
      </c>
      <c r="L299">
        <v>8449.74</v>
      </c>
      <c r="M299">
        <v>2025</v>
      </c>
      <c r="N299" t="s">
        <v>619</v>
      </c>
      <c r="O299" t="s">
        <v>625</v>
      </c>
      <c r="P299">
        <v>0.15368305032956481</v>
      </c>
    </row>
    <row r="300" spans="1:16" x14ac:dyDescent="0.3">
      <c r="A300" t="s">
        <v>400</v>
      </c>
      <c r="B300" s="12">
        <v>45870</v>
      </c>
      <c r="C300" t="s">
        <v>104</v>
      </c>
      <c r="D300" t="s">
        <v>33</v>
      </c>
      <c r="E300" t="s">
        <v>140</v>
      </c>
      <c r="F300" t="s">
        <v>16</v>
      </c>
      <c r="G300" t="s">
        <v>68</v>
      </c>
      <c r="H300" t="s">
        <v>175</v>
      </c>
      <c r="I300">
        <v>5</v>
      </c>
      <c r="J300">
        <v>0.05</v>
      </c>
      <c r="K300">
        <v>16052.3</v>
      </c>
      <c r="L300">
        <v>3480.74</v>
      </c>
      <c r="M300">
        <v>2025</v>
      </c>
      <c r="N300" t="s">
        <v>620</v>
      </c>
      <c r="O300" t="s">
        <v>625</v>
      </c>
      <c r="P300">
        <v>0.2168374625443083</v>
      </c>
    </row>
    <row r="301" spans="1:16" x14ac:dyDescent="0.3">
      <c r="A301" t="s">
        <v>401</v>
      </c>
      <c r="B301" s="12">
        <v>45870</v>
      </c>
      <c r="C301" t="s">
        <v>82</v>
      </c>
      <c r="D301" t="s">
        <v>33</v>
      </c>
      <c r="E301" t="s">
        <v>45</v>
      </c>
      <c r="F301" t="s">
        <v>28</v>
      </c>
      <c r="G301" t="s">
        <v>74</v>
      </c>
      <c r="H301" t="s">
        <v>80</v>
      </c>
      <c r="I301">
        <v>2</v>
      </c>
      <c r="J301">
        <v>0.15</v>
      </c>
      <c r="K301">
        <v>8228.7000000000007</v>
      </c>
      <c r="L301">
        <v>695.2</v>
      </c>
      <c r="M301">
        <v>2025</v>
      </c>
      <c r="N301" t="s">
        <v>620</v>
      </c>
      <c r="O301" t="s">
        <v>625</v>
      </c>
      <c r="P301">
        <v>8.4484791036251172E-2</v>
      </c>
    </row>
    <row r="302" spans="1:16" x14ac:dyDescent="0.3">
      <c r="A302" t="s">
        <v>402</v>
      </c>
      <c r="B302" s="12">
        <v>45871</v>
      </c>
      <c r="C302" t="s">
        <v>27</v>
      </c>
      <c r="D302" t="s">
        <v>39</v>
      </c>
      <c r="E302" t="s">
        <v>47</v>
      </c>
      <c r="F302" t="s">
        <v>23</v>
      </c>
      <c r="G302" t="s">
        <v>48</v>
      </c>
      <c r="H302" t="s">
        <v>49</v>
      </c>
      <c r="I302">
        <v>2</v>
      </c>
      <c r="J302">
        <v>0.05</v>
      </c>
      <c r="K302">
        <v>22465.22</v>
      </c>
      <c r="L302">
        <v>2071.5500000000002</v>
      </c>
      <c r="M302">
        <v>2025</v>
      </c>
      <c r="N302" t="s">
        <v>620</v>
      </c>
      <c r="O302" t="s">
        <v>625</v>
      </c>
      <c r="P302">
        <v>9.221142726401077E-2</v>
      </c>
    </row>
    <row r="303" spans="1:16" x14ac:dyDescent="0.3">
      <c r="A303" t="s">
        <v>403</v>
      </c>
      <c r="B303" s="12">
        <v>45871</v>
      </c>
      <c r="C303" t="s">
        <v>20</v>
      </c>
      <c r="D303" t="s">
        <v>33</v>
      </c>
      <c r="E303" t="s">
        <v>34</v>
      </c>
      <c r="F303" t="s">
        <v>28</v>
      </c>
      <c r="G303" t="s">
        <v>74</v>
      </c>
      <c r="H303" t="s">
        <v>159</v>
      </c>
      <c r="I303">
        <v>1</v>
      </c>
      <c r="J303">
        <v>0</v>
      </c>
      <c r="K303">
        <v>1286.02</v>
      </c>
      <c r="L303">
        <v>227.69</v>
      </c>
      <c r="M303">
        <v>2025</v>
      </c>
      <c r="N303" t="s">
        <v>620</v>
      </c>
      <c r="O303" t="s">
        <v>625</v>
      </c>
      <c r="P303">
        <v>0.17705012363726846</v>
      </c>
    </row>
    <row r="304" spans="1:16" x14ac:dyDescent="0.3">
      <c r="A304" t="s">
        <v>404</v>
      </c>
      <c r="B304" s="12">
        <v>45871</v>
      </c>
      <c r="C304" t="s">
        <v>229</v>
      </c>
      <c r="D304" t="s">
        <v>39</v>
      </c>
      <c r="E304" t="s">
        <v>52</v>
      </c>
      <c r="F304" t="s">
        <v>23</v>
      </c>
      <c r="G304" t="s">
        <v>35</v>
      </c>
      <c r="H304" t="s">
        <v>36</v>
      </c>
      <c r="I304">
        <v>7</v>
      </c>
      <c r="J304">
        <v>0.05</v>
      </c>
      <c r="K304">
        <v>161582.54</v>
      </c>
      <c r="L304">
        <v>10624.8</v>
      </c>
      <c r="M304">
        <v>2025</v>
      </c>
      <c r="N304" t="s">
        <v>620</v>
      </c>
      <c r="O304" t="s">
        <v>625</v>
      </c>
      <c r="P304">
        <v>6.5754629182088603E-2</v>
      </c>
    </row>
    <row r="305" spans="1:16" x14ac:dyDescent="0.3">
      <c r="A305" t="s">
        <v>405</v>
      </c>
      <c r="B305" s="12">
        <v>45871</v>
      </c>
      <c r="C305" t="s">
        <v>44</v>
      </c>
      <c r="D305" t="s">
        <v>21</v>
      </c>
      <c r="E305" t="s">
        <v>105</v>
      </c>
      <c r="F305" t="s">
        <v>16</v>
      </c>
      <c r="G305" t="s">
        <v>17</v>
      </c>
      <c r="H305" t="s">
        <v>18</v>
      </c>
      <c r="I305">
        <v>4</v>
      </c>
      <c r="J305">
        <v>0.2</v>
      </c>
      <c r="K305">
        <v>13752.68</v>
      </c>
      <c r="L305">
        <v>1192.5</v>
      </c>
      <c r="M305">
        <v>2025</v>
      </c>
      <c r="N305" t="s">
        <v>620</v>
      </c>
      <c r="O305" t="s">
        <v>625</v>
      </c>
      <c r="P305">
        <v>8.671037208747677E-2</v>
      </c>
    </row>
    <row r="306" spans="1:16" x14ac:dyDescent="0.3">
      <c r="A306" t="s">
        <v>406</v>
      </c>
      <c r="B306" s="12">
        <v>45872</v>
      </c>
      <c r="C306" t="s">
        <v>77</v>
      </c>
      <c r="D306" t="s">
        <v>14</v>
      </c>
      <c r="E306" t="s">
        <v>97</v>
      </c>
      <c r="F306" t="s">
        <v>23</v>
      </c>
      <c r="G306" t="s">
        <v>58</v>
      </c>
      <c r="H306" t="s">
        <v>59</v>
      </c>
      <c r="I306">
        <v>7</v>
      </c>
      <c r="J306">
        <v>0.05</v>
      </c>
      <c r="K306">
        <v>305778.27</v>
      </c>
      <c r="L306">
        <v>25062.47</v>
      </c>
      <c r="M306">
        <v>2025</v>
      </c>
      <c r="N306" t="s">
        <v>620</v>
      </c>
      <c r="O306" t="s">
        <v>625</v>
      </c>
      <c r="P306">
        <v>8.1962887683287633E-2</v>
      </c>
    </row>
    <row r="307" spans="1:16" x14ac:dyDescent="0.3">
      <c r="A307" t="s">
        <v>407</v>
      </c>
      <c r="B307" s="12">
        <v>45872</v>
      </c>
      <c r="C307" t="s">
        <v>32</v>
      </c>
      <c r="D307" t="s">
        <v>39</v>
      </c>
      <c r="E307" t="s">
        <v>52</v>
      </c>
      <c r="F307" t="s">
        <v>16</v>
      </c>
      <c r="G307" t="s">
        <v>62</v>
      </c>
      <c r="H307" t="s">
        <v>180</v>
      </c>
      <c r="I307">
        <v>5</v>
      </c>
      <c r="J307">
        <v>0.15</v>
      </c>
      <c r="K307">
        <v>40112.65</v>
      </c>
      <c r="L307">
        <v>6917</v>
      </c>
      <c r="M307">
        <v>2025</v>
      </c>
      <c r="N307" t="s">
        <v>620</v>
      </c>
      <c r="O307" t="s">
        <v>625</v>
      </c>
      <c r="P307">
        <v>0.17243936763090945</v>
      </c>
    </row>
    <row r="308" spans="1:16" x14ac:dyDescent="0.3">
      <c r="A308" t="s">
        <v>408</v>
      </c>
      <c r="B308" s="12">
        <v>45873</v>
      </c>
      <c r="C308" t="s">
        <v>61</v>
      </c>
      <c r="D308" t="s">
        <v>14</v>
      </c>
      <c r="E308" t="s">
        <v>54</v>
      </c>
      <c r="F308" t="s">
        <v>16</v>
      </c>
      <c r="G308" t="s">
        <v>41</v>
      </c>
      <c r="H308" t="s">
        <v>177</v>
      </c>
      <c r="I308">
        <v>4</v>
      </c>
      <c r="J308">
        <v>0.1</v>
      </c>
      <c r="K308">
        <v>10182.84</v>
      </c>
      <c r="L308">
        <v>897.61</v>
      </c>
      <c r="M308">
        <v>2025</v>
      </c>
      <c r="N308" t="s">
        <v>620</v>
      </c>
      <c r="O308" t="s">
        <v>625</v>
      </c>
      <c r="P308">
        <v>8.8149278590255759E-2</v>
      </c>
    </row>
    <row r="309" spans="1:16" x14ac:dyDescent="0.3">
      <c r="A309" t="s">
        <v>409</v>
      </c>
      <c r="B309" s="12">
        <v>45873</v>
      </c>
      <c r="C309" t="s">
        <v>61</v>
      </c>
      <c r="D309" t="s">
        <v>21</v>
      </c>
      <c r="E309" t="s">
        <v>22</v>
      </c>
      <c r="F309" t="s">
        <v>23</v>
      </c>
      <c r="G309" t="s">
        <v>48</v>
      </c>
      <c r="H309" t="s">
        <v>118</v>
      </c>
      <c r="I309">
        <v>4</v>
      </c>
      <c r="J309">
        <v>0.15</v>
      </c>
      <c r="K309">
        <v>89488.28</v>
      </c>
      <c r="L309">
        <v>17264.349999999999</v>
      </c>
      <c r="M309">
        <v>2025</v>
      </c>
      <c r="N309" t="s">
        <v>620</v>
      </c>
      <c r="O309" t="s">
        <v>625</v>
      </c>
      <c r="P309">
        <v>0.1929230285798319</v>
      </c>
    </row>
    <row r="310" spans="1:16" x14ac:dyDescent="0.3">
      <c r="A310" t="s">
        <v>410</v>
      </c>
      <c r="B310" s="12">
        <v>45875</v>
      </c>
      <c r="C310" t="s">
        <v>179</v>
      </c>
      <c r="D310" t="s">
        <v>21</v>
      </c>
      <c r="E310" t="s">
        <v>22</v>
      </c>
      <c r="F310" t="s">
        <v>28</v>
      </c>
      <c r="G310" t="s">
        <v>92</v>
      </c>
      <c r="H310" t="s">
        <v>93</v>
      </c>
      <c r="I310">
        <v>5</v>
      </c>
      <c r="J310">
        <v>0</v>
      </c>
      <c r="K310">
        <v>12100.05</v>
      </c>
      <c r="L310">
        <v>1923.84</v>
      </c>
      <c r="M310">
        <v>2025</v>
      </c>
      <c r="N310" t="s">
        <v>620</v>
      </c>
      <c r="O310" t="s">
        <v>625</v>
      </c>
      <c r="P310">
        <v>0.15899438432072596</v>
      </c>
    </row>
    <row r="311" spans="1:16" x14ac:dyDescent="0.3">
      <c r="A311" t="s">
        <v>411</v>
      </c>
      <c r="B311" s="12">
        <v>45876</v>
      </c>
      <c r="C311" t="s">
        <v>77</v>
      </c>
      <c r="D311" t="s">
        <v>33</v>
      </c>
      <c r="E311" t="s">
        <v>140</v>
      </c>
      <c r="F311" t="s">
        <v>16</v>
      </c>
      <c r="G311" t="s">
        <v>62</v>
      </c>
      <c r="H311" t="s">
        <v>63</v>
      </c>
      <c r="I311">
        <v>4</v>
      </c>
      <c r="J311">
        <v>0.1</v>
      </c>
      <c r="K311">
        <v>5405.96</v>
      </c>
      <c r="L311">
        <v>431.97</v>
      </c>
      <c r="M311">
        <v>2025</v>
      </c>
      <c r="N311" t="s">
        <v>620</v>
      </c>
      <c r="O311" t="s">
        <v>625</v>
      </c>
      <c r="P311">
        <v>7.9906251618583932E-2</v>
      </c>
    </row>
    <row r="312" spans="1:16" x14ac:dyDescent="0.3">
      <c r="A312" t="s">
        <v>412</v>
      </c>
      <c r="B312" s="12">
        <v>45877</v>
      </c>
      <c r="C312" t="s">
        <v>27</v>
      </c>
      <c r="D312" t="s">
        <v>21</v>
      </c>
      <c r="E312" t="s">
        <v>57</v>
      </c>
      <c r="F312" t="s">
        <v>23</v>
      </c>
      <c r="G312" t="s">
        <v>58</v>
      </c>
      <c r="H312" t="s">
        <v>78</v>
      </c>
      <c r="I312">
        <v>7</v>
      </c>
      <c r="J312">
        <v>0.2</v>
      </c>
      <c r="K312">
        <v>339572.8</v>
      </c>
      <c r="L312">
        <v>17254.38</v>
      </c>
      <c r="M312">
        <v>2025</v>
      </c>
      <c r="N312" t="s">
        <v>620</v>
      </c>
      <c r="O312" t="s">
        <v>625</v>
      </c>
      <c r="P312">
        <v>5.0812020279598372E-2</v>
      </c>
    </row>
    <row r="313" spans="1:16" x14ac:dyDescent="0.3">
      <c r="A313" t="s">
        <v>413</v>
      </c>
      <c r="B313" s="12">
        <v>45878</v>
      </c>
      <c r="C313" t="s">
        <v>66</v>
      </c>
      <c r="D313" t="s">
        <v>21</v>
      </c>
      <c r="E313" t="s">
        <v>57</v>
      </c>
      <c r="F313" t="s">
        <v>16</v>
      </c>
      <c r="G313" t="s">
        <v>68</v>
      </c>
      <c r="H313" t="s">
        <v>69</v>
      </c>
      <c r="I313">
        <v>5</v>
      </c>
      <c r="J313">
        <v>0.1</v>
      </c>
      <c r="K313">
        <v>43851.7</v>
      </c>
      <c r="L313">
        <v>5160.26</v>
      </c>
      <c r="M313">
        <v>2025</v>
      </c>
      <c r="N313" t="s">
        <v>620</v>
      </c>
      <c r="O313" t="s">
        <v>625</v>
      </c>
      <c r="P313">
        <v>0.11767525546330018</v>
      </c>
    </row>
    <row r="314" spans="1:16" x14ac:dyDescent="0.3">
      <c r="A314" t="s">
        <v>414</v>
      </c>
      <c r="B314" s="12">
        <v>45881</v>
      </c>
      <c r="C314" t="s">
        <v>179</v>
      </c>
      <c r="D314" t="s">
        <v>39</v>
      </c>
      <c r="E314" t="s">
        <v>40</v>
      </c>
      <c r="F314" t="s">
        <v>16</v>
      </c>
      <c r="G314" t="s">
        <v>17</v>
      </c>
      <c r="H314" t="s">
        <v>88</v>
      </c>
      <c r="I314">
        <v>6</v>
      </c>
      <c r="J314">
        <v>0.2</v>
      </c>
      <c r="K314">
        <v>40357.14</v>
      </c>
      <c r="L314">
        <v>3682.16</v>
      </c>
      <c r="M314">
        <v>2025</v>
      </c>
      <c r="N314" t="s">
        <v>620</v>
      </c>
      <c r="O314" t="s">
        <v>625</v>
      </c>
      <c r="P314">
        <v>9.1239369291282776E-2</v>
      </c>
    </row>
    <row r="315" spans="1:16" x14ac:dyDescent="0.3">
      <c r="A315" t="s">
        <v>415</v>
      </c>
      <c r="B315" s="12">
        <v>45883</v>
      </c>
      <c r="C315" t="s">
        <v>51</v>
      </c>
      <c r="D315" t="s">
        <v>39</v>
      </c>
      <c r="E315" t="s">
        <v>40</v>
      </c>
      <c r="F315" t="s">
        <v>16</v>
      </c>
      <c r="G315" t="s">
        <v>17</v>
      </c>
      <c r="H315" t="s">
        <v>18</v>
      </c>
      <c r="I315">
        <v>2</v>
      </c>
      <c r="J315">
        <v>0</v>
      </c>
      <c r="K315">
        <v>19618.86</v>
      </c>
      <c r="L315">
        <v>3406.73</v>
      </c>
      <c r="M315">
        <v>2025</v>
      </c>
      <c r="N315" t="s">
        <v>620</v>
      </c>
      <c r="O315" t="s">
        <v>625</v>
      </c>
      <c r="P315">
        <v>0.17364566544641227</v>
      </c>
    </row>
    <row r="316" spans="1:16" x14ac:dyDescent="0.3">
      <c r="A316" t="s">
        <v>416</v>
      </c>
      <c r="B316" s="12">
        <v>45885</v>
      </c>
      <c r="C316" t="s">
        <v>85</v>
      </c>
      <c r="D316" t="s">
        <v>33</v>
      </c>
      <c r="E316" t="s">
        <v>86</v>
      </c>
      <c r="F316" t="s">
        <v>28</v>
      </c>
      <c r="G316" t="s">
        <v>71</v>
      </c>
      <c r="H316" t="s">
        <v>72</v>
      </c>
      <c r="I316">
        <v>4</v>
      </c>
      <c r="J316">
        <v>0.2</v>
      </c>
      <c r="K316">
        <v>8186.84</v>
      </c>
      <c r="L316">
        <v>833.23</v>
      </c>
      <c r="M316">
        <v>2025</v>
      </c>
      <c r="N316" t="s">
        <v>620</v>
      </c>
      <c r="O316" t="s">
        <v>625</v>
      </c>
      <c r="P316">
        <v>0.10177675391237645</v>
      </c>
    </row>
    <row r="317" spans="1:16" x14ac:dyDescent="0.3">
      <c r="A317" t="s">
        <v>417</v>
      </c>
      <c r="B317" s="12">
        <v>45885</v>
      </c>
      <c r="C317" t="s">
        <v>100</v>
      </c>
      <c r="D317" t="s">
        <v>33</v>
      </c>
      <c r="E317" t="s">
        <v>34</v>
      </c>
      <c r="F317" t="s">
        <v>28</v>
      </c>
      <c r="G317" t="s">
        <v>29</v>
      </c>
      <c r="H317" t="s">
        <v>30</v>
      </c>
      <c r="I317">
        <v>4</v>
      </c>
      <c r="J317">
        <v>0.1</v>
      </c>
      <c r="K317">
        <v>15583.2</v>
      </c>
      <c r="L317">
        <v>1191.8499999999999</v>
      </c>
      <c r="M317">
        <v>2025</v>
      </c>
      <c r="N317" t="s">
        <v>620</v>
      </c>
      <c r="O317" t="s">
        <v>625</v>
      </c>
      <c r="P317">
        <v>7.6483007341239279E-2</v>
      </c>
    </row>
    <row r="318" spans="1:16" x14ac:dyDescent="0.3">
      <c r="A318" t="s">
        <v>418</v>
      </c>
      <c r="B318" s="12">
        <v>45886</v>
      </c>
      <c r="C318" t="s">
        <v>13</v>
      </c>
      <c r="D318" t="s">
        <v>21</v>
      </c>
      <c r="E318" t="s">
        <v>105</v>
      </c>
      <c r="F318" t="s">
        <v>23</v>
      </c>
      <c r="G318" t="s">
        <v>24</v>
      </c>
      <c r="H318" t="s">
        <v>25</v>
      </c>
      <c r="I318">
        <v>1</v>
      </c>
      <c r="J318">
        <v>0.2</v>
      </c>
      <c r="K318">
        <v>1170.69</v>
      </c>
      <c r="L318">
        <v>42.13</v>
      </c>
      <c r="M318">
        <v>2025</v>
      </c>
      <c r="N318" t="s">
        <v>620</v>
      </c>
      <c r="O318" t="s">
        <v>625</v>
      </c>
      <c r="P318">
        <v>3.5987323715074016E-2</v>
      </c>
    </row>
    <row r="319" spans="1:16" x14ac:dyDescent="0.3">
      <c r="A319" t="s">
        <v>419</v>
      </c>
      <c r="B319" s="12">
        <v>45886</v>
      </c>
      <c r="C319" t="s">
        <v>66</v>
      </c>
      <c r="D319" t="s">
        <v>33</v>
      </c>
      <c r="E319" t="s">
        <v>34</v>
      </c>
      <c r="F319" t="s">
        <v>23</v>
      </c>
      <c r="G319" t="s">
        <v>58</v>
      </c>
      <c r="H319" t="s">
        <v>78</v>
      </c>
      <c r="I319">
        <v>3</v>
      </c>
      <c r="J319">
        <v>0</v>
      </c>
      <c r="K319">
        <v>105042.69</v>
      </c>
      <c r="L319">
        <v>17744.509999999998</v>
      </c>
      <c r="M319">
        <v>2025</v>
      </c>
      <c r="N319" t="s">
        <v>620</v>
      </c>
      <c r="O319" t="s">
        <v>625</v>
      </c>
      <c r="P319">
        <v>0.1689266525828689</v>
      </c>
    </row>
    <row r="320" spans="1:16" x14ac:dyDescent="0.3">
      <c r="A320" t="s">
        <v>420</v>
      </c>
      <c r="B320" s="12">
        <v>45887</v>
      </c>
      <c r="C320" t="s">
        <v>95</v>
      </c>
      <c r="D320" t="s">
        <v>21</v>
      </c>
      <c r="E320" t="s">
        <v>22</v>
      </c>
      <c r="F320" t="s">
        <v>28</v>
      </c>
      <c r="G320" t="s">
        <v>29</v>
      </c>
      <c r="H320" t="s">
        <v>30</v>
      </c>
      <c r="I320">
        <v>4</v>
      </c>
      <c r="J320">
        <v>0.1</v>
      </c>
      <c r="K320">
        <v>1939.72</v>
      </c>
      <c r="L320">
        <v>282.77999999999997</v>
      </c>
      <c r="M320">
        <v>2025</v>
      </c>
      <c r="N320" t="s">
        <v>620</v>
      </c>
      <c r="O320" t="s">
        <v>625</v>
      </c>
      <c r="P320">
        <v>0.14578392757717606</v>
      </c>
    </row>
    <row r="321" spans="1:16" x14ac:dyDescent="0.3">
      <c r="A321" t="s">
        <v>421</v>
      </c>
      <c r="B321" s="12">
        <v>45887</v>
      </c>
      <c r="C321" t="s">
        <v>143</v>
      </c>
      <c r="D321" t="s">
        <v>39</v>
      </c>
      <c r="E321" t="s">
        <v>47</v>
      </c>
      <c r="F321" t="s">
        <v>28</v>
      </c>
      <c r="G321" t="s">
        <v>74</v>
      </c>
      <c r="H321" t="s">
        <v>75</v>
      </c>
      <c r="I321">
        <v>4</v>
      </c>
      <c r="J321">
        <v>0</v>
      </c>
      <c r="K321">
        <v>9316.4</v>
      </c>
      <c r="L321">
        <v>1570.93</v>
      </c>
      <c r="M321">
        <v>2025</v>
      </c>
      <c r="N321" t="s">
        <v>620</v>
      </c>
      <c r="O321" t="s">
        <v>625</v>
      </c>
      <c r="P321">
        <v>0.16861985316216566</v>
      </c>
    </row>
    <row r="322" spans="1:16" x14ac:dyDescent="0.3">
      <c r="A322" t="s">
        <v>422</v>
      </c>
      <c r="B322" s="12">
        <v>45888</v>
      </c>
      <c r="C322" t="s">
        <v>27</v>
      </c>
      <c r="D322" t="s">
        <v>14</v>
      </c>
      <c r="E322" t="s">
        <v>114</v>
      </c>
      <c r="F322" t="s">
        <v>28</v>
      </c>
      <c r="G322" t="s">
        <v>71</v>
      </c>
      <c r="H322" t="s">
        <v>72</v>
      </c>
      <c r="I322">
        <v>4</v>
      </c>
      <c r="J322">
        <v>0.15</v>
      </c>
      <c r="K322">
        <v>17316.84</v>
      </c>
      <c r="L322">
        <v>1450.33</v>
      </c>
      <c r="M322">
        <v>2025</v>
      </c>
      <c r="N322" t="s">
        <v>620</v>
      </c>
      <c r="O322" t="s">
        <v>625</v>
      </c>
      <c r="P322">
        <v>8.3752578414999501E-2</v>
      </c>
    </row>
    <row r="323" spans="1:16" x14ac:dyDescent="0.3">
      <c r="A323" t="s">
        <v>423</v>
      </c>
      <c r="B323" s="12">
        <v>45888</v>
      </c>
      <c r="C323" t="s">
        <v>229</v>
      </c>
      <c r="D323" t="s">
        <v>14</v>
      </c>
      <c r="E323" t="s">
        <v>97</v>
      </c>
      <c r="F323" t="s">
        <v>23</v>
      </c>
      <c r="G323" t="s">
        <v>35</v>
      </c>
      <c r="H323" t="s">
        <v>36</v>
      </c>
      <c r="I323">
        <v>7</v>
      </c>
      <c r="J323">
        <v>0.2</v>
      </c>
      <c r="K323">
        <v>278397.07</v>
      </c>
      <c r="L323">
        <v>19549.09</v>
      </c>
      <c r="M323">
        <v>2025</v>
      </c>
      <c r="N323" t="s">
        <v>620</v>
      </c>
      <c r="O323" t="s">
        <v>625</v>
      </c>
      <c r="P323">
        <v>7.0220171498212969E-2</v>
      </c>
    </row>
    <row r="324" spans="1:16" x14ac:dyDescent="0.3">
      <c r="A324" t="s">
        <v>424</v>
      </c>
      <c r="B324" s="12">
        <v>45889</v>
      </c>
      <c r="C324" t="s">
        <v>147</v>
      </c>
      <c r="D324" t="s">
        <v>33</v>
      </c>
      <c r="E324" t="s">
        <v>140</v>
      </c>
      <c r="F324" t="s">
        <v>28</v>
      </c>
      <c r="G324" t="s">
        <v>29</v>
      </c>
      <c r="H324" t="s">
        <v>98</v>
      </c>
      <c r="I324">
        <v>4</v>
      </c>
      <c r="J324">
        <v>0.05</v>
      </c>
      <c r="K324">
        <v>12889.16</v>
      </c>
      <c r="L324">
        <v>1652.12</v>
      </c>
      <c r="M324">
        <v>2025</v>
      </c>
      <c r="N324" t="s">
        <v>620</v>
      </c>
      <c r="O324" t="s">
        <v>625</v>
      </c>
      <c r="P324">
        <v>0.12817902795837743</v>
      </c>
    </row>
    <row r="325" spans="1:16" x14ac:dyDescent="0.3">
      <c r="A325" t="s">
        <v>425</v>
      </c>
      <c r="B325" s="12">
        <v>45889</v>
      </c>
      <c r="C325" t="s">
        <v>32</v>
      </c>
      <c r="D325" t="s">
        <v>14</v>
      </c>
      <c r="E325" t="s">
        <v>15</v>
      </c>
      <c r="F325" t="s">
        <v>23</v>
      </c>
      <c r="G325" t="s">
        <v>35</v>
      </c>
      <c r="H325" t="s">
        <v>36</v>
      </c>
      <c r="I325">
        <v>1</v>
      </c>
      <c r="J325">
        <v>0.2</v>
      </c>
      <c r="K325">
        <v>31012.799999999999</v>
      </c>
      <c r="L325">
        <v>2732.41</v>
      </c>
      <c r="M325">
        <v>2025</v>
      </c>
      <c r="N325" t="s">
        <v>620</v>
      </c>
      <c r="O325" t="s">
        <v>625</v>
      </c>
      <c r="P325">
        <v>8.8105878862921108E-2</v>
      </c>
    </row>
    <row r="326" spans="1:16" x14ac:dyDescent="0.3">
      <c r="A326" t="s">
        <v>426</v>
      </c>
      <c r="B326" s="12">
        <v>45889</v>
      </c>
      <c r="C326" t="s">
        <v>77</v>
      </c>
      <c r="D326" t="s">
        <v>21</v>
      </c>
      <c r="E326" t="s">
        <v>22</v>
      </c>
      <c r="F326" t="s">
        <v>16</v>
      </c>
      <c r="G326" t="s">
        <v>68</v>
      </c>
      <c r="H326" t="s">
        <v>175</v>
      </c>
      <c r="I326">
        <v>4</v>
      </c>
      <c r="J326">
        <v>0</v>
      </c>
      <c r="K326">
        <v>7203.04</v>
      </c>
      <c r="L326">
        <v>1420.58</v>
      </c>
      <c r="M326">
        <v>2025</v>
      </c>
      <c r="N326" t="s">
        <v>620</v>
      </c>
      <c r="O326" t="s">
        <v>625</v>
      </c>
      <c r="P326">
        <v>0.1972195073191319</v>
      </c>
    </row>
    <row r="327" spans="1:16" x14ac:dyDescent="0.3">
      <c r="A327" t="s">
        <v>427</v>
      </c>
      <c r="B327" s="12">
        <v>45890</v>
      </c>
      <c r="C327" t="s">
        <v>20</v>
      </c>
      <c r="D327" t="s">
        <v>39</v>
      </c>
      <c r="E327" t="s">
        <v>40</v>
      </c>
      <c r="F327" t="s">
        <v>23</v>
      </c>
      <c r="G327" t="s">
        <v>35</v>
      </c>
      <c r="H327" t="s">
        <v>155</v>
      </c>
      <c r="I327">
        <v>4</v>
      </c>
      <c r="J327">
        <v>0.15</v>
      </c>
      <c r="K327">
        <v>73045.36</v>
      </c>
      <c r="L327">
        <v>13806.34</v>
      </c>
      <c r="M327">
        <v>2025</v>
      </c>
      <c r="N327" t="s">
        <v>620</v>
      </c>
      <c r="O327" t="s">
        <v>625</v>
      </c>
      <c r="P327">
        <v>0.18901049977712478</v>
      </c>
    </row>
    <row r="328" spans="1:16" x14ac:dyDescent="0.3">
      <c r="A328" t="s">
        <v>428</v>
      </c>
      <c r="B328" s="12">
        <v>45893</v>
      </c>
      <c r="C328" t="s">
        <v>13</v>
      </c>
      <c r="D328" t="s">
        <v>33</v>
      </c>
      <c r="E328" t="s">
        <v>140</v>
      </c>
      <c r="F328" t="s">
        <v>23</v>
      </c>
      <c r="G328" t="s">
        <v>48</v>
      </c>
      <c r="H328" t="s">
        <v>49</v>
      </c>
      <c r="I328">
        <v>1</v>
      </c>
      <c r="J328">
        <v>0.05</v>
      </c>
      <c r="K328">
        <v>26618.91</v>
      </c>
      <c r="L328">
        <v>1874.85</v>
      </c>
      <c r="M328">
        <v>2025</v>
      </c>
      <c r="N328" t="s">
        <v>620</v>
      </c>
      <c r="O328" t="s">
        <v>625</v>
      </c>
      <c r="P328">
        <v>7.0433011719863811E-2</v>
      </c>
    </row>
    <row r="329" spans="1:16" x14ac:dyDescent="0.3">
      <c r="A329" t="s">
        <v>429</v>
      </c>
      <c r="B329" s="12">
        <v>45894</v>
      </c>
      <c r="C329" t="s">
        <v>147</v>
      </c>
      <c r="D329" t="s">
        <v>39</v>
      </c>
      <c r="E329" t="s">
        <v>128</v>
      </c>
      <c r="F329" t="s">
        <v>16</v>
      </c>
      <c r="G329" t="s">
        <v>68</v>
      </c>
      <c r="H329" t="s">
        <v>69</v>
      </c>
      <c r="I329">
        <v>1</v>
      </c>
      <c r="J329">
        <v>0.2</v>
      </c>
      <c r="K329">
        <v>11480.95</v>
      </c>
      <c r="L329">
        <v>1308.74</v>
      </c>
      <c r="M329">
        <v>2025</v>
      </c>
      <c r="N329" t="s">
        <v>620</v>
      </c>
      <c r="O329" t="s">
        <v>625</v>
      </c>
      <c r="P329">
        <v>0.11399230899881978</v>
      </c>
    </row>
    <row r="330" spans="1:16" x14ac:dyDescent="0.3">
      <c r="A330" t="s">
        <v>430</v>
      </c>
      <c r="B330" s="12">
        <v>45894</v>
      </c>
      <c r="C330" t="s">
        <v>147</v>
      </c>
      <c r="D330" t="s">
        <v>39</v>
      </c>
      <c r="E330" t="s">
        <v>40</v>
      </c>
      <c r="F330" t="s">
        <v>28</v>
      </c>
      <c r="G330" t="s">
        <v>92</v>
      </c>
      <c r="H330" t="s">
        <v>93</v>
      </c>
      <c r="I330">
        <v>7</v>
      </c>
      <c r="J330">
        <v>0.1</v>
      </c>
      <c r="K330">
        <v>13100.85</v>
      </c>
      <c r="L330">
        <v>2773.41</v>
      </c>
      <c r="M330">
        <v>2025</v>
      </c>
      <c r="N330" t="s">
        <v>620</v>
      </c>
      <c r="O330" t="s">
        <v>625</v>
      </c>
      <c r="P330">
        <v>0.21169695096119714</v>
      </c>
    </row>
    <row r="331" spans="1:16" x14ac:dyDescent="0.3">
      <c r="A331" t="s">
        <v>431</v>
      </c>
      <c r="B331" s="12">
        <v>45895</v>
      </c>
      <c r="C331" t="s">
        <v>100</v>
      </c>
      <c r="D331" t="s">
        <v>39</v>
      </c>
      <c r="E331" t="s">
        <v>52</v>
      </c>
      <c r="F331" t="s">
        <v>16</v>
      </c>
      <c r="G331" t="s">
        <v>41</v>
      </c>
      <c r="H331" t="s">
        <v>177</v>
      </c>
      <c r="I331">
        <v>7</v>
      </c>
      <c r="J331">
        <v>0.05</v>
      </c>
      <c r="K331">
        <v>5953.01</v>
      </c>
      <c r="L331">
        <v>824.85</v>
      </c>
      <c r="M331">
        <v>2025</v>
      </c>
      <c r="N331" t="s">
        <v>620</v>
      </c>
      <c r="O331" t="s">
        <v>625</v>
      </c>
      <c r="P331">
        <v>0.1385601569626122</v>
      </c>
    </row>
    <row r="332" spans="1:16" x14ac:dyDescent="0.3">
      <c r="A332" t="s">
        <v>432</v>
      </c>
      <c r="B332" s="12">
        <v>45896</v>
      </c>
      <c r="C332" t="s">
        <v>66</v>
      </c>
      <c r="D332" t="s">
        <v>39</v>
      </c>
      <c r="E332" t="s">
        <v>128</v>
      </c>
      <c r="F332" t="s">
        <v>23</v>
      </c>
      <c r="G332" t="s">
        <v>58</v>
      </c>
      <c r="H332" t="s">
        <v>101</v>
      </c>
      <c r="I332">
        <v>7</v>
      </c>
      <c r="J332">
        <v>0</v>
      </c>
      <c r="K332">
        <v>334862.64</v>
      </c>
      <c r="L332">
        <v>30174.53</v>
      </c>
      <c r="M332">
        <v>2025</v>
      </c>
      <c r="N332" t="s">
        <v>620</v>
      </c>
      <c r="O332" t="s">
        <v>625</v>
      </c>
      <c r="P332">
        <v>9.0110171740866635E-2</v>
      </c>
    </row>
    <row r="333" spans="1:16" x14ac:dyDescent="0.3">
      <c r="A333" t="s">
        <v>433</v>
      </c>
      <c r="B333" s="12">
        <v>45896</v>
      </c>
      <c r="C333" t="s">
        <v>66</v>
      </c>
      <c r="D333" t="s">
        <v>33</v>
      </c>
      <c r="E333" t="s">
        <v>86</v>
      </c>
      <c r="F333" t="s">
        <v>23</v>
      </c>
      <c r="G333" t="s">
        <v>48</v>
      </c>
      <c r="H333" t="s">
        <v>49</v>
      </c>
      <c r="I333">
        <v>3</v>
      </c>
      <c r="J333">
        <v>0.15</v>
      </c>
      <c r="K333">
        <v>6703.32</v>
      </c>
      <c r="L333">
        <v>662.03</v>
      </c>
      <c r="M333">
        <v>2025</v>
      </c>
      <c r="N333" t="s">
        <v>620</v>
      </c>
      <c r="O333" t="s">
        <v>625</v>
      </c>
      <c r="P333">
        <v>9.8761509222295818E-2</v>
      </c>
    </row>
    <row r="334" spans="1:16" x14ac:dyDescent="0.3">
      <c r="A334" t="s">
        <v>434</v>
      </c>
      <c r="B334" s="12">
        <v>45896</v>
      </c>
      <c r="C334" t="s">
        <v>85</v>
      </c>
      <c r="D334" t="s">
        <v>39</v>
      </c>
      <c r="E334" t="s">
        <v>47</v>
      </c>
      <c r="F334" t="s">
        <v>28</v>
      </c>
      <c r="G334" t="s">
        <v>29</v>
      </c>
      <c r="H334" t="s">
        <v>30</v>
      </c>
      <c r="I334">
        <v>1</v>
      </c>
      <c r="J334">
        <v>0.2</v>
      </c>
      <c r="K334">
        <v>2528.9499999999998</v>
      </c>
      <c r="L334">
        <v>170.26</v>
      </c>
      <c r="M334">
        <v>2025</v>
      </c>
      <c r="N334" t="s">
        <v>620</v>
      </c>
      <c r="O334" t="s">
        <v>625</v>
      </c>
      <c r="P334">
        <v>6.7324383637478002E-2</v>
      </c>
    </row>
    <row r="335" spans="1:16" x14ac:dyDescent="0.3">
      <c r="A335" t="s">
        <v>435</v>
      </c>
      <c r="B335" s="12">
        <v>45897</v>
      </c>
      <c r="C335" t="s">
        <v>143</v>
      </c>
      <c r="D335" t="s">
        <v>14</v>
      </c>
      <c r="E335" t="s">
        <v>54</v>
      </c>
      <c r="F335" t="s">
        <v>23</v>
      </c>
      <c r="G335" t="s">
        <v>24</v>
      </c>
      <c r="H335" t="s">
        <v>129</v>
      </c>
      <c r="I335">
        <v>5</v>
      </c>
      <c r="J335">
        <v>0.15</v>
      </c>
      <c r="K335">
        <v>180733.6</v>
      </c>
      <c r="L335">
        <v>30201.25</v>
      </c>
      <c r="M335">
        <v>2025</v>
      </c>
      <c r="N335" t="s">
        <v>620</v>
      </c>
      <c r="O335" t="s">
        <v>625</v>
      </c>
      <c r="P335">
        <v>0.16710368188316949</v>
      </c>
    </row>
    <row r="336" spans="1:16" x14ac:dyDescent="0.3">
      <c r="A336" t="s">
        <v>436</v>
      </c>
      <c r="B336" s="12">
        <v>45898</v>
      </c>
      <c r="C336" t="s">
        <v>32</v>
      </c>
      <c r="D336" t="s">
        <v>21</v>
      </c>
      <c r="E336" t="s">
        <v>22</v>
      </c>
      <c r="F336" t="s">
        <v>16</v>
      </c>
      <c r="G336" t="s">
        <v>17</v>
      </c>
      <c r="H336" t="s">
        <v>153</v>
      </c>
      <c r="I336">
        <v>6</v>
      </c>
      <c r="J336">
        <v>0</v>
      </c>
      <c r="K336">
        <v>58253.1</v>
      </c>
      <c r="L336">
        <v>9792.59</v>
      </c>
      <c r="M336">
        <v>2025</v>
      </c>
      <c r="N336" t="s">
        <v>620</v>
      </c>
      <c r="O336" t="s">
        <v>625</v>
      </c>
      <c r="P336">
        <v>0.1681041867299766</v>
      </c>
    </row>
    <row r="337" spans="1:16" x14ac:dyDescent="0.3">
      <c r="A337" t="s">
        <v>437</v>
      </c>
      <c r="B337" s="12">
        <v>45899</v>
      </c>
      <c r="C337" t="s">
        <v>104</v>
      </c>
      <c r="D337" t="s">
        <v>39</v>
      </c>
      <c r="E337" t="s">
        <v>128</v>
      </c>
      <c r="F337" t="s">
        <v>28</v>
      </c>
      <c r="G337" t="s">
        <v>71</v>
      </c>
      <c r="H337" t="s">
        <v>121</v>
      </c>
      <c r="I337">
        <v>7</v>
      </c>
      <c r="J337">
        <v>0.15</v>
      </c>
      <c r="K337">
        <v>8768.5499999999993</v>
      </c>
      <c r="L337">
        <v>1527.27</v>
      </c>
      <c r="M337">
        <v>2025</v>
      </c>
      <c r="N337" t="s">
        <v>620</v>
      </c>
      <c r="O337" t="s">
        <v>625</v>
      </c>
      <c r="P337">
        <v>0.17417588997040562</v>
      </c>
    </row>
    <row r="338" spans="1:16" x14ac:dyDescent="0.3">
      <c r="A338" t="s">
        <v>438</v>
      </c>
      <c r="B338" s="12">
        <v>45900</v>
      </c>
      <c r="C338" t="s">
        <v>38</v>
      </c>
      <c r="D338" t="s">
        <v>33</v>
      </c>
      <c r="E338" t="s">
        <v>34</v>
      </c>
      <c r="F338" t="s">
        <v>28</v>
      </c>
      <c r="G338" t="s">
        <v>71</v>
      </c>
      <c r="H338" t="s">
        <v>72</v>
      </c>
      <c r="I338">
        <v>4</v>
      </c>
      <c r="J338">
        <v>0.2</v>
      </c>
      <c r="K338">
        <v>18622.080000000002</v>
      </c>
      <c r="L338">
        <v>1122.1199999999999</v>
      </c>
      <c r="M338">
        <v>2025</v>
      </c>
      <c r="N338" t="s">
        <v>620</v>
      </c>
      <c r="O338" t="s">
        <v>625</v>
      </c>
      <c r="P338">
        <v>6.0257500773275581E-2</v>
      </c>
    </row>
    <row r="339" spans="1:16" x14ac:dyDescent="0.3">
      <c r="A339" t="s">
        <v>439</v>
      </c>
      <c r="B339" s="12">
        <v>45900</v>
      </c>
      <c r="C339" t="s">
        <v>20</v>
      </c>
      <c r="D339" t="s">
        <v>14</v>
      </c>
      <c r="E339" t="s">
        <v>114</v>
      </c>
      <c r="F339" t="s">
        <v>23</v>
      </c>
      <c r="G339" t="s">
        <v>24</v>
      </c>
      <c r="H339" t="s">
        <v>129</v>
      </c>
      <c r="I339">
        <v>7</v>
      </c>
      <c r="J339">
        <v>0.2</v>
      </c>
      <c r="K339">
        <v>167530.85999999999</v>
      </c>
      <c r="L339">
        <v>6862.07</v>
      </c>
      <c r="M339">
        <v>2025</v>
      </c>
      <c r="N339" t="s">
        <v>620</v>
      </c>
      <c r="O339" t="s">
        <v>625</v>
      </c>
      <c r="P339">
        <v>4.0960035661489473E-2</v>
      </c>
    </row>
    <row r="340" spans="1:16" x14ac:dyDescent="0.3">
      <c r="A340" t="s">
        <v>440</v>
      </c>
      <c r="B340" s="12">
        <v>45903</v>
      </c>
      <c r="C340" t="s">
        <v>56</v>
      </c>
      <c r="D340" t="s">
        <v>14</v>
      </c>
      <c r="E340" t="s">
        <v>54</v>
      </c>
      <c r="F340" t="s">
        <v>28</v>
      </c>
      <c r="G340" t="s">
        <v>71</v>
      </c>
      <c r="H340" t="s">
        <v>72</v>
      </c>
      <c r="I340">
        <v>7</v>
      </c>
      <c r="J340">
        <v>0</v>
      </c>
      <c r="K340">
        <v>25789.96</v>
      </c>
      <c r="L340">
        <v>3435.7</v>
      </c>
      <c r="M340">
        <v>2025</v>
      </c>
      <c r="N340" t="s">
        <v>621</v>
      </c>
      <c r="O340" t="s">
        <v>625</v>
      </c>
      <c r="P340">
        <v>0.13321850828772128</v>
      </c>
    </row>
    <row r="341" spans="1:16" x14ac:dyDescent="0.3">
      <c r="A341" t="s">
        <v>441</v>
      </c>
      <c r="B341" s="12">
        <v>45905</v>
      </c>
      <c r="C341" t="s">
        <v>32</v>
      </c>
      <c r="D341" t="s">
        <v>21</v>
      </c>
      <c r="E341" t="s">
        <v>67</v>
      </c>
      <c r="F341" t="s">
        <v>28</v>
      </c>
      <c r="G341" t="s">
        <v>71</v>
      </c>
      <c r="H341" t="s">
        <v>121</v>
      </c>
      <c r="I341">
        <v>4</v>
      </c>
      <c r="J341">
        <v>0.15</v>
      </c>
      <c r="K341">
        <v>10958.56</v>
      </c>
      <c r="L341">
        <v>1788.64</v>
      </c>
      <c r="M341">
        <v>2025</v>
      </c>
      <c r="N341" t="s">
        <v>621</v>
      </c>
      <c r="O341" t="s">
        <v>625</v>
      </c>
      <c r="P341">
        <v>0.16321852506168696</v>
      </c>
    </row>
    <row r="342" spans="1:16" x14ac:dyDescent="0.3">
      <c r="A342" t="s">
        <v>442</v>
      </c>
      <c r="B342" s="12">
        <v>45906</v>
      </c>
      <c r="C342" t="s">
        <v>66</v>
      </c>
      <c r="D342" t="s">
        <v>39</v>
      </c>
      <c r="E342" t="s">
        <v>47</v>
      </c>
      <c r="F342" t="s">
        <v>16</v>
      </c>
      <c r="G342" t="s">
        <v>17</v>
      </c>
      <c r="H342" t="s">
        <v>88</v>
      </c>
      <c r="I342">
        <v>2</v>
      </c>
      <c r="J342">
        <v>0.1</v>
      </c>
      <c r="K342">
        <v>10739.84</v>
      </c>
      <c r="L342">
        <v>2291.73</v>
      </c>
      <c r="M342">
        <v>2025</v>
      </c>
      <c r="N342" t="s">
        <v>621</v>
      </c>
      <c r="O342" t="s">
        <v>625</v>
      </c>
      <c r="P342">
        <v>0.21338586049699065</v>
      </c>
    </row>
    <row r="343" spans="1:16" x14ac:dyDescent="0.3">
      <c r="A343" t="s">
        <v>443</v>
      </c>
      <c r="B343" s="12">
        <v>45908</v>
      </c>
      <c r="C343" t="s">
        <v>13</v>
      </c>
      <c r="D343" t="s">
        <v>33</v>
      </c>
      <c r="E343" t="s">
        <v>86</v>
      </c>
      <c r="F343" t="s">
        <v>28</v>
      </c>
      <c r="G343" t="s">
        <v>29</v>
      </c>
      <c r="H343" t="s">
        <v>98</v>
      </c>
      <c r="I343">
        <v>1</v>
      </c>
      <c r="J343">
        <v>0.2</v>
      </c>
      <c r="K343">
        <v>756.67</v>
      </c>
      <c r="L343">
        <v>87.36</v>
      </c>
      <c r="M343">
        <v>2025</v>
      </c>
      <c r="N343" t="s">
        <v>621</v>
      </c>
      <c r="O343" t="s">
        <v>627</v>
      </c>
      <c r="P343">
        <v>0.11545323588882869</v>
      </c>
    </row>
    <row r="344" spans="1:16" x14ac:dyDescent="0.3">
      <c r="A344" t="s">
        <v>444</v>
      </c>
      <c r="B344" s="12">
        <v>45908</v>
      </c>
      <c r="C344" t="s">
        <v>32</v>
      </c>
      <c r="D344" t="s">
        <v>33</v>
      </c>
      <c r="E344" t="s">
        <v>140</v>
      </c>
      <c r="F344" t="s">
        <v>23</v>
      </c>
      <c r="G344" t="s">
        <v>58</v>
      </c>
      <c r="H344" t="s">
        <v>90</v>
      </c>
      <c r="I344">
        <v>7</v>
      </c>
      <c r="J344">
        <v>0.1</v>
      </c>
      <c r="K344">
        <v>310607.43</v>
      </c>
      <c r="L344">
        <v>50339.33</v>
      </c>
      <c r="M344">
        <v>2025</v>
      </c>
      <c r="N344" t="s">
        <v>621</v>
      </c>
      <c r="O344" t="s">
        <v>625</v>
      </c>
      <c r="P344">
        <v>0.16206737230979956</v>
      </c>
    </row>
    <row r="345" spans="1:16" x14ac:dyDescent="0.3">
      <c r="A345" t="s">
        <v>445</v>
      </c>
      <c r="B345" s="12">
        <v>45908</v>
      </c>
      <c r="C345" t="s">
        <v>20</v>
      </c>
      <c r="D345" t="s">
        <v>39</v>
      </c>
      <c r="E345" t="s">
        <v>47</v>
      </c>
      <c r="F345" t="s">
        <v>23</v>
      </c>
      <c r="G345" t="s">
        <v>58</v>
      </c>
      <c r="H345" t="s">
        <v>78</v>
      </c>
      <c r="I345">
        <v>6</v>
      </c>
      <c r="J345">
        <v>0.15</v>
      </c>
      <c r="K345">
        <v>56869.440000000002</v>
      </c>
      <c r="L345">
        <v>5614</v>
      </c>
      <c r="M345">
        <v>2025</v>
      </c>
      <c r="N345" t="s">
        <v>621</v>
      </c>
      <c r="O345" t="s">
        <v>625</v>
      </c>
      <c r="P345">
        <v>9.8717342741549766E-2</v>
      </c>
    </row>
    <row r="346" spans="1:16" x14ac:dyDescent="0.3">
      <c r="A346" t="s">
        <v>446</v>
      </c>
      <c r="B346" s="12">
        <v>45909</v>
      </c>
      <c r="C346" t="s">
        <v>66</v>
      </c>
      <c r="D346" t="s">
        <v>39</v>
      </c>
      <c r="E346" t="s">
        <v>128</v>
      </c>
      <c r="F346" t="s">
        <v>23</v>
      </c>
      <c r="G346" t="s">
        <v>58</v>
      </c>
      <c r="H346" t="s">
        <v>78</v>
      </c>
      <c r="I346">
        <v>3</v>
      </c>
      <c r="J346">
        <v>0.1</v>
      </c>
      <c r="K346">
        <v>107365.68</v>
      </c>
      <c r="L346">
        <v>11195.36</v>
      </c>
      <c r="M346">
        <v>2025</v>
      </c>
      <c r="N346" t="s">
        <v>621</v>
      </c>
      <c r="O346" t="s">
        <v>625</v>
      </c>
      <c r="P346">
        <v>0.1042731718366614</v>
      </c>
    </row>
    <row r="347" spans="1:16" x14ac:dyDescent="0.3">
      <c r="A347" t="s">
        <v>447</v>
      </c>
      <c r="B347" s="12">
        <v>45909</v>
      </c>
      <c r="C347" t="s">
        <v>179</v>
      </c>
      <c r="D347" t="s">
        <v>39</v>
      </c>
      <c r="E347" t="s">
        <v>40</v>
      </c>
      <c r="F347" t="s">
        <v>28</v>
      </c>
      <c r="G347" t="s">
        <v>71</v>
      </c>
      <c r="H347" t="s">
        <v>72</v>
      </c>
      <c r="I347">
        <v>2</v>
      </c>
      <c r="J347">
        <v>0.15</v>
      </c>
      <c r="K347">
        <v>9825.24</v>
      </c>
      <c r="L347">
        <v>1154.8599999999999</v>
      </c>
      <c r="M347">
        <v>2025</v>
      </c>
      <c r="N347" t="s">
        <v>621</v>
      </c>
      <c r="O347" t="s">
        <v>625</v>
      </c>
      <c r="P347">
        <v>0.1175401313352142</v>
      </c>
    </row>
    <row r="348" spans="1:16" x14ac:dyDescent="0.3">
      <c r="A348" t="s">
        <v>448</v>
      </c>
      <c r="B348" s="12">
        <v>45909</v>
      </c>
      <c r="C348" t="s">
        <v>100</v>
      </c>
      <c r="D348" t="s">
        <v>14</v>
      </c>
      <c r="E348" t="s">
        <v>54</v>
      </c>
      <c r="F348" t="s">
        <v>23</v>
      </c>
      <c r="G348" t="s">
        <v>24</v>
      </c>
      <c r="H348" t="s">
        <v>129</v>
      </c>
      <c r="I348">
        <v>3</v>
      </c>
      <c r="J348">
        <v>0</v>
      </c>
      <c r="K348">
        <v>100829.52</v>
      </c>
      <c r="L348">
        <v>9977.7900000000009</v>
      </c>
      <c r="M348">
        <v>2025</v>
      </c>
      <c r="N348" t="s">
        <v>621</v>
      </c>
      <c r="O348" t="s">
        <v>625</v>
      </c>
      <c r="P348">
        <v>9.8957031631212763E-2</v>
      </c>
    </row>
    <row r="349" spans="1:16" x14ac:dyDescent="0.3">
      <c r="A349" t="s">
        <v>449</v>
      </c>
      <c r="B349" s="12">
        <v>45911</v>
      </c>
      <c r="C349" t="s">
        <v>82</v>
      </c>
      <c r="D349" t="s">
        <v>14</v>
      </c>
      <c r="E349" t="s">
        <v>97</v>
      </c>
      <c r="F349" t="s">
        <v>23</v>
      </c>
      <c r="G349" t="s">
        <v>58</v>
      </c>
      <c r="H349" t="s">
        <v>78</v>
      </c>
      <c r="I349">
        <v>2</v>
      </c>
      <c r="J349">
        <v>0.1</v>
      </c>
      <c r="K349">
        <v>60577.9</v>
      </c>
      <c r="L349">
        <v>5504.68</v>
      </c>
      <c r="M349">
        <v>2025</v>
      </c>
      <c r="N349" t="s">
        <v>621</v>
      </c>
      <c r="O349" t="s">
        <v>625</v>
      </c>
      <c r="P349">
        <v>9.0869442486451332E-2</v>
      </c>
    </row>
    <row r="350" spans="1:16" x14ac:dyDescent="0.3">
      <c r="A350" t="s">
        <v>450</v>
      </c>
      <c r="B350" s="12">
        <v>45912</v>
      </c>
      <c r="C350" t="s">
        <v>135</v>
      </c>
      <c r="D350" t="s">
        <v>39</v>
      </c>
      <c r="E350" t="s">
        <v>128</v>
      </c>
      <c r="F350" t="s">
        <v>28</v>
      </c>
      <c r="G350" t="s">
        <v>92</v>
      </c>
      <c r="H350" t="s">
        <v>93</v>
      </c>
      <c r="I350">
        <v>7</v>
      </c>
      <c r="J350">
        <v>0.05</v>
      </c>
      <c r="K350">
        <v>2086.84</v>
      </c>
      <c r="L350">
        <v>139.44999999999999</v>
      </c>
      <c r="M350">
        <v>2025</v>
      </c>
      <c r="N350" t="s">
        <v>621</v>
      </c>
      <c r="O350" t="s">
        <v>625</v>
      </c>
      <c r="P350">
        <v>6.6823522646681094E-2</v>
      </c>
    </row>
    <row r="351" spans="1:16" x14ac:dyDescent="0.3">
      <c r="A351" t="s">
        <v>451</v>
      </c>
      <c r="B351" s="12">
        <v>45912</v>
      </c>
      <c r="C351" t="s">
        <v>56</v>
      </c>
      <c r="D351" t="s">
        <v>14</v>
      </c>
      <c r="E351" t="s">
        <v>97</v>
      </c>
      <c r="F351" t="s">
        <v>23</v>
      </c>
      <c r="G351" t="s">
        <v>58</v>
      </c>
      <c r="H351" t="s">
        <v>78</v>
      </c>
      <c r="I351">
        <v>6</v>
      </c>
      <c r="J351">
        <v>0.2</v>
      </c>
      <c r="K351">
        <v>104952.9</v>
      </c>
      <c r="L351">
        <v>4235.12</v>
      </c>
      <c r="M351">
        <v>2025</v>
      </c>
      <c r="N351" t="s">
        <v>621</v>
      </c>
      <c r="O351" t="s">
        <v>625</v>
      </c>
      <c r="P351">
        <v>4.0352577203678984E-2</v>
      </c>
    </row>
    <row r="352" spans="1:16" x14ac:dyDescent="0.3">
      <c r="A352" t="s">
        <v>452</v>
      </c>
      <c r="B352" s="12">
        <v>45913</v>
      </c>
      <c r="C352" t="s">
        <v>111</v>
      </c>
      <c r="D352" t="s">
        <v>21</v>
      </c>
      <c r="E352" t="s">
        <v>67</v>
      </c>
      <c r="F352" t="s">
        <v>16</v>
      </c>
      <c r="G352" t="s">
        <v>68</v>
      </c>
      <c r="H352" t="s">
        <v>69</v>
      </c>
      <c r="I352">
        <v>3</v>
      </c>
      <c r="J352">
        <v>0.1</v>
      </c>
      <c r="K352">
        <v>35961.81</v>
      </c>
      <c r="L352">
        <v>7325.68</v>
      </c>
      <c r="M352">
        <v>2025</v>
      </c>
      <c r="N352" t="s">
        <v>621</v>
      </c>
      <c r="O352" t="s">
        <v>625</v>
      </c>
      <c r="P352">
        <v>0.20370721051026078</v>
      </c>
    </row>
    <row r="353" spans="1:16" x14ac:dyDescent="0.3">
      <c r="A353" t="s">
        <v>453</v>
      </c>
      <c r="B353" s="12">
        <v>45914</v>
      </c>
      <c r="C353" t="s">
        <v>135</v>
      </c>
      <c r="D353" t="s">
        <v>33</v>
      </c>
      <c r="E353" t="s">
        <v>86</v>
      </c>
      <c r="F353" t="s">
        <v>28</v>
      </c>
      <c r="G353" t="s">
        <v>29</v>
      </c>
      <c r="H353" t="s">
        <v>30</v>
      </c>
      <c r="I353">
        <v>5</v>
      </c>
      <c r="J353">
        <v>0.15</v>
      </c>
      <c r="K353">
        <v>24628.6</v>
      </c>
      <c r="L353">
        <v>1199.23</v>
      </c>
      <c r="M353">
        <v>2025</v>
      </c>
      <c r="N353" t="s">
        <v>621</v>
      </c>
      <c r="O353" t="s">
        <v>625</v>
      </c>
      <c r="P353">
        <v>4.8692576922764595E-2</v>
      </c>
    </row>
    <row r="354" spans="1:16" x14ac:dyDescent="0.3">
      <c r="A354" t="s">
        <v>454</v>
      </c>
      <c r="B354" s="12">
        <v>45915</v>
      </c>
      <c r="C354" t="s">
        <v>100</v>
      </c>
      <c r="D354" t="s">
        <v>33</v>
      </c>
      <c r="E354" t="s">
        <v>140</v>
      </c>
      <c r="F354" t="s">
        <v>16</v>
      </c>
      <c r="G354" t="s">
        <v>41</v>
      </c>
      <c r="H354" t="s">
        <v>177</v>
      </c>
      <c r="I354">
        <v>3</v>
      </c>
      <c r="J354">
        <v>0.05</v>
      </c>
      <c r="K354">
        <v>25838.400000000001</v>
      </c>
      <c r="L354">
        <v>3808.67</v>
      </c>
      <c r="M354">
        <v>2025</v>
      </c>
      <c r="N354" t="s">
        <v>621</v>
      </c>
      <c r="O354" t="s">
        <v>625</v>
      </c>
      <c r="P354">
        <v>0.14740347699547959</v>
      </c>
    </row>
    <row r="355" spans="1:16" x14ac:dyDescent="0.3">
      <c r="A355" t="s">
        <v>455</v>
      </c>
      <c r="B355" s="12">
        <v>45915</v>
      </c>
      <c r="C355" t="s">
        <v>32</v>
      </c>
      <c r="D355" t="s">
        <v>21</v>
      </c>
      <c r="E355" t="s">
        <v>57</v>
      </c>
      <c r="F355" t="s">
        <v>23</v>
      </c>
      <c r="G355" t="s">
        <v>48</v>
      </c>
      <c r="H355" t="s">
        <v>49</v>
      </c>
      <c r="I355">
        <v>7</v>
      </c>
      <c r="J355">
        <v>0.1</v>
      </c>
      <c r="K355">
        <v>245007.77</v>
      </c>
      <c r="L355">
        <v>29465.1</v>
      </c>
      <c r="M355">
        <v>2025</v>
      </c>
      <c r="N355" t="s">
        <v>621</v>
      </c>
      <c r="O355" t="s">
        <v>625</v>
      </c>
      <c r="P355">
        <v>0.12026190026544872</v>
      </c>
    </row>
    <row r="356" spans="1:16" x14ac:dyDescent="0.3">
      <c r="A356" t="s">
        <v>456</v>
      </c>
      <c r="B356" s="12">
        <v>45915</v>
      </c>
      <c r="C356" t="s">
        <v>77</v>
      </c>
      <c r="D356" t="s">
        <v>14</v>
      </c>
      <c r="E356" t="s">
        <v>97</v>
      </c>
      <c r="F356" t="s">
        <v>23</v>
      </c>
      <c r="G356" t="s">
        <v>24</v>
      </c>
      <c r="H356" t="s">
        <v>132</v>
      </c>
      <c r="I356">
        <v>4</v>
      </c>
      <c r="J356">
        <v>0.1</v>
      </c>
      <c r="K356">
        <v>118480.64</v>
      </c>
      <c r="L356">
        <v>21464.12</v>
      </c>
      <c r="M356">
        <v>2025</v>
      </c>
      <c r="N356" t="s">
        <v>621</v>
      </c>
      <c r="O356" t="s">
        <v>625</v>
      </c>
      <c r="P356">
        <v>0.1811614116871752</v>
      </c>
    </row>
    <row r="357" spans="1:16" x14ac:dyDescent="0.3">
      <c r="A357" t="s">
        <v>457</v>
      </c>
      <c r="B357" s="12">
        <v>45917</v>
      </c>
      <c r="C357" t="s">
        <v>66</v>
      </c>
      <c r="D357" t="s">
        <v>39</v>
      </c>
      <c r="E357" t="s">
        <v>40</v>
      </c>
      <c r="F357" t="s">
        <v>23</v>
      </c>
      <c r="G357" t="s">
        <v>35</v>
      </c>
      <c r="H357" t="s">
        <v>155</v>
      </c>
      <c r="I357">
        <v>7</v>
      </c>
      <c r="J357">
        <v>0.2</v>
      </c>
      <c r="K357">
        <v>84431.27</v>
      </c>
      <c r="L357">
        <v>9674.75</v>
      </c>
      <c r="M357">
        <v>2025</v>
      </c>
      <c r="N357" t="s">
        <v>621</v>
      </c>
      <c r="O357" t="s">
        <v>625</v>
      </c>
      <c r="P357">
        <v>0.11458728501892722</v>
      </c>
    </row>
    <row r="358" spans="1:16" x14ac:dyDescent="0.3">
      <c r="A358" t="s">
        <v>458</v>
      </c>
      <c r="B358" s="12">
        <v>45917</v>
      </c>
      <c r="C358" t="s">
        <v>38</v>
      </c>
      <c r="D358" t="s">
        <v>14</v>
      </c>
      <c r="E358" t="s">
        <v>15</v>
      </c>
      <c r="F358" t="s">
        <v>23</v>
      </c>
      <c r="G358" t="s">
        <v>48</v>
      </c>
      <c r="H358" t="s">
        <v>118</v>
      </c>
      <c r="I358">
        <v>5</v>
      </c>
      <c r="J358">
        <v>0.05</v>
      </c>
      <c r="K358">
        <v>242517.8</v>
      </c>
      <c r="L358">
        <v>33699.839999999997</v>
      </c>
      <c r="M358">
        <v>2025</v>
      </c>
      <c r="N358" t="s">
        <v>621</v>
      </c>
      <c r="O358" t="s">
        <v>625</v>
      </c>
      <c r="P358">
        <v>0.13895821255182092</v>
      </c>
    </row>
    <row r="359" spans="1:16" x14ac:dyDescent="0.3">
      <c r="A359" t="s">
        <v>459</v>
      </c>
      <c r="B359" s="12">
        <v>45917</v>
      </c>
      <c r="C359" t="s">
        <v>111</v>
      </c>
      <c r="D359" t="s">
        <v>14</v>
      </c>
      <c r="E359" t="s">
        <v>114</v>
      </c>
      <c r="F359" t="s">
        <v>23</v>
      </c>
      <c r="G359" t="s">
        <v>48</v>
      </c>
      <c r="H359" t="s">
        <v>118</v>
      </c>
      <c r="I359">
        <v>3</v>
      </c>
      <c r="J359">
        <v>0.1</v>
      </c>
      <c r="K359">
        <v>53885.91</v>
      </c>
      <c r="L359">
        <v>8215.19</v>
      </c>
      <c r="M359">
        <v>2025</v>
      </c>
      <c r="N359" t="s">
        <v>621</v>
      </c>
      <c r="O359" t="s">
        <v>625</v>
      </c>
      <c r="P359">
        <v>0.15245525221713802</v>
      </c>
    </row>
    <row r="360" spans="1:16" x14ac:dyDescent="0.3">
      <c r="A360" t="s">
        <v>460</v>
      </c>
      <c r="B360" s="12">
        <v>45919</v>
      </c>
      <c r="C360" t="s">
        <v>150</v>
      </c>
      <c r="D360" t="s">
        <v>39</v>
      </c>
      <c r="E360" t="s">
        <v>52</v>
      </c>
      <c r="F360" t="s">
        <v>23</v>
      </c>
      <c r="G360" t="s">
        <v>58</v>
      </c>
      <c r="H360" t="s">
        <v>59</v>
      </c>
      <c r="I360">
        <v>5</v>
      </c>
      <c r="J360">
        <v>0.2</v>
      </c>
      <c r="K360">
        <v>75154.2</v>
      </c>
      <c r="L360">
        <v>11425.82</v>
      </c>
      <c r="M360">
        <v>2025</v>
      </c>
      <c r="N360" t="s">
        <v>621</v>
      </c>
      <c r="O360" t="s">
        <v>625</v>
      </c>
      <c r="P360">
        <v>0.1520316895130279</v>
      </c>
    </row>
    <row r="361" spans="1:16" x14ac:dyDescent="0.3">
      <c r="A361" t="s">
        <v>461</v>
      </c>
      <c r="B361" s="12">
        <v>45919</v>
      </c>
      <c r="C361" t="s">
        <v>85</v>
      </c>
      <c r="D361" t="s">
        <v>14</v>
      </c>
      <c r="E361" t="s">
        <v>54</v>
      </c>
      <c r="F361" t="s">
        <v>28</v>
      </c>
      <c r="G361" t="s">
        <v>71</v>
      </c>
      <c r="H361" t="s">
        <v>121</v>
      </c>
      <c r="I361">
        <v>4</v>
      </c>
      <c r="J361">
        <v>0.1</v>
      </c>
      <c r="K361">
        <v>8462.52</v>
      </c>
      <c r="L361">
        <v>1297.8399999999999</v>
      </c>
      <c r="M361">
        <v>2025</v>
      </c>
      <c r="N361" t="s">
        <v>621</v>
      </c>
      <c r="O361" t="s">
        <v>625</v>
      </c>
      <c r="P361">
        <v>0.153363300766202</v>
      </c>
    </row>
    <row r="362" spans="1:16" x14ac:dyDescent="0.3">
      <c r="A362" t="s">
        <v>462</v>
      </c>
      <c r="B362" s="12">
        <v>45919</v>
      </c>
      <c r="C362" t="s">
        <v>32</v>
      </c>
      <c r="D362" t="s">
        <v>21</v>
      </c>
      <c r="E362" t="s">
        <v>57</v>
      </c>
      <c r="F362" t="s">
        <v>16</v>
      </c>
      <c r="G362" t="s">
        <v>17</v>
      </c>
      <c r="H362" t="s">
        <v>153</v>
      </c>
      <c r="I362">
        <v>6</v>
      </c>
      <c r="J362">
        <v>0.2</v>
      </c>
      <c r="K362">
        <v>15604.38</v>
      </c>
      <c r="L362">
        <v>1685.28</v>
      </c>
      <c r="M362">
        <v>2025</v>
      </c>
      <c r="N362" t="s">
        <v>621</v>
      </c>
      <c r="O362" t="s">
        <v>625</v>
      </c>
      <c r="P362">
        <v>0.10800044602861504</v>
      </c>
    </row>
    <row r="363" spans="1:16" x14ac:dyDescent="0.3">
      <c r="A363" t="s">
        <v>463</v>
      </c>
      <c r="B363" s="12">
        <v>45920</v>
      </c>
      <c r="C363" t="s">
        <v>38</v>
      </c>
      <c r="D363" t="s">
        <v>21</v>
      </c>
      <c r="E363" t="s">
        <v>67</v>
      </c>
      <c r="F363" t="s">
        <v>28</v>
      </c>
      <c r="G363" t="s">
        <v>74</v>
      </c>
      <c r="H363" t="s">
        <v>75</v>
      </c>
      <c r="I363">
        <v>1</v>
      </c>
      <c r="J363">
        <v>0.2</v>
      </c>
      <c r="K363">
        <v>1930.2</v>
      </c>
      <c r="L363">
        <v>227.06</v>
      </c>
      <c r="M363">
        <v>2025</v>
      </c>
      <c r="N363" t="s">
        <v>621</v>
      </c>
      <c r="O363" t="s">
        <v>625</v>
      </c>
      <c r="P363">
        <v>0.11763547818878872</v>
      </c>
    </row>
    <row r="364" spans="1:16" x14ac:dyDescent="0.3">
      <c r="A364" t="s">
        <v>464</v>
      </c>
      <c r="B364" s="12">
        <v>45920</v>
      </c>
      <c r="C364" t="s">
        <v>51</v>
      </c>
      <c r="D364" t="s">
        <v>33</v>
      </c>
      <c r="E364" t="s">
        <v>34</v>
      </c>
      <c r="F364" t="s">
        <v>28</v>
      </c>
      <c r="G364" t="s">
        <v>29</v>
      </c>
      <c r="H364" t="s">
        <v>30</v>
      </c>
      <c r="I364">
        <v>2</v>
      </c>
      <c r="J364">
        <v>0</v>
      </c>
      <c r="K364">
        <v>8037.86</v>
      </c>
      <c r="L364">
        <v>1418.22</v>
      </c>
      <c r="M364">
        <v>2025</v>
      </c>
      <c r="N364" t="s">
        <v>621</v>
      </c>
      <c r="O364" t="s">
        <v>625</v>
      </c>
      <c r="P364">
        <v>0.17644248593531114</v>
      </c>
    </row>
    <row r="365" spans="1:16" x14ac:dyDescent="0.3">
      <c r="A365" t="s">
        <v>465</v>
      </c>
      <c r="B365" s="12">
        <v>45921</v>
      </c>
      <c r="C365" t="s">
        <v>150</v>
      </c>
      <c r="D365" t="s">
        <v>14</v>
      </c>
      <c r="E365" t="s">
        <v>54</v>
      </c>
      <c r="F365" t="s">
        <v>23</v>
      </c>
      <c r="G365" t="s">
        <v>58</v>
      </c>
      <c r="H365" t="s">
        <v>78</v>
      </c>
      <c r="I365">
        <v>3</v>
      </c>
      <c r="J365">
        <v>0.15</v>
      </c>
      <c r="K365">
        <v>136615.67999999999</v>
      </c>
      <c r="L365">
        <v>7989.3</v>
      </c>
      <c r="M365">
        <v>2025</v>
      </c>
      <c r="N365" t="s">
        <v>621</v>
      </c>
      <c r="O365" t="s">
        <v>625</v>
      </c>
      <c r="P365">
        <v>5.8480110043005316E-2</v>
      </c>
    </row>
    <row r="366" spans="1:16" x14ac:dyDescent="0.3">
      <c r="A366" t="s">
        <v>466</v>
      </c>
      <c r="B366" s="12">
        <v>45921</v>
      </c>
      <c r="C366" t="s">
        <v>150</v>
      </c>
      <c r="D366" t="s">
        <v>21</v>
      </c>
      <c r="E366" t="s">
        <v>57</v>
      </c>
      <c r="F366" t="s">
        <v>23</v>
      </c>
      <c r="G366" t="s">
        <v>58</v>
      </c>
      <c r="H366" t="s">
        <v>90</v>
      </c>
      <c r="I366">
        <v>7</v>
      </c>
      <c r="J366">
        <v>0.15</v>
      </c>
      <c r="K366">
        <v>272823.95</v>
      </c>
      <c r="L366">
        <v>23620.06</v>
      </c>
      <c r="M366">
        <v>2025</v>
      </c>
      <c r="N366" t="s">
        <v>621</v>
      </c>
      <c r="O366" t="s">
        <v>625</v>
      </c>
      <c r="P366">
        <v>8.6576196847820724E-2</v>
      </c>
    </row>
    <row r="367" spans="1:16" x14ac:dyDescent="0.3">
      <c r="A367" t="s">
        <v>467</v>
      </c>
      <c r="B367" s="12">
        <v>45922</v>
      </c>
      <c r="C367" t="s">
        <v>32</v>
      </c>
      <c r="D367" t="s">
        <v>14</v>
      </c>
      <c r="E367" t="s">
        <v>15</v>
      </c>
      <c r="F367" t="s">
        <v>23</v>
      </c>
      <c r="G367" t="s">
        <v>48</v>
      </c>
      <c r="H367" t="s">
        <v>118</v>
      </c>
      <c r="I367">
        <v>5</v>
      </c>
      <c r="J367">
        <v>0.05</v>
      </c>
      <c r="K367">
        <v>216380.1</v>
      </c>
      <c r="L367">
        <v>31150.28</v>
      </c>
      <c r="M367">
        <v>2025</v>
      </c>
      <c r="N367" t="s">
        <v>621</v>
      </c>
      <c r="O367" t="s">
        <v>625</v>
      </c>
      <c r="P367">
        <v>0.14396092801509935</v>
      </c>
    </row>
    <row r="368" spans="1:16" x14ac:dyDescent="0.3">
      <c r="A368" t="s">
        <v>468</v>
      </c>
      <c r="B368" s="12">
        <v>45923</v>
      </c>
      <c r="C368" t="s">
        <v>147</v>
      </c>
      <c r="D368" t="s">
        <v>21</v>
      </c>
      <c r="E368" t="s">
        <v>57</v>
      </c>
      <c r="F368" t="s">
        <v>16</v>
      </c>
      <c r="G368" t="s">
        <v>41</v>
      </c>
      <c r="H368" t="s">
        <v>42</v>
      </c>
      <c r="I368">
        <v>7</v>
      </c>
      <c r="J368">
        <v>0.1</v>
      </c>
      <c r="K368">
        <v>20653.36</v>
      </c>
      <c r="L368">
        <v>4029.66</v>
      </c>
      <c r="M368">
        <v>2025</v>
      </c>
      <c r="N368" t="s">
        <v>621</v>
      </c>
      <c r="O368" t="s">
        <v>625</v>
      </c>
      <c r="P368">
        <v>0.19510917351946608</v>
      </c>
    </row>
    <row r="369" spans="1:16" x14ac:dyDescent="0.3">
      <c r="A369" t="s">
        <v>469</v>
      </c>
      <c r="B369" s="12">
        <v>45924</v>
      </c>
      <c r="C369" t="s">
        <v>56</v>
      </c>
      <c r="D369" t="s">
        <v>33</v>
      </c>
      <c r="E369" t="s">
        <v>34</v>
      </c>
      <c r="F369" t="s">
        <v>28</v>
      </c>
      <c r="G369" t="s">
        <v>92</v>
      </c>
      <c r="H369" t="s">
        <v>204</v>
      </c>
      <c r="I369">
        <v>3</v>
      </c>
      <c r="J369">
        <v>0</v>
      </c>
      <c r="K369">
        <v>5528.4</v>
      </c>
      <c r="L369">
        <v>1120.3900000000001</v>
      </c>
      <c r="M369">
        <v>2025</v>
      </c>
      <c r="N369" t="s">
        <v>621</v>
      </c>
      <c r="O369" t="s">
        <v>625</v>
      </c>
      <c r="P369">
        <v>0.20266080601982495</v>
      </c>
    </row>
    <row r="370" spans="1:16" x14ac:dyDescent="0.3">
      <c r="A370" t="s">
        <v>470</v>
      </c>
      <c r="B370" s="12">
        <v>45925</v>
      </c>
      <c r="C370" t="s">
        <v>56</v>
      </c>
      <c r="D370" t="s">
        <v>14</v>
      </c>
      <c r="E370" t="s">
        <v>97</v>
      </c>
      <c r="F370" t="s">
        <v>23</v>
      </c>
      <c r="G370" t="s">
        <v>58</v>
      </c>
      <c r="H370" t="s">
        <v>101</v>
      </c>
      <c r="I370">
        <v>6</v>
      </c>
      <c r="J370">
        <v>0.1</v>
      </c>
      <c r="K370">
        <v>207218.82</v>
      </c>
      <c r="L370">
        <v>31836.16</v>
      </c>
      <c r="M370">
        <v>2025</v>
      </c>
      <c r="N370" t="s">
        <v>621</v>
      </c>
      <c r="O370" t="s">
        <v>625</v>
      </c>
      <c r="P370">
        <v>0.15363546612223736</v>
      </c>
    </row>
    <row r="371" spans="1:16" x14ac:dyDescent="0.3">
      <c r="A371" t="s">
        <v>471</v>
      </c>
      <c r="B371" s="12">
        <v>45926</v>
      </c>
      <c r="C371" t="s">
        <v>229</v>
      </c>
      <c r="D371" t="s">
        <v>21</v>
      </c>
      <c r="E371" t="s">
        <v>105</v>
      </c>
      <c r="F371" t="s">
        <v>16</v>
      </c>
      <c r="G371" t="s">
        <v>62</v>
      </c>
      <c r="H371" t="s">
        <v>63</v>
      </c>
      <c r="I371">
        <v>2</v>
      </c>
      <c r="J371">
        <v>0.15</v>
      </c>
      <c r="K371">
        <v>4029.76</v>
      </c>
      <c r="L371">
        <v>671.05</v>
      </c>
      <c r="M371">
        <v>2025</v>
      </c>
      <c r="N371" t="s">
        <v>621</v>
      </c>
      <c r="O371" t="s">
        <v>625</v>
      </c>
      <c r="P371">
        <v>0.16652356467878979</v>
      </c>
    </row>
    <row r="372" spans="1:16" x14ac:dyDescent="0.3">
      <c r="A372" t="s">
        <v>472</v>
      </c>
      <c r="B372" s="12">
        <v>45926</v>
      </c>
      <c r="C372" t="s">
        <v>100</v>
      </c>
      <c r="D372" t="s">
        <v>33</v>
      </c>
      <c r="E372" t="s">
        <v>86</v>
      </c>
      <c r="F372" t="s">
        <v>28</v>
      </c>
      <c r="G372" t="s">
        <v>74</v>
      </c>
      <c r="H372" t="s">
        <v>75</v>
      </c>
      <c r="I372">
        <v>6</v>
      </c>
      <c r="J372">
        <v>0.1</v>
      </c>
      <c r="K372">
        <v>11954.64</v>
      </c>
      <c r="L372">
        <v>914.69</v>
      </c>
      <c r="M372">
        <v>2025</v>
      </c>
      <c r="N372" t="s">
        <v>621</v>
      </c>
      <c r="O372" t="s">
        <v>625</v>
      </c>
      <c r="P372">
        <v>7.6513387270549349E-2</v>
      </c>
    </row>
    <row r="373" spans="1:16" x14ac:dyDescent="0.3">
      <c r="A373" t="s">
        <v>473</v>
      </c>
      <c r="B373" s="12">
        <v>45927</v>
      </c>
      <c r="C373" t="s">
        <v>82</v>
      </c>
      <c r="D373" t="s">
        <v>21</v>
      </c>
      <c r="E373" t="s">
        <v>67</v>
      </c>
      <c r="F373" t="s">
        <v>16</v>
      </c>
      <c r="G373" t="s">
        <v>41</v>
      </c>
      <c r="H373" t="s">
        <v>42</v>
      </c>
      <c r="I373">
        <v>2</v>
      </c>
      <c r="J373">
        <v>0.05</v>
      </c>
      <c r="K373">
        <v>7254.84</v>
      </c>
      <c r="L373">
        <v>1495.33</v>
      </c>
      <c r="M373">
        <v>2025</v>
      </c>
      <c r="N373" t="s">
        <v>621</v>
      </c>
      <c r="O373" t="s">
        <v>625</v>
      </c>
      <c r="P373">
        <v>0.20611481438598231</v>
      </c>
    </row>
    <row r="374" spans="1:16" x14ac:dyDescent="0.3">
      <c r="A374" t="s">
        <v>474</v>
      </c>
      <c r="B374" s="12">
        <v>45928</v>
      </c>
      <c r="C374" t="s">
        <v>56</v>
      </c>
      <c r="D374" t="s">
        <v>21</v>
      </c>
      <c r="E374" t="s">
        <v>22</v>
      </c>
      <c r="F374" t="s">
        <v>28</v>
      </c>
      <c r="G374" t="s">
        <v>71</v>
      </c>
      <c r="H374" t="s">
        <v>121</v>
      </c>
      <c r="I374">
        <v>6</v>
      </c>
      <c r="J374">
        <v>0</v>
      </c>
      <c r="K374">
        <v>6361.92</v>
      </c>
      <c r="L374">
        <v>1548.49</v>
      </c>
      <c r="M374">
        <v>2025</v>
      </c>
      <c r="N374" t="s">
        <v>621</v>
      </c>
      <c r="O374" t="s">
        <v>625</v>
      </c>
      <c r="P374">
        <v>0.243399791257985</v>
      </c>
    </row>
    <row r="375" spans="1:16" x14ac:dyDescent="0.3">
      <c r="A375" t="s">
        <v>475</v>
      </c>
      <c r="B375" s="12">
        <v>45928</v>
      </c>
      <c r="C375" t="s">
        <v>32</v>
      </c>
      <c r="D375" t="s">
        <v>21</v>
      </c>
      <c r="E375" t="s">
        <v>67</v>
      </c>
      <c r="F375" t="s">
        <v>23</v>
      </c>
      <c r="G375" t="s">
        <v>58</v>
      </c>
      <c r="H375" t="s">
        <v>78</v>
      </c>
      <c r="I375">
        <v>5</v>
      </c>
      <c r="J375">
        <v>0.1</v>
      </c>
      <c r="K375">
        <v>117160.6</v>
      </c>
      <c r="L375">
        <v>21919.62</v>
      </c>
      <c r="M375">
        <v>2025</v>
      </c>
      <c r="N375" t="s">
        <v>621</v>
      </c>
      <c r="O375" t="s">
        <v>625</v>
      </c>
      <c r="P375">
        <v>0.1870903699707922</v>
      </c>
    </row>
    <row r="376" spans="1:16" x14ac:dyDescent="0.3">
      <c r="A376" t="s">
        <v>476</v>
      </c>
      <c r="B376" s="12">
        <v>45928</v>
      </c>
      <c r="C376" t="s">
        <v>38</v>
      </c>
      <c r="D376" t="s">
        <v>21</v>
      </c>
      <c r="E376" t="s">
        <v>22</v>
      </c>
      <c r="F376" t="s">
        <v>16</v>
      </c>
      <c r="G376" t="s">
        <v>68</v>
      </c>
      <c r="H376" t="s">
        <v>83</v>
      </c>
      <c r="I376">
        <v>3</v>
      </c>
      <c r="J376">
        <v>0</v>
      </c>
      <c r="K376">
        <v>5883.6</v>
      </c>
      <c r="L376">
        <v>1298.73</v>
      </c>
      <c r="M376">
        <v>2025</v>
      </c>
      <c r="N376" t="s">
        <v>621</v>
      </c>
      <c r="O376" t="s">
        <v>625</v>
      </c>
      <c r="P376">
        <v>0.22073730369161737</v>
      </c>
    </row>
    <row r="377" spans="1:16" x14ac:dyDescent="0.3">
      <c r="A377" t="s">
        <v>477</v>
      </c>
      <c r="B377" s="12">
        <v>45929</v>
      </c>
      <c r="C377" t="s">
        <v>51</v>
      </c>
      <c r="D377" t="s">
        <v>21</v>
      </c>
      <c r="E377" t="s">
        <v>22</v>
      </c>
      <c r="F377" t="s">
        <v>28</v>
      </c>
      <c r="G377" t="s">
        <v>74</v>
      </c>
      <c r="H377" t="s">
        <v>80</v>
      </c>
      <c r="I377">
        <v>6</v>
      </c>
      <c r="J377">
        <v>0.2</v>
      </c>
      <c r="K377">
        <v>5283.54</v>
      </c>
      <c r="L377">
        <v>85.31</v>
      </c>
      <c r="M377">
        <v>2025</v>
      </c>
      <c r="N377" t="s">
        <v>621</v>
      </c>
      <c r="O377" t="s">
        <v>625</v>
      </c>
      <c r="P377">
        <v>1.6146371561490971E-2</v>
      </c>
    </row>
    <row r="378" spans="1:16" x14ac:dyDescent="0.3">
      <c r="A378" t="s">
        <v>478</v>
      </c>
      <c r="B378" s="12">
        <v>45930</v>
      </c>
      <c r="C378" t="s">
        <v>82</v>
      </c>
      <c r="D378" t="s">
        <v>33</v>
      </c>
      <c r="E378" t="s">
        <v>140</v>
      </c>
      <c r="F378" t="s">
        <v>16</v>
      </c>
      <c r="G378" t="s">
        <v>17</v>
      </c>
      <c r="H378" t="s">
        <v>88</v>
      </c>
      <c r="I378">
        <v>2</v>
      </c>
      <c r="J378">
        <v>0.1</v>
      </c>
      <c r="K378">
        <v>6452.94</v>
      </c>
      <c r="L378">
        <v>334.33</v>
      </c>
      <c r="M378">
        <v>2025</v>
      </c>
      <c r="N378" t="s">
        <v>621</v>
      </c>
      <c r="O378" t="s">
        <v>625</v>
      </c>
      <c r="P378">
        <v>5.181049258167595E-2</v>
      </c>
    </row>
    <row r="379" spans="1:16" x14ac:dyDescent="0.3">
      <c r="A379" t="s">
        <v>479</v>
      </c>
      <c r="B379" s="12">
        <v>45930</v>
      </c>
      <c r="C379" t="s">
        <v>77</v>
      </c>
      <c r="D379" t="s">
        <v>33</v>
      </c>
      <c r="E379" t="s">
        <v>45</v>
      </c>
      <c r="F379" t="s">
        <v>28</v>
      </c>
      <c r="G379" t="s">
        <v>92</v>
      </c>
      <c r="H379" t="s">
        <v>93</v>
      </c>
      <c r="I379">
        <v>6</v>
      </c>
      <c r="J379">
        <v>0</v>
      </c>
      <c r="K379">
        <v>15198.9</v>
      </c>
      <c r="L379">
        <v>2042.86</v>
      </c>
      <c r="M379">
        <v>2025</v>
      </c>
      <c r="N379" t="s">
        <v>621</v>
      </c>
      <c r="O379" t="s">
        <v>625</v>
      </c>
      <c r="P379">
        <v>0.13440841113501634</v>
      </c>
    </row>
    <row r="380" spans="1:16" x14ac:dyDescent="0.3">
      <c r="A380" t="s">
        <v>480</v>
      </c>
      <c r="B380" s="12">
        <v>45930</v>
      </c>
      <c r="C380" t="s">
        <v>66</v>
      </c>
      <c r="D380" t="s">
        <v>33</v>
      </c>
      <c r="E380" t="s">
        <v>140</v>
      </c>
      <c r="F380" t="s">
        <v>28</v>
      </c>
      <c r="G380" t="s">
        <v>74</v>
      </c>
      <c r="H380" t="s">
        <v>159</v>
      </c>
      <c r="I380">
        <v>7</v>
      </c>
      <c r="J380">
        <v>0</v>
      </c>
      <c r="K380">
        <v>33078.57</v>
      </c>
      <c r="L380">
        <v>3238.79</v>
      </c>
      <c r="M380">
        <v>2025</v>
      </c>
      <c r="N380" t="s">
        <v>621</v>
      </c>
      <c r="O380" t="s">
        <v>625</v>
      </c>
      <c r="P380">
        <v>9.7912031868366736E-2</v>
      </c>
    </row>
    <row r="381" spans="1:16" x14ac:dyDescent="0.3">
      <c r="A381" t="s">
        <v>481</v>
      </c>
      <c r="B381" s="12">
        <v>45931</v>
      </c>
      <c r="C381" t="s">
        <v>229</v>
      </c>
      <c r="D381" t="s">
        <v>39</v>
      </c>
      <c r="E381" t="s">
        <v>52</v>
      </c>
      <c r="F381" t="s">
        <v>23</v>
      </c>
      <c r="G381" t="s">
        <v>35</v>
      </c>
      <c r="H381" t="s">
        <v>155</v>
      </c>
      <c r="I381">
        <v>6</v>
      </c>
      <c r="J381">
        <v>0.1</v>
      </c>
      <c r="K381">
        <v>292531.38</v>
      </c>
      <c r="L381">
        <v>47725.59</v>
      </c>
      <c r="M381">
        <v>2025</v>
      </c>
      <c r="N381" t="s">
        <v>622</v>
      </c>
      <c r="O381" t="s">
        <v>625</v>
      </c>
      <c r="P381">
        <v>0.16314690752151101</v>
      </c>
    </row>
    <row r="382" spans="1:16" x14ac:dyDescent="0.3">
      <c r="A382" t="s">
        <v>482</v>
      </c>
      <c r="B382" s="12">
        <v>45932</v>
      </c>
      <c r="C382" t="s">
        <v>27</v>
      </c>
      <c r="D382" t="s">
        <v>21</v>
      </c>
      <c r="E382" t="s">
        <v>67</v>
      </c>
      <c r="F382" t="s">
        <v>28</v>
      </c>
      <c r="G382" t="s">
        <v>29</v>
      </c>
      <c r="H382" t="s">
        <v>30</v>
      </c>
      <c r="I382">
        <v>4</v>
      </c>
      <c r="J382">
        <v>0</v>
      </c>
      <c r="K382">
        <v>752.92</v>
      </c>
      <c r="L382">
        <v>99.24</v>
      </c>
      <c r="M382">
        <v>2025</v>
      </c>
      <c r="N382" t="s">
        <v>622</v>
      </c>
      <c r="O382" t="s">
        <v>627</v>
      </c>
      <c r="P382">
        <v>0.13180683206715188</v>
      </c>
    </row>
    <row r="383" spans="1:16" x14ac:dyDescent="0.3">
      <c r="A383" t="s">
        <v>483</v>
      </c>
      <c r="B383" s="12">
        <v>45932</v>
      </c>
      <c r="C383" t="s">
        <v>13</v>
      </c>
      <c r="D383" t="s">
        <v>21</v>
      </c>
      <c r="E383" t="s">
        <v>57</v>
      </c>
      <c r="F383" t="s">
        <v>16</v>
      </c>
      <c r="G383" t="s">
        <v>41</v>
      </c>
      <c r="H383" t="s">
        <v>177</v>
      </c>
      <c r="I383">
        <v>1</v>
      </c>
      <c r="J383">
        <v>0</v>
      </c>
      <c r="K383">
        <v>1913.59</v>
      </c>
      <c r="L383">
        <v>387.24</v>
      </c>
      <c r="M383">
        <v>2025</v>
      </c>
      <c r="N383" t="s">
        <v>622</v>
      </c>
      <c r="O383" t="s">
        <v>625</v>
      </c>
      <c r="P383">
        <v>0.20236309763324434</v>
      </c>
    </row>
    <row r="384" spans="1:16" x14ac:dyDescent="0.3">
      <c r="A384" t="s">
        <v>484</v>
      </c>
      <c r="B384" s="12">
        <v>45934</v>
      </c>
      <c r="C384" t="s">
        <v>85</v>
      </c>
      <c r="D384" t="s">
        <v>33</v>
      </c>
      <c r="E384" t="s">
        <v>34</v>
      </c>
      <c r="F384" t="s">
        <v>28</v>
      </c>
      <c r="G384" t="s">
        <v>71</v>
      </c>
      <c r="H384" t="s">
        <v>121</v>
      </c>
      <c r="I384">
        <v>6</v>
      </c>
      <c r="J384">
        <v>0.2</v>
      </c>
      <c r="K384">
        <v>6320.04</v>
      </c>
      <c r="L384">
        <v>726.49</v>
      </c>
      <c r="M384">
        <v>2025</v>
      </c>
      <c r="N384" t="s">
        <v>622</v>
      </c>
      <c r="O384" t="s">
        <v>625</v>
      </c>
      <c r="P384">
        <v>0.11495022183403902</v>
      </c>
    </row>
    <row r="385" spans="1:16" x14ac:dyDescent="0.3">
      <c r="A385" t="s">
        <v>485</v>
      </c>
      <c r="B385" s="12">
        <v>45934</v>
      </c>
      <c r="C385" t="s">
        <v>135</v>
      </c>
      <c r="D385" t="s">
        <v>39</v>
      </c>
      <c r="E385" t="s">
        <v>128</v>
      </c>
      <c r="F385" t="s">
        <v>16</v>
      </c>
      <c r="G385" t="s">
        <v>17</v>
      </c>
      <c r="H385" t="s">
        <v>153</v>
      </c>
      <c r="I385">
        <v>5</v>
      </c>
      <c r="J385">
        <v>0.05</v>
      </c>
      <c r="K385">
        <v>38202.25</v>
      </c>
      <c r="L385">
        <v>5939.16</v>
      </c>
      <c r="M385">
        <v>2025</v>
      </c>
      <c r="N385" t="s">
        <v>622</v>
      </c>
      <c r="O385" t="s">
        <v>625</v>
      </c>
      <c r="P385">
        <v>0.15546623562748266</v>
      </c>
    </row>
    <row r="386" spans="1:16" x14ac:dyDescent="0.3">
      <c r="A386" t="s">
        <v>486</v>
      </c>
      <c r="B386" s="12">
        <v>45935</v>
      </c>
      <c r="C386" t="s">
        <v>56</v>
      </c>
      <c r="D386" t="s">
        <v>21</v>
      </c>
      <c r="E386" t="s">
        <v>105</v>
      </c>
      <c r="F386" t="s">
        <v>16</v>
      </c>
      <c r="G386" t="s">
        <v>17</v>
      </c>
      <c r="H386" t="s">
        <v>88</v>
      </c>
      <c r="I386">
        <v>5</v>
      </c>
      <c r="J386">
        <v>0</v>
      </c>
      <c r="K386">
        <v>37803.300000000003</v>
      </c>
      <c r="L386">
        <v>3910.39</v>
      </c>
      <c r="M386">
        <v>2025</v>
      </c>
      <c r="N386" t="s">
        <v>622</v>
      </c>
      <c r="O386" t="s">
        <v>625</v>
      </c>
      <c r="P386">
        <v>0.10344044038483412</v>
      </c>
    </row>
    <row r="387" spans="1:16" x14ac:dyDescent="0.3">
      <c r="A387" t="s">
        <v>487</v>
      </c>
      <c r="B387" s="12">
        <v>45935</v>
      </c>
      <c r="C387" t="s">
        <v>100</v>
      </c>
      <c r="D387" t="s">
        <v>39</v>
      </c>
      <c r="E387" t="s">
        <v>40</v>
      </c>
      <c r="F387" t="s">
        <v>23</v>
      </c>
      <c r="G387" t="s">
        <v>35</v>
      </c>
      <c r="H387" t="s">
        <v>36</v>
      </c>
      <c r="I387">
        <v>5</v>
      </c>
      <c r="J387">
        <v>0.1</v>
      </c>
      <c r="K387">
        <v>149225.54999999999</v>
      </c>
      <c r="L387">
        <v>14263.46</v>
      </c>
      <c r="M387">
        <v>2025</v>
      </c>
      <c r="N387" t="s">
        <v>622</v>
      </c>
      <c r="O387" t="s">
        <v>625</v>
      </c>
      <c r="P387">
        <v>9.5583229547487006E-2</v>
      </c>
    </row>
    <row r="388" spans="1:16" x14ac:dyDescent="0.3">
      <c r="A388" t="s">
        <v>488</v>
      </c>
      <c r="B388" s="12">
        <v>45935</v>
      </c>
      <c r="C388" t="s">
        <v>95</v>
      </c>
      <c r="D388" t="s">
        <v>14</v>
      </c>
      <c r="E388" t="s">
        <v>15</v>
      </c>
      <c r="F388" t="s">
        <v>28</v>
      </c>
      <c r="G388" t="s">
        <v>71</v>
      </c>
      <c r="H388" t="s">
        <v>121</v>
      </c>
      <c r="I388">
        <v>7</v>
      </c>
      <c r="J388">
        <v>0.15</v>
      </c>
      <c r="K388">
        <v>11073.02</v>
      </c>
      <c r="L388">
        <v>1466.37</v>
      </c>
      <c r="M388">
        <v>2025</v>
      </c>
      <c r="N388" t="s">
        <v>622</v>
      </c>
      <c r="O388" t="s">
        <v>625</v>
      </c>
      <c r="P388">
        <v>0.13242728722606839</v>
      </c>
    </row>
    <row r="389" spans="1:16" x14ac:dyDescent="0.3">
      <c r="A389" t="s">
        <v>489</v>
      </c>
      <c r="B389" s="12">
        <v>45936</v>
      </c>
      <c r="C389" t="s">
        <v>27</v>
      </c>
      <c r="D389" t="s">
        <v>39</v>
      </c>
      <c r="E389" t="s">
        <v>128</v>
      </c>
      <c r="F389" t="s">
        <v>16</v>
      </c>
      <c r="G389" t="s">
        <v>17</v>
      </c>
      <c r="H389" t="s">
        <v>153</v>
      </c>
      <c r="I389">
        <v>4</v>
      </c>
      <c r="J389">
        <v>0.05</v>
      </c>
      <c r="K389">
        <v>20811.84</v>
      </c>
      <c r="L389">
        <v>4538.78</v>
      </c>
      <c r="M389">
        <v>2025</v>
      </c>
      <c r="N389" t="s">
        <v>622</v>
      </c>
      <c r="O389" t="s">
        <v>625</v>
      </c>
      <c r="P389">
        <v>0.21808643541368758</v>
      </c>
    </row>
    <row r="390" spans="1:16" x14ac:dyDescent="0.3">
      <c r="A390" t="s">
        <v>490</v>
      </c>
      <c r="B390" s="12">
        <v>45937</v>
      </c>
      <c r="C390" t="s">
        <v>77</v>
      </c>
      <c r="D390" t="s">
        <v>14</v>
      </c>
      <c r="E390" t="s">
        <v>114</v>
      </c>
      <c r="F390" t="s">
        <v>28</v>
      </c>
      <c r="G390" t="s">
        <v>29</v>
      </c>
      <c r="H390" t="s">
        <v>98</v>
      </c>
      <c r="I390">
        <v>2</v>
      </c>
      <c r="J390">
        <v>0.1</v>
      </c>
      <c r="K390">
        <v>5744.62</v>
      </c>
      <c r="L390">
        <v>1132.1099999999999</v>
      </c>
      <c r="M390">
        <v>2025</v>
      </c>
      <c r="N390" t="s">
        <v>622</v>
      </c>
      <c r="O390" t="s">
        <v>625</v>
      </c>
      <c r="P390">
        <v>0.197073087514927</v>
      </c>
    </row>
    <row r="391" spans="1:16" x14ac:dyDescent="0.3">
      <c r="A391" t="s">
        <v>491</v>
      </c>
      <c r="B391" s="12">
        <v>45937</v>
      </c>
      <c r="C391" t="s">
        <v>135</v>
      </c>
      <c r="D391" t="s">
        <v>33</v>
      </c>
      <c r="E391" t="s">
        <v>45</v>
      </c>
      <c r="F391" t="s">
        <v>28</v>
      </c>
      <c r="G391" t="s">
        <v>71</v>
      </c>
      <c r="H391" t="s">
        <v>72</v>
      </c>
      <c r="I391">
        <v>3</v>
      </c>
      <c r="J391">
        <v>0.05</v>
      </c>
      <c r="K391">
        <v>9167.34</v>
      </c>
      <c r="L391">
        <v>1984.17</v>
      </c>
      <c r="M391">
        <v>2025</v>
      </c>
      <c r="N391" t="s">
        <v>622</v>
      </c>
      <c r="O391" t="s">
        <v>625</v>
      </c>
      <c r="P391">
        <v>0.2164390106617623</v>
      </c>
    </row>
    <row r="392" spans="1:16" x14ac:dyDescent="0.3">
      <c r="A392" t="s">
        <v>492</v>
      </c>
      <c r="B392" s="12">
        <v>45937</v>
      </c>
      <c r="C392" t="s">
        <v>13</v>
      </c>
      <c r="D392" t="s">
        <v>33</v>
      </c>
      <c r="E392" t="s">
        <v>34</v>
      </c>
      <c r="F392" t="s">
        <v>28</v>
      </c>
      <c r="G392" t="s">
        <v>71</v>
      </c>
      <c r="H392" t="s">
        <v>72</v>
      </c>
      <c r="I392">
        <v>4</v>
      </c>
      <c r="J392">
        <v>0.2</v>
      </c>
      <c r="K392">
        <v>12297.88</v>
      </c>
      <c r="L392">
        <v>417.6</v>
      </c>
      <c r="M392">
        <v>2025</v>
      </c>
      <c r="N392" t="s">
        <v>622</v>
      </c>
      <c r="O392" t="s">
        <v>625</v>
      </c>
      <c r="P392">
        <v>3.3957072275871941E-2</v>
      </c>
    </row>
    <row r="393" spans="1:16" x14ac:dyDescent="0.3">
      <c r="A393" t="s">
        <v>493</v>
      </c>
      <c r="B393" s="12">
        <v>45938</v>
      </c>
      <c r="C393" t="s">
        <v>82</v>
      </c>
      <c r="D393" t="s">
        <v>21</v>
      </c>
      <c r="E393" t="s">
        <v>105</v>
      </c>
      <c r="F393" t="s">
        <v>28</v>
      </c>
      <c r="G393" t="s">
        <v>71</v>
      </c>
      <c r="H393" t="s">
        <v>121</v>
      </c>
      <c r="I393">
        <v>4</v>
      </c>
      <c r="J393">
        <v>0.15</v>
      </c>
      <c r="K393">
        <v>11429.92</v>
      </c>
      <c r="L393">
        <v>1233.81</v>
      </c>
      <c r="M393">
        <v>2025</v>
      </c>
      <c r="N393" t="s">
        <v>622</v>
      </c>
      <c r="O393" t="s">
        <v>625</v>
      </c>
      <c r="P393">
        <v>0.10794563741478505</v>
      </c>
    </row>
    <row r="394" spans="1:16" x14ac:dyDescent="0.3">
      <c r="A394" t="s">
        <v>494</v>
      </c>
      <c r="B394" s="12">
        <v>45938</v>
      </c>
      <c r="C394" t="s">
        <v>104</v>
      </c>
      <c r="D394" t="s">
        <v>39</v>
      </c>
      <c r="E394" t="s">
        <v>40</v>
      </c>
      <c r="F394" t="s">
        <v>23</v>
      </c>
      <c r="G394" t="s">
        <v>58</v>
      </c>
      <c r="H394" t="s">
        <v>78</v>
      </c>
      <c r="I394">
        <v>7</v>
      </c>
      <c r="J394">
        <v>0.05</v>
      </c>
      <c r="K394">
        <v>60996.11</v>
      </c>
      <c r="L394">
        <v>3909.02</v>
      </c>
      <c r="M394">
        <v>2025</v>
      </c>
      <c r="N394" t="s">
        <v>622</v>
      </c>
      <c r="O394" t="s">
        <v>625</v>
      </c>
      <c r="P394">
        <v>6.4086381902058995E-2</v>
      </c>
    </row>
    <row r="395" spans="1:16" x14ac:dyDescent="0.3">
      <c r="A395" t="s">
        <v>495</v>
      </c>
      <c r="B395" s="12">
        <v>45939</v>
      </c>
      <c r="C395" t="s">
        <v>147</v>
      </c>
      <c r="D395" t="s">
        <v>33</v>
      </c>
      <c r="E395" t="s">
        <v>86</v>
      </c>
      <c r="F395" t="s">
        <v>16</v>
      </c>
      <c r="G395" t="s">
        <v>68</v>
      </c>
      <c r="H395" t="s">
        <v>175</v>
      </c>
      <c r="I395">
        <v>6</v>
      </c>
      <c r="J395">
        <v>0.2</v>
      </c>
      <c r="K395">
        <v>66168.72</v>
      </c>
      <c r="L395">
        <v>8884.74</v>
      </c>
      <c r="M395">
        <v>2025</v>
      </c>
      <c r="N395" t="s">
        <v>622</v>
      </c>
      <c r="O395" t="s">
        <v>625</v>
      </c>
      <c r="P395">
        <v>0.13427401950649792</v>
      </c>
    </row>
    <row r="396" spans="1:16" x14ac:dyDescent="0.3">
      <c r="A396" t="s">
        <v>496</v>
      </c>
      <c r="B396" s="12">
        <v>45940</v>
      </c>
      <c r="C396" t="s">
        <v>95</v>
      </c>
      <c r="D396" t="s">
        <v>39</v>
      </c>
      <c r="E396" t="s">
        <v>128</v>
      </c>
      <c r="F396" t="s">
        <v>28</v>
      </c>
      <c r="G396" t="s">
        <v>29</v>
      </c>
      <c r="H396" t="s">
        <v>30</v>
      </c>
      <c r="I396">
        <v>5</v>
      </c>
      <c r="J396">
        <v>0.1</v>
      </c>
      <c r="K396">
        <v>13076.5</v>
      </c>
      <c r="L396">
        <v>1880.69</v>
      </c>
      <c r="M396">
        <v>2025</v>
      </c>
      <c r="N396" t="s">
        <v>622</v>
      </c>
      <c r="O396" t="s">
        <v>625</v>
      </c>
      <c r="P396">
        <v>0.14382212365694186</v>
      </c>
    </row>
    <row r="397" spans="1:16" x14ac:dyDescent="0.3">
      <c r="A397" t="s">
        <v>497</v>
      </c>
      <c r="B397" s="12">
        <v>45942</v>
      </c>
      <c r="C397" t="s">
        <v>27</v>
      </c>
      <c r="D397" t="s">
        <v>21</v>
      </c>
      <c r="E397" t="s">
        <v>105</v>
      </c>
      <c r="F397" t="s">
        <v>23</v>
      </c>
      <c r="G397" t="s">
        <v>58</v>
      </c>
      <c r="H397" t="s">
        <v>59</v>
      </c>
      <c r="I397">
        <v>2</v>
      </c>
      <c r="J397">
        <v>0.1</v>
      </c>
      <c r="K397">
        <v>37212.92</v>
      </c>
      <c r="L397">
        <v>5462.03</v>
      </c>
      <c r="M397">
        <v>2025</v>
      </c>
      <c r="N397" t="s">
        <v>622</v>
      </c>
      <c r="O397" t="s">
        <v>625</v>
      </c>
      <c r="P397">
        <v>0.14677778577977757</v>
      </c>
    </row>
    <row r="398" spans="1:16" x14ac:dyDescent="0.3">
      <c r="A398" t="s">
        <v>498</v>
      </c>
      <c r="B398" s="12">
        <v>45942</v>
      </c>
      <c r="C398" t="s">
        <v>95</v>
      </c>
      <c r="D398" t="s">
        <v>21</v>
      </c>
      <c r="E398" t="s">
        <v>22</v>
      </c>
      <c r="F398" t="s">
        <v>16</v>
      </c>
      <c r="G398" t="s">
        <v>68</v>
      </c>
      <c r="H398" t="s">
        <v>175</v>
      </c>
      <c r="I398">
        <v>1</v>
      </c>
      <c r="J398">
        <v>0.2</v>
      </c>
      <c r="K398">
        <v>11541.56</v>
      </c>
      <c r="L398">
        <v>1985.06</v>
      </c>
      <c r="M398">
        <v>2025</v>
      </c>
      <c r="N398" t="s">
        <v>622</v>
      </c>
      <c r="O398" t="s">
        <v>625</v>
      </c>
      <c r="P398">
        <v>0.17199234765490973</v>
      </c>
    </row>
    <row r="399" spans="1:16" x14ac:dyDescent="0.3">
      <c r="A399" t="s">
        <v>499</v>
      </c>
      <c r="B399" s="12">
        <v>45943</v>
      </c>
      <c r="C399" t="s">
        <v>138</v>
      </c>
      <c r="D399" t="s">
        <v>14</v>
      </c>
      <c r="E399" t="s">
        <v>114</v>
      </c>
      <c r="F399" t="s">
        <v>23</v>
      </c>
      <c r="G399" t="s">
        <v>48</v>
      </c>
      <c r="H399" t="s">
        <v>124</v>
      </c>
      <c r="I399">
        <v>5</v>
      </c>
      <c r="J399">
        <v>0.2</v>
      </c>
      <c r="K399">
        <v>193284.45</v>
      </c>
      <c r="L399">
        <v>25200.560000000001</v>
      </c>
      <c r="M399">
        <v>2025</v>
      </c>
      <c r="N399" t="s">
        <v>622</v>
      </c>
      <c r="O399" t="s">
        <v>625</v>
      </c>
      <c r="P399">
        <v>0.13038069022107054</v>
      </c>
    </row>
    <row r="400" spans="1:16" x14ac:dyDescent="0.3">
      <c r="A400" t="s">
        <v>500</v>
      </c>
      <c r="B400" s="12">
        <v>45944</v>
      </c>
      <c r="C400" t="s">
        <v>20</v>
      </c>
      <c r="D400" t="s">
        <v>14</v>
      </c>
      <c r="E400" t="s">
        <v>97</v>
      </c>
      <c r="F400" t="s">
        <v>16</v>
      </c>
      <c r="G400" t="s">
        <v>68</v>
      </c>
      <c r="H400" t="s">
        <v>175</v>
      </c>
      <c r="I400">
        <v>5</v>
      </c>
      <c r="J400">
        <v>0.05</v>
      </c>
      <c r="K400">
        <v>47393.8</v>
      </c>
      <c r="L400">
        <v>4668.21</v>
      </c>
      <c r="M400">
        <v>2025</v>
      </c>
      <c r="N400" t="s">
        <v>622</v>
      </c>
      <c r="O400" t="s">
        <v>625</v>
      </c>
      <c r="P400">
        <v>9.8498326785360107E-2</v>
      </c>
    </row>
    <row r="401" spans="1:16" x14ac:dyDescent="0.3">
      <c r="A401" t="s">
        <v>501</v>
      </c>
      <c r="B401" s="12">
        <v>45946</v>
      </c>
      <c r="C401" t="s">
        <v>111</v>
      </c>
      <c r="D401" t="s">
        <v>14</v>
      </c>
      <c r="E401" t="s">
        <v>15</v>
      </c>
      <c r="F401" t="s">
        <v>23</v>
      </c>
      <c r="G401" t="s">
        <v>24</v>
      </c>
      <c r="H401" t="s">
        <v>129</v>
      </c>
      <c r="I401">
        <v>3</v>
      </c>
      <c r="J401">
        <v>0.15</v>
      </c>
      <c r="K401">
        <v>130540.53</v>
      </c>
      <c r="L401">
        <v>22465.88</v>
      </c>
      <c r="M401">
        <v>2025</v>
      </c>
      <c r="N401" t="s">
        <v>622</v>
      </c>
      <c r="O401" t="s">
        <v>625</v>
      </c>
      <c r="P401">
        <v>0.17209888760218761</v>
      </c>
    </row>
    <row r="402" spans="1:16" x14ac:dyDescent="0.3">
      <c r="A402" t="s">
        <v>502</v>
      </c>
      <c r="B402" s="12">
        <v>45946</v>
      </c>
      <c r="C402" t="s">
        <v>66</v>
      </c>
      <c r="D402" t="s">
        <v>21</v>
      </c>
      <c r="E402" t="s">
        <v>57</v>
      </c>
      <c r="F402" t="s">
        <v>23</v>
      </c>
      <c r="G402" t="s">
        <v>24</v>
      </c>
      <c r="H402" t="s">
        <v>132</v>
      </c>
      <c r="I402">
        <v>6</v>
      </c>
      <c r="J402">
        <v>0.2</v>
      </c>
      <c r="K402">
        <v>215591.7</v>
      </c>
      <c r="L402">
        <v>34289.89</v>
      </c>
      <c r="M402">
        <v>2025</v>
      </c>
      <c r="N402" t="s">
        <v>622</v>
      </c>
      <c r="O402" t="s">
        <v>625</v>
      </c>
      <c r="P402">
        <v>0.15905013968534037</v>
      </c>
    </row>
    <row r="403" spans="1:16" x14ac:dyDescent="0.3">
      <c r="A403" t="s">
        <v>503</v>
      </c>
      <c r="B403" s="12">
        <v>45946</v>
      </c>
      <c r="C403" t="s">
        <v>38</v>
      </c>
      <c r="D403" t="s">
        <v>21</v>
      </c>
      <c r="E403" t="s">
        <v>22</v>
      </c>
      <c r="F403" t="s">
        <v>23</v>
      </c>
      <c r="G403" t="s">
        <v>24</v>
      </c>
      <c r="H403" t="s">
        <v>132</v>
      </c>
      <c r="I403">
        <v>1</v>
      </c>
      <c r="J403">
        <v>0</v>
      </c>
      <c r="K403">
        <v>24434.21</v>
      </c>
      <c r="L403">
        <v>3519.64</v>
      </c>
      <c r="M403">
        <v>2025</v>
      </c>
      <c r="N403" t="s">
        <v>622</v>
      </c>
      <c r="O403" t="s">
        <v>625</v>
      </c>
      <c r="P403">
        <v>0.14404558199344281</v>
      </c>
    </row>
    <row r="404" spans="1:16" x14ac:dyDescent="0.3">
      <c r="A404" t="s">
        <v>504</v>
      </c>
      <c r="B404" s="12">
        <v>45947</v>
      </c>
      <c r="C404" t="s">
        <v>82</v>
      </c>
      <c r="D404" t="s">
        <v>21</v>
      </c>
      <c r="E404" t="s">
        <v>67</v>
      </c>
      <c r="F404" t="s">
        <v>23</v>
      </c>
      <c r="G404" t="s">
        <v>35</v>
      </c>
      <c r="H404" t="s">
        <v>155</v>
      </c>
      <c r="I404">
        <v>4</v>
      </c>
      <c r="J404">
        <v>0.15</v>
      </c>
      <c r="K404">
        <v>87928.16</v>
      </c>
      <c r="L404">
        <v>3087.36</v>
      </c>
      <c r="M404">
        <v>2025</v>
      </c>
      <c r="N404" t="s">
        <v>622</v>
      </c>
      <c r="O404" t="s">
        <v>625</v>
      </c>
      <c r="P404">
        <v>3.5112300769173377E-2</v>
      </c>
    </row>
    <row r="405" spans="1:16" x14ac:dyDescent="0.3">
      <c r="A405" t="s">
        <v>505</v>
      </c>
      <c r="B405" s="12">
        <v>45949</v>
      </c>
      <c r="C405" t="s">
        <v>229</v>
      </c>
      <c r="D405" t="s">
        <v>33</v>
      </c>
      <c r="E405" t="s">
        <v>86</v>
      </c>
      <c r="F405" t="s">
        <v>23</v>
      </c>
      <c r="G405" t="s">
        <v>35</v>
      </c>
      <c r="H405" t="s">
        <v>155</v>
      </c>
      <c r="I405">
        <v>3</v>
      </c>
      <c r="J405">
        <v>0.15</v>
      </c>
      <c r="K405">
        <v>48986.61</v>
      </c>
      <c r="L405">
        <v>1781.83</v>
      </c>
      <c r="M405">
        <v>2025</v>
      </c>
      <c r="N405" t="s">
        <v>622</v>
      </c>
      <c r="O405" t="s">
        <v>625</v>
      </c>
      <c r="P405">
        <v>3.637381725332698E-2</v>
      </c>
    </row>
    <row r="406" spans="1:16" x14ac:dyDescent="0.3">
      <c r="A406" t="s">
        <v>506</v>
      </c>
      <c r="B406" s="12">
        <v>45950</v>
      </c>
      <c r="C406" t="s">
        <v>104</v>
      </c>
      <c r="D406" t="s">
        <v>33</v>
      </c>
      <c r="E406" t="s">
        <v>34</v>
      </c>
      <c r="F406" t="s">
        <v>16</v>
      </c>
      <c r="G406" t="s">
        <v>41</v>
      </c>
      <c r="H406" t="s">
        <v>42</v>
      </c>
      <c r="I406">
        <v>3</v>
      </c>
      <c r="J406">
        <v>0.1</v>
      </c>
      <c r="K406">
        <v>21805.11</v>
      </c>
      <c r="L406">
        <v>4331.22</v>
      </c>
      <c r="M406">
        <v>2025</v>
      </c>
      <c r="N406" t="s">
        <v>622</v>
      </c>
      <c r="O406" t="s">
        <v>625</v>
      </c>
      <c r="P406">
        <v>0.19863325614959063</v>
      </c>
    </row>
    <row r="407" spans="1:16" x14ac:dyDescent="0.3">
      <c r="A407" t="s">
        <v>507</v>
      </c>
      <c r="B407" s="12">
        <v>45950</v>
      </c>
      <c r="C407" t="s">
        <v>66</v>
      </c>
      <c r="D407" t="s">
        <v>33</v>
      </c>
      <c r="E407" t="s">
        <v>45</v>
      </c>
      <c r="F407" t="s">
        <v>23</v>
      </c>
      <c r="G407" t="s">
        <v>35</v>
      </c>
      <c r="H407" t="s">
        <v>36</v>
      </c>
      <c r="I407">
        <v>4</v>
      </c>
      <c r="J407">
        <v>0.15</v>
      </c>
      <c r="K407">
        <v>76220.44</v>
      </c>
      <c r="L407">
        <v>8637.58</v>
      </c>
      <c r="M407">
        <v>2025</v>
      </c>
      <c r="N407" t="s">
        <v>622</v>
      </c>
      <c r="O407" t="s">
        <v>625</v>
      </c>
      <c r="P407">
        <v>0.11332367013362819</v>
      </c>
    </row>
    <row r="408" spans="1:16" x14ac:dyDescent="0.3">
      <c r="A408" t="s">
        <v>508</v>
      </c>
      <c r="B408" s="12">
        <v>45950</v>
      </c>
      <c r="C408" t="s">
        <v>44</v>
      </c>
      <c r="D408" t="s">
        <v>14</v>
      </c>
      <c r="E408" t="s">
        <v>15</v>
      </c>
      <c r="F408" t="s">
        <v>28</v>
      </c>
      <c r="G408" t="s">
        <v>92</v>
      </c>
      <c r="H408" t="s">
        <v>204</v>
      </c>
      <c r="I408">
        <v>2</v>
      </c>
      <c r="J408">
        <v>0.1</v>
      </c>
      <c r="K408">
        <v>585.55999999999995</v>
      </c>
      <c r="L408">
        <v>71.36</v>
      </c>
      <c r="M408">
        <v>2025</v>
      </c>
      <c r="N408" t="s">
        <v>622</v>
      </c>
      <c r="O408" t="s">
        <v>627</v>
      </c>
      <c r="P408">
        <v>0.12186624769451466</v>
      </c>
    </row>
    <row r="409" spans="1:16" x14ac:dyDescent="0.3">
      <c r="A409" t="s">
        <v>509</v>
      </c>
      <c r="B409" s="12">
        <v>45950</v>
      </c>
      <c r="C409" t="s">
        <v>13</v>
      </c>
      <c r="D409" t="s">
        <v>21</v>
      </c>
      <c r="E409" t="s">
        <v>67</v>
      </c>
      <c r="F409" t="s">
        <v>16</v>
      </c>
      <c r="G409" t="s">
        <v>62</v>
      </c>
      <c r="H409" t="s">
        <v>180</v>
      </c>
      <c r="I409">
        <v>1</v>
      </c>
      <c r="J409">
        <v>0</v>
      </c>
      <c r="K409">
        <v>10968.9</v>
      </c>
      <c r="L409">
        <v>1081.6400000000001</v>
      </c>
      <c r="M409">
        <v>2025</v>
      </c>
      <c r="N409" t="s">
        <v>622</v>
      </c>
      <c r="O409" t="s">
        <v>625</v>
      </c>
      <c r="P409">
        <v>9.8609705622259305E-2</v>
      </c>
    </row>
    <row r="410" spans="1:16" x14ac:dyDescent="0.3">
      <c r="A410" t="s">
        <v>510</v>
      </c>
      <c r="B410" s="12">
        <v>45951</v>
      </c>
      <c r="C410" t="s">
        <v>77</v>
      </c>
      <c r="D410" t="s">
        <v>21</v>
      </c>
      <c r="E410" t="s">
        <v>57</v>
      </c>
      <c r="F410" t="s">
        <v>16</v>
      </c>
      <c r="G410" t="s">
        <v>62</v>
      </c>
      <c r="H410" t="s">
        <v>180</v>
      </c>
      <c r="I410">
        <v>7</v>
      </c>
      <c r="J410">
        <v>0</v>
      </c>
      <c r="K410">
        <v>50452.92</v>
      </c>
      <c r="L410">
        <v>6955.59</v>
      </c>
      <c r="M410">
        <v>2025</v>
      </c>
      <c r="N410" t="s">
        <v>622</v>
      </c>
      <c r="O410" t="s">
        <v>625</v>
      </c>
      <c r="P410">
        <v>0.13786298196417571</v>
      </c>
    </row>
    <row r="411" spans="1:16" x14ac:dyDescent="0.3">
      <c r="A411" t="s">
        <v>511</v>
      </c>
      <c r="B411" s="12">
        <v>45951</v>
      </c>
      <c r="C411" t="s">
        <v>150</v>
      </c>
      <c r="D411" t="s">
        <v>21</v>
      </c>
      <c r="E411" t="s">
        <v>57</v>
      </c>
      <c r="F411" t="s">
        <v>23</v>
      </c>
      <c r="G411" t="s">
        <v>24</v>
      </c>
      <c r="H411" t="s">
        <v>25</v>
      </c>
      <c r="I411">
        <v>2</v>
      </c>
      <c r="J411">
        <v>0.15</v>
      </c>
      <c r="K411">
        <v>31114.3</v>
      </c>
      <c r="L411">
        <v>4737.47</v>
      </c>
      <c r="M411">
        <v>2025</v>
      </c>
      <c r="N411" t="s">
        <v>622</v>
      </c>
      <c r="O411" t="s">
        <v>625</v>
      </c>
      <c r="P411">
        <v>0.1522602147565589</v>
      </c>
    </row>
    <row r="412" spans="1:16" x14ac:dyDescent="0.3">
      <c r="A412" t="s">
        <v>512</v>
      </c>
      <c r="B412" s="12">
        <v>45951</v>
      </c>
      <c r="C412" t="s">
        <v>229</v>
      </c>
      <c r="D412" t="s">
        <v>21</v>
      </c>
      <c r="E412" t="s">
        <v>105</v>
      </c>
      <c r="F412" t="s">
        <v>16</v>
      </c>
      <c r="G412" t="s">
        <v>68</v>
      </c>
      <c r="H412" t="s">
        <v>83</v>
      </c>
      <c r="I412">
        <v>2</v>
      </c>
      <c r="J412">
        <v>0.1</v>
      </c>
      <c r="K412">
        <v>15642.82</v>
      </c>
      <c r="L412">
        <v>945.93</v>
      </c>
      <c r="M412">
        <v>2025</v>
      </c>
      <c r="N412" t="s">
        <v>622</v>
      </c>
      <c r="O412" t="s">
        <v>625</v>
      </c>
      <c r="P412">
        <v>6.047055454195599E-2</v>
      </c>
    </row>
    <row r="413" spans="1:16" x14ac:dyDescent="0.3">
      <c r="A413" t="s">
        <v>513</v>
      </c>
      <c r="B413" s="12">
        <v>45952</v>
      </c>
      <c r="C413" t="s">
        <v>66</v>
      </c>
      <c r="D413" t="s">
        <v>14</v>
      </c>
      <c r="E413" t="s">
        <v>114</v>
      </c>
      <c r="F413" t="s">
        <v>16</v>
      </c>
      <c r="G413" t="s">
        <v>62</v>
      </c>
      <c r="H413" t="s">
        <v>180</v>
      </c>
      <c r="I413">
        <v>3</v>
      </c>
      <c r="J413">
        <v>0.2</v>
      </c>
      <c r="K413">
        <v>27804.42</v>
      </c>
      <c r="L413">
        <v>4484.3</v>
      </c>
      <c r="M413">
        <v>2025</v>
      </c>
      <c r="N413" t="s">
        <v>622</v>
      </c>
      <c r="O413" t="s">
        <v>625</v>
      </c>
      <c r="P413">
        <v>0.16128011301800219</v>
      </c>
    </row>
    <row r="414" spans="1:16" x14ac:dyDescent="0.3">
      <c r="A414" t="s">
        <v>514</v>
      </c>
      <c r="B414" s="12">
        <v>45952</v>
      </c>
      <c r="C414" t="s">
        <v>229</v>
      </c>
      <c r="D414" t="s">
        <v>14</v>
      </c>
      <c r="E414" t="s">
        <v>15</v>
      </c>
      <c r="F414" t="s">
        <v>23</v>
      </c>
      <c r="G414" t="s">
        <v>48</v>
      </c>
      <c r="H414" t="s">
        <v>124</v>
      </c>
      <c r="I414">
        <v>3</v>
      </c>
      <c r="J414">
        <v>0</v>
      </c>
      <c r="K414">
        <v>66879.149999999994</v>
      </c>
      <c r="L414">
        <v>5430.25</v>
      </c>
      <c r="M414">
        <v>2025</v>
      </c>
      <c r="N414" t="s">
        <v>622</v>
      </c>
      <c r="O414" t="s">
        <v>625</v>
      </c>
      <c r="P414">
        <v>8.1194961359407236E-2</v>
      </c>
    </row>
    <row r="415" spans="1:16" x14ac:dyDescent="0.3">
      <c r="A415" t="s">
        <v>515</v>
      </c>
      <c r="B415" s="12">
        <v>45953</v>
      </c>
      <c r="C415" t="s">
        <v>77</v>
      </c>
      <c r="D415" t="s">
        <v>14</v>
      </c>
      <c r="E415" t="s">
        <v>114</v>
      </c>
      <c r="F415" t="s">
        <v>16</v>
      </c>
      <c r="G415" t="s">
        <v>62</v>
      </c>
      <c r="H415" t="s">
        <v>63</v>
      </c>
      <c r="I415">
        <v>4</v>
      </c>
      <c r="J415">
        <v>0.1</v>
      </c>
      <c r="K415">
        <v>42524.76</v>
      </c>
      <c r="L415">
        <v>3440.65</v>
      </c>
      <c r="M415">
        <v>2025</v>
      </c>
      <c r="N415" t="s">
        <v>622</v>
      </c>
      <c r="O415" t="s">
        <v>625</v>
      </c>
      <c r="P415">
        <v>8.0909333762259908E-2</v>
      </c>
    </row>
    <row r="416" spans="1:16" x14ac:dyDescent="0.3">
      <c r="A416" t="s">
        <v>516</v>
      </c>
      <c r="B416" s="12">
        <v>45956</v>
      </c>
      <c r="C416" t="s">
        <v>38</v>
      </c>
      <c r="D416" t="s">
        <v>21</v>
      </c>
      <c r="E416" t="s">
        <v>22</v>
      </c>
      <c r="F416" t="s">
        <v>23</v>
      </c>
      <c r="G416" t="s">
        <v>35</v>
      </c>
      <c r="H416" t="s">
        <v>155</v>
      </c>
      <c r="I416">
        <v>7</v>
      </c>
      <c r="J416">
        <v>0.05</v>
      </c>
      <c r="K416">
        <v>106713.04</v>
      </c>
      <c r="L416">
        <v>21366.01</v>
      </c>
      <c r="M416">
        <v>2025</v>
      </c>
      <c r="N416" t="s">
        <v>622</v>
      </c>
      <c r="O416" t="s">
        <v>625</v>
      </c>
      <c r="P416">
        <v>0.20021929841001623</v>
      </c>
    </row>
    <row r="417" spans="1:16" x14ac:dyDescent="0.3">
      <c r="A417" t="s">
        <v>517</v>
      </c>
      <c r="B417" s="12">
        <v>45957</v>
      </c>
      <c r="C417" t="s">
        <v>100</v>
      </c>
      <c r="D417" t="s">
        <v>33</v>
      </c>
      <c r="E417" t="s">
        <v>140</v>
      </c>
      <c r="F417" t="s">
        <v>23</v>
      </c>
      <c r="G417" t="s">
        <v>35</v>
      </c>
      <c r="H417" t="s">
        <v>155</v>
      </c>
      <c r="I417">
        <v>7</v>
      </c>
      <c r="J417">
        <v>0</v>
      </c>
      <c r="K417">
        <v>193238.64</v>
      </c>
      <c r="L417">
        <v>34527.78</v>
      </c>
      <c r="M417">
        <v>2025</v>
      </c>
      <c r="N417" t="s">
        <v>622</v>
      </c>
      <c r="O417" t="s">
        <v>625</v>
      </c>
      <c r="P417">
        <v>0.17867948149500532</v>
      </c>
    </row>
    <row r="418" spans="1:16" x14ac:dyDescent="0.3">
      <c r="A418" t="s">
        <v>518</v>
      </c>
      <c r="B418" s="12">
        <v>45958</v>
      </c>
      <c r="C418" t="s">
        <v>44</v>
      </c>
      <c r="D418" t="s">
        <v>14</v>
      </c>
      <c r="E418" t="s">
        <v>15</v>
      </c>
      <c r="F418" t="s">
        <v>16</v>
      </c>
      <c r="G418" t="s">
        <v>62</v>
      </c>
      <c r="H418" t="s">
        <v>180</v>
      </c>
      <c r="I418">
        <v>2</v>
      </c>
      <c r="J418">
        <v>0.05</v>
      </c>
      <c r="K418">
        <v>5642.62</v>
      </c>
      <c r="L418">
        <v>533.34</v>
      </c>
      <c r="M418">
        <v>2025</v>
      </c>
      <c r="N418" t="s">
        <v>622</v>
      </c>
      <c r="O418" t="s">
        <v>625</v>
      </c>
      <c r="P418">
        <v>9.4519921596705081E-2</v>
      </c>
    </row>
    <row r="419" spans="1:16" x14ac:dyDescent="0.3">
      <c r="A419" t="s">
        <v>519</v>
      </c>
      <c r="B419" s="12">
        <v>45958</v>
      </c>
      <c r="C419" t="s">
        <v>27</v>
      </c>
      <c r="D419" t="s">
        <v>21</v>
      </c>
      <c r="E419" t="s">
        <v>22</v>
      </c>
      <c r="F419" t="s">
        <v>23</v>
      </c>
      <c r="G419" t="s">
        <v>48</v>
      </c>
      <c r="H419" t="s">
        <v>118</v>
      </c>
      <c r="I419">
        <v>2</v>
      </c>
      <c r="J419">
        <v>0</v>
      </c>
      <c r="K419">
        <v>80261.98</v>
      </c>
      <c r="L419">
        <v>15805.46</v>
      </c>
      <c r="M419">
        <v>2025</v>
      </c>
      <c r="N419" t="s">
        <v>622</v>
      </c>
      <c r="O419" t="s">
        <v>625</v>
      </c>
      <c r="P419">
        <v>0.19692337517713868</v>
      </c>
    </row>
    <row r="420" spans="1:16" x14ac:dyDescent="0.3">
      <c r="A420" t="s">
        <v>520</v>
      </c>
      <c r="B420" s="12">
        <v>45959</v>
      </c>
      <c r="C420" t="s">
        <v>95</v>
      </c>
      <c r="D420" t="s">
        <v>21</v>
      </c>
      <c r="E420" t="s">
        <v>105</v>
      </c>
      <c r="F420" t="s">
        <v>16</v>
      </c>
      <c r="G420" t="s">
        <v>17</v>
      </c>
      <c r="H420" t="s">
        <v>18</v>
      </c>
      <c r="I420">
        <v>5</v>
      </c>
      <c r="J420">
        <v>0.1</v>
      </c>
      <c r="K420">
        <v>7930.45</v>
      </c>
      <c r="L420">
        <v>810.6</v>
      </c>
      <c r="M420">
        <v>2025</v>
      </c>
      <c r="N420" t="s">
        <v>622</v>
      </c>
      <c r="O420" t="s">
        <v>625</v>
      </c>
      <c r="P420">
        <v>0.10221361965588334</v>
      </c>
    </row>
    <row r="421" spans="1:16" x14ac:dyDescent="0.3">
      <c r="A421" t="s">
        <v>521</v>
      </c>
      <c r="B421" s="12">
        <v>45960</v>
      </c>
      <c r="C421" t="s">
        <v>51</v>
      </c>
      <c r="D421" t="s">
        <v>33</v>
      </c>
      <c r="E421" t="s">
        <v>140</v>
      </c>
      <c r="F421" t="s">
        <v>28</v>
      </c>
      <c r="G421" t="s">
        <v>71</v>
      </c>
      <c r="H421" t="s">
        <v>72</v>
      </c>
      <c r="I421">
        <v>6</v>
      </c>
      <c r="J421">
        <v>0.1</v>
      </c>
      <c r="K421">
        <v>28770.240000000002</v>
      </c>
      <c r="L421">
        <v>4875.93</v>
      </c>
      <c r="M421">
        <v>2025</v>
      </c>
      <c r="N421" t="s">
        <v>622</v>
      </c>
      <c r="O421" t="s">
        <v>625</v>
      </c>
      <c r="P421">
        <v>0.16947825252761187</v>
      </c>
    </row>
    <row r="422" spans="1:16" x14ac:dyDescent="0.3">
      <c r="A422" t="s">
        <v>522</v>
      </c>
      <c r="B422" s="12">
        <v>45961</v>
      </c>
      <c r="C422" t="s">
        <v>147</v>
      </c>
      <c r="D422" t="s">
        <v>39</v>
      </c>
      <c r="E422" t="s">
        <v>52</v>
      </c>
      <c r="F422" t="s">
        <v>28</v>
      </c>
      <c r="G422" t="s">
        <v>92</v>
      </c>
      <c r="H422" t="s">
        <v>204</v>
      </c>
      <c r="I422">
        <v>3</v>
      </c>
      <c r="J422">
        <v>0.05</v>
      </c>
      <c r="K422">
        <v>531.41999999999996</v>
      </c>
      <c r="L422">
        <v>97.01</v>
      </c>
      <c r="M422">
        <v>2025</v>
      </c>
      <c r="N422" t="s">
        <v>622</v>
      </c>
      <c r="O422" t="s">
        <v>627</v>
      </c>
      <c r="P422">
        <v>0.18254864325768697</v>
      </c>
    </row>
    <row r="423" spans="1:16" x14ac:dyDescent="0.3">
      <c r="A423" t="s">
        <v>523</v>
      </c>
      <c r="B423" s="12">
        <v>45961</v>
      </c>
      <c r="C423" t="s">
        <v>104</v>
      </c>
      <c r="D423" t="s">
        <v>33</v>
      </c>
      <c r="E423" t="s">
        <v>140</v>
      </c>
      <c r="F423" t="s">
        <v>23</v>
      </c>
      <c r="G423" t="s">
        <v>35</v>
      </c>
      <c r="H423" t="s">
        <v>155</v>
      </c>
      <c r="I423">
        <v>7</v>
      </c>
      <c r="J423">
        <v>0.1</v>
      </c>
      <c r="K423">
        <v>189372.75</v>
      </c>
      <c r="L423">
        <v>33145.94</v>
      </c>
      <c r="M423">
        <v>2025</v>
      </c>
      <c r="N423" t="s">
        <v>622</v>
      </c>
      <c r="O423" t="s">
        <v>625</v>
      </c>
      <c r="P423">
        <v>0.17503014557268667</v>
      </c>
    </row>
    <row r="424" spans="1:16" x14ac:dyDescent="0.3">
      <c r="A424" t="s">
        <v>524</v>
      </c>
      <c r="B424" s="12">
        <v>45962</v>
      </c>
      <c r="C424" t="s">
        <v>77</v>
      </c>
      <c r="D424" t="s">
        <v>39</v>
      </c>
      <c r="E424" t="s">
        <v>40</v>
      </c>
      <c r="F424" t="s">
        <v>23</v>
      </c>
      <c r="G424" t="s">
        <v>35</v>
      </c>
      <c r="H424" t="s">
        <v>155</v>
      </c>
      <c r="I424">
        <v>3</v>
      </c>
      <c r="J424">
        <v>0.05</v>
      </c>
      <c r="K424">
        <v>35945.01</v>
      </c>
      <c r="L424">
        <v>5833.89</v>
      </c>
      <c r="M424">
        <v>2025</v>
      </c>
      <c r="N424" t="s">
        <v>623</v>
      </c>
      <c r="O424" t="s">
        <v>625</v>
      </c>
      <c r="P424">
        <v>0.16230041388220506</v>
      </c>
    </row>
    <row r="425" spans="1:16" x14ac:dyDescent="0.3">
      <c r="A425" t="s">
        <v>525</v>
      </c>
      <c r="B425" s="12">
        <v>45965</v>
      </c>
      <c r="C425" t="s">
        <v>111</v>
      </c>
      <c r="D425" t="s">
        <v>39</v>
      </c>
      <c r="E425" t="s">
        <v>40</v>
      </c>
      <c r="F425" t="s">
        <v>23</v>
      </c>
      <c r="G425" t="s">
        <v>35</v>
      </c>
      <c r="H425" t="s">
        <v>36</v>
      </c>
      <c r="I425">
        <v>7</v>
      </c>
      <c r="J425">
        <v>0.15</v>
      </c>
      <c r="K425">
        <v>109762.94</v>
      </c>
      <c r="L425">
        <v>8351.1200000000008</v>
      </c>
      <c r="M425">
        <v>2025</v>
      </c>
      <c r="N425" t="s">
        <v>623</v>
      </c>
      <c r="O425" t="s">
        <v>625</v>
      </c>
      <c r="P425">
        <v>7.608323902402761E-2</v>
      </c>
    </row>
    <row r="426" spans="1:16" x14ac:dyDescent="0.3">
      <c r="A426" t="s">
        <v>526</v>
      </c>
      <c r="B426" s="12">
        <v>45966</v>
      </c>
      <c r="C426" t="s">
        <v>56</v>
      </c>
      <c r="D426" t="s">
        <v>14</v>
      </c>
      <c r="E426" t="s">
        <v>54</v>
      </c>
      <c r="F426" t="s">
        <v>16</v>
      </c>
      <c r="G426" t="s">
        <v>17</v>
      </c>
      <c r="H426" t="s">
        <v>88</v>
      </c>
      <c r="I426">
        <v>7</v>
      </c>
      <c r="J426">
        <v>0.05</v>
      </c>
      <c r="K426">
        <v>40022.36</v>
      </c>
      <c r="L426">
        <v>7679.25</v>
      </c>
      <c r="M426">
        <v>2025</v>
      </c>
      <c r="N426" t="s">
        <v>623</v>
      </c>
      <c r="O426" t="s">
        <v>625</v>
      </c>
      <c r="P426">
        <v>0.19187399243822703</v>
      </c>
    </row>
    <row r="427" spans="1:16" x14ac:dyDescent="0.3">
      <c r="A427" t="s">
        <v>527</v>
      </c>
      <c r="B427" s="12">
        <v>45966</v>
      </c>
      <c r="C427" t="s">
        <v>56</v>
      </c>
      <c r="D427" t="s">
        <v>39</v>
      </c>
      <c r="E427" t="s">
        <v>47</v>
      </c>
      <c r="F427" t="s">
        <v>16</v>
      </c>
      <c r="G427" t="s">
        <v>17</v>
      </c>
      <c r="H427" t="s">
        <v>18</v>
      </c>
      <c r="I427">
        <v>3</v>
      </c>
      <c r="J427">
        <v>0.1</v>
      </c>
      <c r="K427">
        <v>20228.310000000001</v>
      </c>
      <c r="L427">
        <v>3068.84</v>
      </c>
      <c r="M427">
        <v>2025</v>
      </c>
      <c r="N427" t="s">
        <v>623</v>
      </c>
      <c r="O427" t="s">
        <v>625</v>
      </c>
      <c r="P427">
        <v>0.1517101527512679</v>
      </c>
    </row>
    <row r="428" spans="1:16" x14ac:dyDescent="0.3">
      <c r="A428" t="s">
        <v>528</v>
      </c>
      <c r="B428" s="12">
        <v>45966</v>
      </c>
      <c r="C428" t="s">
        <v>95</v>
      </c>
      <c r="D428" t="s">
        <v>33</v>
      </c>
      <c r="E428" t="s">
        <v>34</v>
      </c>
      <c r="F428" t="s">
        <v>16</v>
      </c>
      <c r="G428" t="s">
        <v>41</v>
      </c>
      <c r="H428" t="s">
        <v>42</v>
      </c>
      <c r="I428">
        <v>4</v>
      </c>
      <c r="J428">
        <v>0.05</v>
      </c>
      <c r="K428">
        <v>45173.440000000002</v>
      </c>
      <c r="L428">
        <v>4219.66</v>
      </c>
      <c r="M428">
        <v>2025</v>
      </c>
      <c r="N428" t="s">
        <v>623</v>
      </c>
      <c r="O428" t="s">
        <v>625</v>
      </c>
      <c r="P428">
        <v>9.3410198559153335E-2</v>
      </c>
    </row>
    <row r="429" spans="1:16" x14ac:dyDescent="0.3">
      <c r="A429" t="s">
        <v>529</v>
      </c>
      <c r="B429" s="12">
        <v>45967</v>
      </c>
      <c r="C429" t="s">
        <v>82</v>
      </c>
      <c r="D429" t="s">
        <v>39</v>
      </c>
      <c r="E429" t="s">
        <v>40</v>
      </c>
      <c r="F429" t="s">
        <v>16</v>
      </c>
      <c r="G429" t="s">
        <v>41</v>
      </c>
      <c r="H429" t="s">
        <v>42</v>
      </c>
      <c r="I429">
        <v>4</v>
      </c>
      <c r="J429">
        <v>0.05</v>
      </c>
      <c r="K429">
        <v>14781.24</v>
      </c>
      <c r="L429">
        <v>3289.07</v>
      </c>
      <c r="M429">
        <v>2025</v>
      </c>
      <c r="N429" t="s">
        <v>623</v>
      </c>
      <c r="O429" t="s">
        <v>625</v>
      </c>
      <c r="P429">
        <v>0.22251651417607726</v>
      </c>
    </row>
    <row r="430" spans="1:16" x14ac:dyDescent="0.3">
      <c r="A430" t="s">
        <v>530</v>
      </c>
      <c r="B430" s="12">
        <v>45967</v>
      </c>
      <c r="C430" t="s">
        <v>82</v>
      </c>
      <c r="D430" t="s">
        <v>39</v>
      </c>
      <c r="E430" t="s">
        <v>128</v>
      </c>
      <c r="F430" t="s">
        <v>16</v>
      </c>
      <c r="G430" t="s">
        <v>17</v>
      </c>
      <c r="H430" t="s">
        <v>153</v>
      </c>
      <c r="I430">
        <v>6</v>
      </c>
      <c r="J430">
        <v>0.2</v>
      </c>
      <c r="K430">
        <v>17886.12</v>
      </c>
      <c r="L430">
        <v>2471.5700000000002</v>
      </c>
      <c r="M430">
        <v>2025</v>
      </c>
      <c r="N430" t="s">
        <v>623</v>
      </c>
      <c r="O430" t="s">
        <v>625</v>
      </c>
      <c r="P430">
        <v>0.13818368656813218</v>
      </c>
    </row>
    <row r="431" spans="1:16" x14ac:dyDescent="0.3">
      <c r="A431" t="s">
        <v>531</v>
      </c>
      <c r="B431" s="12">
        <v>45967</v>
      </c>
      <c r="C431" t="s">
        <v>138</v>
      </c>
      <c r="D431" t="s">
        <v>39</v>
      </c>
      <c r="E431" t="s">
        <v>40</v>
      </c>
      <c r="F431" t="s">
        <v>28</v>
      </c>
      <c r="G431" t="s">
        <v>92</v>
      </c>
      <c r="H431" t="s">
        <v>93</v>
      </c>
      <c r="I431">
        <v>1</v>
      </c>
      <c r="J431">
        <v>0</v>
      </c>
      <c r="K431">
        <v>1709.07</v>
      </c>
      <c r="L431">
        <v>243.2</v>
      </c>
      <c r="M431">
        <v>2025</v>
      </c>
      <c r="N431" t="s">
        <v>623</v>
      </c>
      <c r="O431" t="s">
        <v>625</v>
      </c>
      <c r="P431">
        <v>0.14229961323994922</v>
      </c>
    </row>
    <row r="432" spans="1:16" x14ac:dyDescent="0.3">
      <c r="A432" t="s">
        <v>532</v>
      </c>
      <c r="B432" s="12">
        <v>45968</v>
      </c>
      <c r="C432" t="s">
        <v>111</v>
      </c>
      <c r="D432" t="s">
        <v>14</v>
      </c>
      <c r="E432" t="s">
        <v>15</v>
      </c>
      <c r="F432" t="s">
        <v>23</v>
      </c>
      <c r="G432" t="s">
        <v>35</v>
      </c>
      <c r="H432" t="s">
        <v>36</v>
      </c>
      <c r="I432">
        <v>3</v>
      </c>
      <c r="J432">
        <v>0.15</v>
      </c>
      <c r="K432">
        <v>118454.34</v>
      </c>
      <c r="L432">
        <v>20402.84</v>
      </c>
      <c r="M432">
        <v>2025</v>
      </c>
      <c r="N432" t="s">
        <v>623</v>
      </c>
      <c r="O432" t="s">
        <v>625</v>
      </c>
      <c r="P432">
        <v>0.17224223274554568</v>
      </c>
    </row>
    <row r="433" spans="1:16" x14ac:dyDescent="0.3">
      <c r="A433" t="s">
        <v>533</v>
      </c>
      <c r="B433" s="12">
        <v>45968</v>
      </c>
      <c r="C433" t="s">
        <v>179</v>
      </c>
      <c r="D433" t="s">
        <v>14</v>
      </c>
      <c r="E433" t="s">
        <v>97</v>
      </c>
      <c r="F433" t="s">
        <v>16</v>
      </c>
      <c r="G433" t="s">
        <v>68</v>
      </c>
      <c r="H433" t="s">
        <v>175</v>
      </c>
      <c r="I433">
        <v>2</v>
      </c>
      <c r="J433">
        <v>0</v>
      </c>
      <c r="K433">
        <v>1299.04</v>
      </c>
      <c r="L433">
        <v>149.83000000000001</v>
      </c>
      <c r="M433">
        <v>2025</v>
      </c>
      <c r="N433" t="s">
        <v>623</v>
      </c>
      <c r="O433" t="s">
        <v>625</v>
      </c>
      <c r="P433">
        <v>0.11533901958369258</v>
      </c>
    </row>
    <row r="434" spans="1:16" x14ac:dyDescent="0.3">
      <c r="A434" t="s">
        <v>534</v>
      </c>
      <c r="B434" s="12">
        <v>45970</v>
      </c>
      <c r="C434" t="s">
        <v>66</v>
      </c>
      <c r="D434" t="s">
        <v>33</v>
      </c>
      <c r="E434" t="s">
        <v>34</v>
      </c>
      <c r="F434" t="s">
        <v>28</v>
      </c>
      <c r="G434" t="s">
        <v>29</v>
      </c>
      <c r="H434" t="s">
        <v>30</v>
      </c>
      <c r="I434">
        <v>5</v>
      </c>
      <c r="J434">
        <v>0.15</v>
      </c>
      <c r="K434">
        <v>5259.7</v>
      </c>
      <c r="L434">
        <v>937.41</v>
      </c>
      <c r="M434">
        <v>2025</v>
      </c>
      <c r="N434" t="s">
        <v>623</v>
      </c>
      <c r="O434" t="s">
        <v>625</v>
      </c>
      <c r="P434">
        <v>0.17822499382094037</v>
      </c>
    </row>
    <row r="435" spans="1:16" x14ac:dyDescent="0.3">
      <c r="A435" t="s">
        <v>535</v>
      </c>
      <c r="B435" s="12">
        <v>45970</v>
      </c>
      <c r="C435" t="s">
        <v>77</v>
      </c>
      <c r="D435" t="s">
        <v>39</v>
      </c>
      <c r="E435" t="s">
        <v>40</v>
      </c>
      <c r="F435" t="s">
        <v>16</v>
      </c>
      <c r="G435" t="s">
        <v>17</v>
      </c>
      <c r="H435" t="s">
        <v>153</v>
      </c>
      <c r="I435">
        <v>2</v>
      </c>
      <c r="J435">
        <v>0.2</v>
      </c>
      <c r="K435">
        <v>19562.64</v>
      </c>
      <c r="L435">
        <v>668.44</v>
      </c>
      <c r="M435">
        <v>2025</v>
      </c>
      <c r="N435" t="s">
        <v>623</v>
      </c>
      <c r="O435" t="s">
        <v>625</v>
      </c>
      <c r="P435">
        <v>3.4169212335349426E-2</v>
      </c>
    </row>
    <row r="436" spans="1:16" x14ac:dyDescent="0.3">
      <c r="A436" t="s">
        <v>536</v>
      </c>
      <c r="B436" s="12">
        <v>45971</v>
      </c>
      <c r="C436" t="s">
        <v>143</v>
      </c>
      <c r="D436" t="s">
        <v>14</v>
      </c>
      <c r="E436" t="s">
        <v>114</v>
      </c>
      <c r="F436" t="s">
        <v>23</v>
      </c>
      <c r="G436" t="s">
        <v>58</v>
      </c>
      <c r="H436" t="s">
        <v>59</v>
      </c>
      <c r="I436">
        <v>3</v>
      </c>
      <c r="J436">
        <v>0.05</v>
      </c>
      <c r="K436">
        <v>90192.960000000006</v>
      </c>
      <c r="L436">
        <v>19206.04</v>
      </c>
      <c r="M436">
        <v>2025</v>
      </c>
      <c r="N436" t="s">
        <v>623</v>
      </c>
      <c r="O436" t="s">
        <v>625</v>
      </c>
      <c r="P436">
        <v>0.21294389273841327</v>
      </c>
    </row>
    <row r="437" spans="1:16" x14ac:dyDescent="0.3">
      <c r="A437" t="s">
        <v>537</v>
      </c>
      <c r="B437" s="12">
        <v>45971</v>
      </c>
      <c r="C437" t="s">
        <v>147</v>
      </c>
      <c r="D437" t="s">
        <v>14</v>
      </c>
      <c r="E437" t="s">
        <v>54</v>
      </c>
      <c r="F437" t="s">
        <v>16</v>
      </c>
      <c r="G437" t="s">
        <v>17</v>
      </c>
      <c r="H437" t="s">
        <v>88</v>
      </c>
      <c r="I437">
        <v>2</v>
      </c>
      <c r="J437">
        <v>0.05</v>
      </c>
      <c r="K437">
        <v>4334.2</v>
      </c>
      <c r="L437">
        <v>411.76</v>
      </c>
      <c r="M437">
        <v>2025</v>
      </c>
      <c r="N437" t="s">
        <v>623</v>
      </c>
      <c r="O437" t="s">
        <v>625</v>
      </c>
      <c r="P437">
        <v>9.5002537953947669E-2</v>
      </c>
    </row>
    <row r="438" spans="1:16" x14ac:dyDescent="0.3">
      <c r="A438" t="s">
        <v>538</v>
      </c>
      <c r="B438" s="12">
        <v>45972</v>
      </c>
      <c r="C438" t="s">
        <v>38</v>
      </c>
      <c r="D438" t="s">
        <v>33</v>
      </c>
      <c r="E438" t="s">
        <v>140</v>
      </c>
      <c r="F438" t="s">
        <v>16</v>
      </c>
      <c r="G438" t="s">
        <v>62</v>
      </c>
      <c r="H438" t="s">
        <v>167</v>
      </c>
      <c r="I438">
        <v>1</v>
      </c>
      <c r="J438">
        <v>0</v>
      </c>
      <c r="K438">
        <v>5144.12</v>
      </c>
      <c r="L438">
        <v>633.58000000000004</v>
      </c>
      <c r="M438">
        <v>2025</v>
      </c>
      <c r="N438" t="s">
        <v>623</v>
      </c>
      <c r="O438" t="s">
        <v>625</v>
      </c>
      <c r="P438">
        <v>0.12316586704820262</v>
      </c>
    </row>
    <row r="439" spans="1:16" x14ac:dyDescent="0.3">
      <c r="A439" t="s">
        <v>539</v>
      </c>
      <c r="B439" s="12">
        <v>45973</v>
      </c>
      <c r="C439" t="s">
        <v>13</v>
      </c>
      <c r="D439" t="s">
        <v>33</v>
      </c>
      <c r="E439" t="s">
        <v>86</v>
      </c>
      <c r="F439" t="s">
        <v>16</v>
      </c>
      <c r="G439" t="s">
        <v>17</v>
      </c>
      <c r="H439" t="s">
        <v>88</v>
      </c>
      <c r="I439">
        <v>7</v>
      </c>
      <c r="J439">
        <v>0.2</v>
      </c>
      <c r="K439">
        <v>3851.26</v>
      </c>
      <c r="L439">
        <v>505.35</v>
      </c>
      <c r="M439">
        <v>2025</v>
      </c>
      <c r="N439" t="s">
        <v>623</v>
      </c>
      <c r="O439" t="s">
        <v>625</v>
      </c>
      <c r="P439">
        <v>0.13121679658085925</v>
      </c>
    </row>
    <row r="440" spans="1:16" x14ac:dyDescent="0.3">
      <c r="A440" t="s">
        <v>540</v>
      </c>
      <c r="B440" s="12">
        <v>45973</v>
      </c>
      <c r="C440" t="s">
        <v>150</v>
      </c>
      <c r="D440" t="s">
        <v>33</v>
      </c>
      <c r="E440" t="s">
        <v>86</v>
      </c>
      <c r="F440" t="s">
        <v>23</v>
      </c>
      <c r="G440" t="s">
        <v>48</v>
      </c>
      <c r="H440" t="s">
        <v>118</v>
      </c>
      <c r="I440">
        <v>6</v>
      </c>
      <c r="J440">
        <v>0</v>
      </c>
      <c r="K440">
        <v>156774.06</v>
      </c>
      <c r="L440">
        <v>30201.84</v>
      </c>
      <c r="M440">
        <v>2025</v>
      </c>
      <c r="N440" t="s">
        <v>623</v>
      </c>
      <c r="O440" t="s">
        <v>625</v>
      </c>
      <c r="P440">
        <v>0.19264564558703143</v>
      </c>
    </row>
    <row r="441" spans="1:16" x14ac:dyDescent="0.3">
      <c r="A441" t="s">
        <v>541</v>
      </c>
      <c r="B441" s="12">
        <v>45974</v>
      </c>
      <c r="C441" t="s">
        <v>179</v>
      </c>
      <c r="D441" t="s">
        <v>21</v>
      </c>
      <c r="E441" t="s">
        <v>57</v>
      </c>
      <c r="F441" t="s">
        <v>23</v>
      </c>
      <c r="G441" t="s">
        <v>35</v>
      </c>
      <c r="H441" t="s">
        <v>155</v>
      </c>
      <c r="I441">
        <v>3</v>
      </c>
      <c r="J441">
        <v>0</v>
      </c>
      <c r="K441">
        <v>86827.83</v>
      </c>
      <c r="L441">
        <v>7589.85</v>
      </c>
      <c r="M441">
        <v>2025</v>
      </c>
      <c r="N441" t="s">
        <v>623</v>
      </c>
      <c r="O441" t="s">
        <v>625</v>
      </c>
      <c r="P441">
        <v>8.7412641776259986E-2</v>
      </c>
    </row>
    <row r="442" spans="1:16" x14ac:dyDescent="0.3">
      <c r="A442" t="s">
        <v>542</v>
      </c>
      <c r="B442" s="12">
        <v>45974</v>
      </c>
      <c r="C442" t="s">
        <v>32</v>
      </c>
      <c r="D442" t="s">
        <v>21</v>
      </c>
      <c r="E442" t="s">
        <v>22</v>
      </c>
      <c r="F442" t="s">
        <v>16</v>
      </c>
      <c r="G442" t="s">
        <v>17</v>
      </c>
      <c r="H442" t="s">
        <v>18</v>
      </c>
      <c r="I442">
        <v>3</v>
      </c>
      <c r="J442">
        <v>0</v>
      </c>
      <c r="K442">
        <v>2589.7199999999998</v>
      </c>
      <c r="L442">
        <v>230.06</v>
      </c>
      <c r="M442">
        <v>2025</v>
      </c>
      <c r="N442" t="s">
        <v>623</v>
      </c>
      <c r="O442" t="s">
        <v>625</v>
      </c>
      <c r="P442">
        <v>8.8835858702871362E-2</v>
      </c>
    </row>
    <row r="443" spans="1:16" x14ac:dyDescent="0.3">
      <c r="A443" t="s">
        <v>543</v>
      </c>
      <c r="B443" s="12">
        <v>45975</v>
      </c>
      <c r="C443" t="s">
        <v>82</v>
      </c>
      <c r="D443" t="s">
        <v>39</v>
      </c>
      <c r="E443" t="s">
        <v>52</v>
      </c>
      <c r="F443" t="s">
        <v>16</v>
      </c>
      <c r="G443" t="s">
        <v>41</v>
      </c>
      <c r="H443" t="s">
        <v>42</v>
      </c>
      <c r="I443">
        <v>7</v>
      </c>
      <c r="J443">
        <v>0.1</v>
      </c>
      <c r="K443">
        <v>71306.27</v>
      </c>
      <c r="L443">
        <v>9566.94</v>
      </c>
      <c r="M443">
        <v>2025</v>
      </c>
      <c r="N443" t="s">
        <v>623</v>
      </c>
      <c r="O443" t="s">
        <v>625</v>
      </c>
      <c r="P443">
        <v>0.13416688322078829</v>
      </c>
    </row>
    <row r="444" spans="1:16" x14ac:dyDescent="0.3">
      <c r="A444" t="s">
        <v>544</v>
      </c>
      <c r="B444" s="12">
        <v>45975</v>
      </c>
      <c r="C444" t="s">
        <v>77</v>
      </c>
      <c r="D444" t="s">
        <v>21</v>
      </c>
      <c r="E444" t="s">
        <v>67</v>
      </c>
      <c r="F444" t="s">
        <v>23</v>
      </c>
      <c r="G444" t="s">
        <v>58</v>
      </c>
      <c r="H444" t="s">
        <v>59</v>
      </c>
      <c r="I444">
        <v>6</v>
      </c>
      <c r="J444">
        <v>0.1</v>
      </c>
      <c r="K444">
        <v>209184.36</v>
      </c>
      <c r="L444">
        <v>42807.83</v>
      </c>
      <c r="M444">
        <v>2025</v>
      </c>
      <c r="N444" t="s">
        <v>623</v>
      </c>
      <c r="O444" t="s">
        <v>625</v>
      </c>
      <c r="P444">
        <v>0.20464163764442048</v>
      </c>
    </row>
    <row r="445" spans="1:16" x14ac:dyDescent="0.3">
      <c r="A445" t="s">
        <v>545</v>
      </c>
      <c r="B445" s="12">
        <v>45975</v>
      </c>
      <c r="C445" t="s">
        <v>27</v>
      </c>
      <c r="D445" t="s">
        <v>39</v>
      </c>
      <c r="E445" t="s">
        <v>47</v>
      </c>
      <c r="F445" t="s">
        <v>16</v>
      </c>
      <c r="G445" t="s">
        <v>68</v>
      </c>
      <c r="H445" t="s">
        <v>69</v>
      </c>
      <c r="I445">
        <v>1</v>
      </c>
      <c r="J445">
        <v>0.15</v>
      </c>
      <c r="K445">
        <v>7289.96</v>
      </c>
      <c r="L445">
        <v>848.02</v>
      </c>
      <c r="M445">
        <v>2025</v>
      </c>
      <c r="N445" t="s">
        <v>623</v>
      </c>
      <c r="O445" t="s">
        <v>625</v>
      </c>
      <c r="P445">
        <v>0.1163271129059693</v>
      </c>
    </row>
    <row r="446" spans="1:16" x14ac:dyDescent="0.3">
      <c r="A446" t="s">
        <v>546</v>
      </c>
      <c r="B446" s="12">
        <v>45976</v>
      </c>
      <c r="C446" t="s">
        <v>38</v>
      </c>
      <c r="D446" t="s">
        <v>14</v>
      </c>
      <c r="E446" t="s">
        <v>54</v>
      </c>
      <c r="F446" t="s">
        <v>23</v>
      </c>
      <c r="G446" t="s">
        <v>35</v>
      </c>
      <c r="H446" t="s">
        <v>155</v>
      </c>
      <c r="I446">
        <v>6</v>
      </c>
      <c r="J446">
        <v>0.05</v>
      </c>
      <c r="K446">
        <v>101013.18</v>
      </c>
      <c r="L446">
        <v>20009.2</v>
      </c>
      <c r="M446">
        <v>2025</v>
      </c>
      <c r="N446" t="s">
        <v>623</v>
      </c>
      <c r="O446" t="s">
        <v>625</v>
      </c>
      <c r="P446">
        <v>0.19808504197175064</v>
      </c>
    </row>
    <row r="447" spans="1:16" x14ac:dyDescent="0.3">
      <c r="A447" t="s">
        <v>547</v>
      </c>
      <c r="B447" s="12">
        <v>45978</v>
      </c>
      <c r="C447" t="s">
        <v>77</v>
      </c>
      <c r="D447" t="s">
        <v>33</v>
      </c>
      <c r="E447" t="s">
        <v>34</v>
      </c>
      <c r="F447" t="s">
        <v>23</v>
      </c>
      <c r="G447" t="s">
        <v>58</v>
      </c>
      <c r="H447" t="s">
        <v>101</v>
      </c>
      <c r="I447">
        <v>7</v>
      </c>
      <c r="J447">
        <v>0.15</v>
      </c>
      <c r="K447">
        <v>321582.09999999998</v>
      </c>
      <c r="L447">
        <v>38299.85</v>
      </c>
      <c r="M447">
        <v>2025</v>
      </c>
      <c r="N447" t="s">
        <v>623</v>
      </c>
      <c r="O447" t="s">
        <v>625</v>
      </c>
      <c r="P447">
        <v>0.11909820229421973</v>
      </c>
    </row>
    <row r="448" spans="1:16" x14ac:dyDescent="0.3">
      <c r="A448" t="s">
        <v>548</v>
      </c>
      <c r="B448" s="12">
        <v>45979</v>
      </c>
      <c r="C448" t="s">
        <v>44</v>
      </c>
      <c r="D448" t="s">
        <v>14</v>
      </c>
      <c r="E448" t="s">
        <v>97</v>
      </c>
      <c r="F448" t="s">
        <v>28</v>
      </c>
      <c r="G448" t="s">
        <v>71</v>
      </c>
      <c r="H448" t="s">
        <v>121</v>
      </c>
      <c r="I448">
        <v>4</v>
      </c>
      <c r="J448">
        <v>0</v>
      </c>
      <c r="K448">
        <v>18380.96</v>
      </c>
      <c r="L448">
        <v>3003.95</v>
      </c>
      <c r="M448">
        <v>2025</v>
      </c>
      <c r="N448" t="s">
        <v>623</v>
      </c>
      <c r="O448" t="s">
        <v>625</v>
      </c>
      <c r="P448">
        <v>0.16342726386434658</v>
      </c>
    </row>
    <row r="449" spans="1:16" x14ac:dyDescent="0.3">
      <c r="A449" t="s">
        <v>549</v>
      </c>
      <c r="B449" s="12">
        <v>45980</v>
      </c>
      <c r="C449" t="s">
        <v>61</v>
      </c>
      <c r="D449" t="s">
        <v>33</v>
      </c>
      <c r="E449" t="s">
        <v>86</v>
      </c>
      <c r="F449" t="s">
        <v>23</v>
      </c>
      <c r="G449" t="s">
        <v>35</v>
      </c>
      <c r="H449" t="s">
        <v>36</v>
      </c>
      <c r="I449">
        <v>3</v>
      </c>
      <c r="J449">
        <v>0.15</v>
      </c>
      <c r="K449">
        <v>107616.06</v>
      </c>
      <c r="L449">
        <v>8893.26</v>
      </c>
      <c r="M449">
        <v>2025</v>
      </c>
      <c r="N449" t="s">
        <v>623</v>
      </c>
      <c r="O449" t="s">
        <v>625</v>
      </c>
      <c r="P449">
        <v>8.2638780865978562E-2</v>
      </c>
    </row>
    <row r="450" spans="1:16" x14ac:dyDescent="0.3">
      <c r="A450" t="s">
        <v>550</v>
      </c>
      <c r="B450" s="12">
        <v>45980</v>
      </c>
      <c r="C450" t="s">
        <v>44</v>
      </c>
      <c r="D450" t="s">
        <v>33</v>
      </c>
      <c r="E450" t="s">
        <v>34</v>
      </c>
      <c r="F450" t="s">
        <v>23</v>
      </c>
      <c r="G450" t="s">
        <v>58</v>
      </c>
      <c r="H450" t="s">
        <v>90</v>
      </c>
      <c r="I450">
        <v>4</v>
      </c>
      <c r="J450">
        <v>0.1</v>
      </c>
      <c r="K450">
        <v>151639.35999999999</v>
      </c>
      <c r="L450">
        <v>8311.2800000000007</v>
      </c>
      <c r="M450">
        <v>2025</v>
      </c>
      <c r="N450" t="s">
        <v>623</v>
      </c>
      <c r="O450" t="s">
        <v>625</v>
      </c>
      <c r="P450">
        <v>5.4809516473823164E-2</v>
      </c>
    </row>
    <row r="451" spans="1:16" x14ac:dyDescent="0.3">
      <c r="A451" t="s">
        <v>551</v>
      </c>
      <c r="B451" s="12">
        <v>45981</v>
      </c>
      <c r="C451" t="s">
        <v>32</v>
      </c>
      <c r="D451" t="s">
        <v>14</v>
      </c>
      <c r="E451" t="s">
        <v>97</v>
      </c>
      <c r="F451" t="s">
        <v>28</v>
      </c>
      <c r="G451" t="s">
        <v>92</v>
      </c>
      <c r="H451" t="s">
        <v>204</v>
      </c>
      <c r="I451">
        <v>1</v>
      </c>
      <c r="J451">
        <v>0</v>
      </c>
      <c r="K451">
        <v>416.97</v>
      </c>
      <c r="L451">
        <v>35.14</v>
      </c>
      <c r="M451">
        <v>2025</v>
      </c>
      <c r="N451" t="s">
        <v>623</v>
      </c>
      <c r="O451" t="s">
        <v>626</v>
      </c>
      <c r="P451">
        <v>8.4274648056215068E-2</v>
      </c>
    </row>
    <row r="452" spans="1:16" x14ac:dyDescent="0.3">
      <c r="A452" t="s">
        <v>552</v>
      </c>
      <c r="B452" s="12">
        <v>45982</v>
      </c>
      <c r="C452" t="s">
        <v>77</v>
      </c>
      <c r="D452" t="s">
        <v>14</v>
      </c>
      <c r="E452" t="s">
        <v>54</v>
      </c>
      <c r="F452" t="s">
        <v>23</v>
      </c>
      <c r="G452" t="s">
        <v>58</v>
      </c>
      <c r="H452" t="s">
        <v>90</v>
      </c>
      <c r="I452">
        <v>3</v>
      </c>
      <c r="J452">
        <v>0</v>
      </c>
      <c r="K452">
        <v>32557.11</v>
      </c>
      <c r="L452">
        <v>7870.52</v>
      </c>
      <c r="M452">
        <v>2025</v>
      </c>
      <c r="N452" t="s">
        <v>623</v>
      </c>
      <c r="O452" t="s">
        <v>625</v>
      </c>
      <c r="P452">
        <v>0.2417450443236516</v>
      </c>
    </row>
    <row r="453" spans="1:16" x14ac:dyDescent="0.3">
      <c r="A453" t="s">
        <v>553</v>
      </c>
      <c r="B453" s="12">
        <v>45983</v>
      </c>
      <c r="C453" t="s">
        <v>82</v>
      </c>
      <c r="D453" t="s">
        <v>39</v>
      </c>
      <c r="E453" t="s">
        <v>40</v>
      </c>
      <c r="F453" t="s">
        <v>28</v>
      </c>
      <c r="G453" t="s">
        <v>71</v>
      </c>
      <c r="H453" t="s">
        <v>72</v>
      </c>
      <c r="I453">
        <v>4</v>
      </c>
      <c r="J453">
        <v>0.15</v>
      </c>
      <c r="K453">
        <v>15563.8</v>
      </c>
      <c r="L453">
        <v>1402.59</v>
      </c>
      <c r="M453">
        <v>2025</v>
      </c>
      <c r="N453" t="s">
        <v>623</v>
      </c>
      <c r="O453" t="s">
        <v>625</v>
      </c>
      <c r="P453">
        <v>9.0118737069353236E-2</v>
      </c>
    </row>
    <row r="454" spans="1:16" x14ac:dyDescent="0.3">
      <c r="A454" t="s">
        <v>554</v>
      </c>
      <c r="B454" s="12">
        <v>45984</v>
      </c>
      <c r="C454" t="s">
        <v>13</v>
      </c>
      <c r="D454" t="s">
        <v>33</v>
      </c>
      <c r="E454" t="s">
        <v>140</v>
      </c>
      <c r="F454" t="s">
        <v>28</v>
      </c>
      <c r="G454" t="s">
        <v>92</v>
      </c>
      <c r="H454" t="s">
        <v>204</v>
      </c>
      <c r="I454">
        <v>5</v>
      </c>
      <c r="J454">
        <v>0.15</v>
      </c>
      <c r="K454">
        <v>18957.75</v>
      </c>
      <c r="L454">
        <v>790.45</v>
      </c>
      <c r="M454">
        <v>2025</v>
      </c>
      <c r="N454" t="s">
        <v>623</v>
      </c>
      <c r="O454" t="s">
        <v>625</v>
      </c>
      <c r="P454">
        <v>4.1695348867877256E-2</v>
      </c>
    </row>
    <row r="455" spans="1:16" x14ac:dyDescent="0.3">
      <c r="A455" t="s">
        <v>555</v>
      </c>
      <c r="B455" s="12">
        <v>45985</v>
      </c>
      <c r="C455" t="s">
        <v>138</v>
      </c>
      <c r="D455" t="s">
        <v>21</v>
      </c>
      <c r="E455" t="s">
        <v>67</v>
      </c>
      <c r="F455" t="s">
        <v>28</v>
      </c>
      <c r="G455" t="s">
        <v>92</v>
      </c>
      <c r="H455" t="s">
        <v>204</v>
      </c>
      <c r="I455">
        <v>6</v>
      </c>
      <c r="J455">
        <v>0.1</v>
      </c>
      <c r="K455">
        <v>18971.28</v>
      </c>
      <c r="L455">
        <v>3597.25</v>
      </c>
      <c r="M455">
        <v>2025</v>
      </c>
      <c r="N455" t="s">
        <v>623</v>
      </c>
      <c r="O455" t="s">
        <v>625</v>
      </c>
      <c r="P455">
        <v>0.18961556626648282</v>
      </c>
    </row>
    <row r="456" spans="1:16" x14ac:dyDescent="0.3">
      <c r="A456" t="s">
        <v>556</v>
      </c>
      <c r="B456" s="12">
        <v>45985</v>
      </c>
      <c r="C456" t="s">
        <v>143</v>
      </c>
      <c r="D456" t="s">
        <v>39</v>
      </c>
      <c r="E456" t="s">
        <v>40</v>
      </c>
      <c r="F456" t="s">
        <v>23</v>
      </c>
      <c r="G456" t="s">
        <v>35</v>
      </c>
      <c r="H456" t="s">
        <v>36</v>
      </c>
      <c r="I456">
        <v>1</v>
      </c>
      <c r="J456">
        <v>0.2</v>
      </c>
      <c r="K456">
        <v>1773.95</v>
      </c>
      <c r="L456">
        <v>110.25</v>
      </c>
      <c r="M456">
        <v>2025</v>
      </c>
      <c r="N456" t="s">
        <v>623</v>
      </c>
      <c r="O456" t="s">
        <v>625</v>
      </c>
      <c r="P456">
        <v>6.2149440514106938E-2</v>
      </c>
    </row>
    <row r="457" spans="1:16" x14ac:dyDescent="0.3">
      <c r="A457" t="s">
        <v>557</v>
      </c>
      <c r="B457" s="12">
        <v>45985</v>
      </c>
      <c r="C457" t="s">
        <v>104</v>
      </c>
      <c r="D457" t="s">
        <v>39</v>
      </c>
      <c r="E457" t="s">
        <v>128</v>
      </c>
      <c r="F457" t="s">
        <v>23</v>
      </c>
      <c r="G457" t="s">
        <v>58</v>
      </c>
      <c r="H457" t="s">
        <v>59</v>
      </c>
      <c r="I457">
        <v>2</v>
      </c>
      <c r="J457">
        <v>0.2</v>
      </c>
      <c r="K457">
        <v>54008.08</v>
      </c>
      <c r="L457">
        <v>2561.67</v>
      </c>
      <c r="M457">
        <v>2025</v>
      </c>
      <c r="N457" t="s">
        <v>623</v>
      </c>
      <c r="O457" t="s">
        <v>625</v>
      </c>
      <c r="P457">
        <v>4.7431236215025603E-2</v>
      </c>
    </row>
    <row r="458" spans="1:16" x14ac:dyDescent="0.3">
      <c r="A458" t="s">
        <v>558</v>
      </c>
      <c r="B458" s="12">
        <v>45986</v>
      </c>
      <c r="C458" t="s">
        <v>66</v>
      </c>
      <c r="D458" t="s">
        <v>21</v>
      </c>
      <c r="E458" t="s">
        <v>57</v>
      </c>
      <c r="F458" t="s">
        <v>16</v>
      </c>
      <c r="G458" t="s">
        <v>41</v>
      </c>
      <c r="H458" t="s">
        <v>177</v>
      </c>
      <c r="I458">
        <v>6</v>
      </c>
      <c r="J458">
        <v>0.1</v>
      </c>
      <c r="K458">
        <v>62348.76</v>
      </c>
      <c r="L458">
        <v>12106.16</v>
      </c>
      <c r="M458">
        <v>2025</v>
      </c>
      <c r="N458" t="s">
        <v>623</v>
      </c>
      <c r="O458" t="s">
        <v>625</v>
      </c>
      <c r="P458">
        <v>0.19416841650098574</v>
      </c>
    </row>
    <row r="459" spans="1:16" x14ac:dyDescent="0.3">
      <c r="A459" t="s">
        <v>559</v>
      </c>
      <c r="B459" s="12">
        <v>45987</v>
      </c>
      <c r="C459" t="s">
        <v>56</v>
      </c>
      <c r="D459" t="s">
        <v>39</v>
      </c>
      <c r="E459" t="s">
        <v>47</v>
      </c>
      <c r="F459" t="s">
        <v>23</v>
      </c>
      <c r="G459" t="s">
        <v>58</v>
      </c>
      <c r="H459" t="s">
        <v>101</v>
      </c>
      <c r="I459">
        <v>7</v>
      </c>
      <c r="J459">
        <v>0.2</v>
      </c>
      <c r="K459">
        <v>265138.02</v>
      </c>
      <c r="L459">
        <v>25193.19</v>
      </c>
      <c r="M459">
        <v>2025</v>
      </c>
      <c r="N459" t="s">
        <v>623</v>
      </c>
      <c r="O459" t="s">
        <v>625</v>
      </c>
      <c r="P459">
        <v>9.5019152666222656E-2</v>
      </c>
    </row>
    <row r="460" spans="1:16" x14ac:dyDescent="0.3">
      <c r="A460" t="s">
        <v>560</v>
      </c>
      <c r="B460" s="12">
        <v>45989</v>
      </c>
      <c r="C460" t="s">
        <v>100</v>
      </c>
      <c r="D460" t="s">
        <v>14</v>
      </c>
      <c r="E460" t="s">
        <v>54</v>
      </c>
      <c r="F460" t="s">
        <v>28</v>
      </c>
      <c r="G460" t="s">
        <v>29</v>
      </c>
      <c r="H460" t="s">
        <v>98</v>
      </c>
      <c r="I460">
        <v>5</v>
      </c>
      <c r="J460">
        <v>0.1</v>
      </c>
      <c r="K460">
        <v>11206.4</v>
      </c>
      <c r="L460">
        <v>839.77</v>
      </c>
      <c r="M460">
        <v>2025</v>
      </c>
      <c r="N460" t="s">
        <v>623</v>
      </c>
      <c r="O460" t="s">
        <v>625</v>
      </c>
      <c r="P460">
        <v>7.4936643346659046E-2</v>
      </c>
    </row>
    <row r="461" spans="1:16" x14ac:dyDescent="0.3">
      <c r="A461" t="s">
        <v>561</v>
      </c>
      <c r="B461" s="12">
        <v>45990</v>
      </c>
      <c r="C461" t="s">
        <v>100</v>
      </c>
      <c r="D461" t="s">
        <v>21</v>
      </c>
      <c r="E461" t="s">
        <v>57</v>
      </c>
      <c r="F461" t="s">
        <v>23</v>
      </c>
      <c r="G461" t="s">
        <v>58</v>
      </c>
      <c r="H461" t="s">
        <v>78</v>
      </c>
      <c r="I461">
        <v>3</v>
      </c>
      <c r="J461">
        <v>0.05</v>
      </c>
      <c r="K461">
        <v>10049.16</v>
      </c>
      <c r="L461">
        <v>1404.12</v>
      </c>
      <c r="M461">
        <v>2025</v>
      </c>
      <c r="N461" t="s">
        <v>623</v>
      </c>
      <c r="O461" t="s">
        <v>625</v>
      </c>
      <c r="P461">
        <v>0.13972511135259066</v>
      </c>
    </row>
    <row r="462" spans="1:16" x14ac:dyDescent="0.3">
      <c r="A462" t="s">
        <v>562</v>
      </c>
      <c r="B462" s="12">
        <v>45994</v>
      </c>
      <c r="C462" t="s">
        <v>85</v>
      </c>
      <c r="D462" t="s">
        <v>39</v>
      </c>
      <c r="E462" t="s">
        <v>52</v>
      </c>
      <c r="F462" t="s">
        <v>16</v>
      </c>
      <c r="G462" t="s">
        <v>62</v>
      </c>
      <c r="H462" t="s">
        <v>167</v>
      </c>
      <c r="I462">
        <v>3</v>
      </c>
      <c r="J462">
        <v>0.05</v>
      </c>
      <c r="K462">
        <v>13031.4</v>
      </c>
      <c r="L462">
        <v>1865.06</v>
      </c>
      <c r="M462">
        <v>2025</v>
      </c>
      <c r="N462" t="s">
        <v>624</v>
      </c>
      <c r="O462" t="s">
        <v>625</v>
      </c>
      <c r="P462">
        <v>0.14312046288196204</v>
      </c>
    </row>
    <row r="463" spans="1:16" x14ac:dyDescent="0.3">
      <c r="A463" t="s">
        <v>563</v>
      </c>
      <c r="B463" s="12">
        <v>45994</v>
      </c>
      <c r="C463" t="s">
        <v>66</v>
      </c>
      <c r="D463" t="s">
        <v>14</v>
      </c>
      <c r="E463" t="s">
        <v>15</v>
      </c>
      <c r="F463" t="s">
        <v>16</v>
      </c>
      <c r="G463" t="s">
        <v>62</v>
      </c>
      <c r="H463" t="s">
        <v>63</v>
      </c>
      <c r="I463">
        <v>1</v>
      </c>
      <c r="J463">
        <v>0.1</v>
      </c>
      <c r="K463">
        <v>1471.95</v>
      </c>
      <c r="L463">
        <v>112.41</v>
      </c>
      <c r="M463">
        <v>2025</v>
      </c>
      <c r="N463" t="s">
        <v>624</v>
      </c>
      <c r="O463" t="s">
        <v>625</v>
      </c>
      <c r="P463">
        <v>7.6368083154998462E-2</v>
      </c>
    </row>
    <row r="464" spans="1:16" x14ac:dyDescent="0.3">
      <c r="A464" t="s">
        <v>564</v>
      </c>
      <c r="B464" s="12">
        <v>45994</v>
      </c>
      <c r="C464" t="s">
        <v>77</v>
      </c>
      <c r="D464" t="s">
        <v>21</v>
      </c>
      <c r="E464" t="s">
        <v>22</v>
      </c>
      <c r="F464" t="s">
        <v>23</v>
      </c>
      <c r="G464" t="s">
        <v>24</v>
      </c>
      <c r="H464" t="s">
        <v>132</v>
      </c>
      <c r="I464">
        <v>4</v>
      </c>
      <c r="J464">
        <v>0.2</v>
      </c>
      <c r="K464">
        <v>135263.67999999999</v>
      </c>
      <c r="L464">
        <v>23130.82</v>
      </c>
      <c r="M464">
        <v>2025</v>
      </c>
      <c r="N464" t="s">
        <v>624</v>
      </c>
      <c r="O464" t="s">
        <v>625</v>
      </c>
      <c r="P464">
        <v>0.17100540218926472</v>
      </c>
    </row>
    <row r="465" spans="1:16" x14ac:dyDescent="0.3">
      <c r="A465" t="s">
        <v>565</v>
      </c>
      <c r="B465" s="12">
        <v>45995</v>
      </c>
      <c r="C465" t="s">
        <v>95</v>
      </c>
      <c r="D465" t="s">
        <v>14</v>
      </c>
      <c r="E465" t="s">
        <v>15</v>
      </c>
      <c r="F465" t="s">
        <v>28</v>
      </c>
      <c r="G465" t="s">
        <v>92</v>
      </c>
      <c r="H465" t="s">
        <v>204</v>
      </c>
      <c r="I465">
        <v>6</v>
      </c>
      <c r="J465">
        <v>0.2</v>
      </c>
      <c r="K465">
        <v>13783.68</v>
      </c>
      <c r="L465">
        <v>663.35</v>
      </c>
      <c r="M465">
        <v>2025</v>
      </c>
      <c r="N465" t="s">
        <v>624</v>
      </c>
      <c r="O465" t="s">
        <v>625</v>
      </c>
      <c r="P465">
        <v>4.8125754515484981E-2</v>
      </c>
    </row>
    <row r="466" spans="1:16" x14ac:dyDescent="0.3">
      <c r="A466" t="s">
        <v>566</v>
      </c>
      <c r="B466" s="12">
        <v>45995</v>
      </c>
      <c r="C466" t="s">
        <v>56</v>
      </c>
      <c r="D466" t="s">
        <v>39</v>
      </c>
      <c r="E466" t="s">
        <v>52</v>
      </c>
      <c r="F466" t="s">
        <v>28</v>
      </c>
      <c r="G466" t="s">
        <v>74</v>
      </c>
      <c r="H466" t="s">
        <v>159</v>
      </c>
      <c r="I466">
        <v>1</v>
      </c>
      <c r="J466">
        <v>0</v>
      </c>
      <c r="K466">
        <v>3410.88</v>
      </c>
      <c r="L466">
        <v>338.67</v>
      </c>
      <c r="M466">
        <v>2025</v>
      </c>
      <c r="N466" t="s">
        <v>624</v>
      </c>
      <c r="O466" t="s">
        <v>625</v>
      </c>
      <c r="P466">
        <v>9.929109203490008E-2</v>
      </c>
    </row>
    <row r="467" spans="1:16" x14ac:dyDescent="0.3">
      <c r="A467" t="s">
        <v>567</v>
      </c>
      <c r="B467" s="12">
        <v>45996</v>
      </c>
      <c r="C467" t="s">
        <v>20</v>
      </c>
      <c r="D467" t="s">
        <v>39</v>
      </c>
      <c r="E467" t="s">
        <v>128</v>
      </c>
      <c r="F467" t="s">
        <v>28</v>
      </c>
      <c r="G467" t="s">
        <v>29</v>
      </c>
      <c r="H467" t="s">
        <v>30</v>
      </c>
      <c r="I467">
        <v>2</v>
      </c>
      <c r="J467">
        <v>0.1</v>
      </c>
      <c r="K467">
        <v>4164.78</v>
      </c>
      <c r="L467">
        <v>196.88</v>
      </c>
      <c r="M467">
        <v>2025</v>
      </c>
      <c r="N467" t="s">
        <v>624</v>
      </c>
      <c r="O467" t="s">
        <v>625</v>
      </c>
      <c r="P467">
        <v>4.7272605035560106E-2</v>
      </c>
    </row>
    <row r="468" spans="1:16" x14ac:dyDescent="0.3">
      <c r="A468" t="s">
        <v>568</v>
      </c>
      <c r="B468" s="12">
        <v>45997</v>
      </c>
      <c r="C468" t="s">
        <v>100</v>
      </c>
      <c r="D468" t="s">
        <v>33</v>
      </c>
      <c r="E468" t="s">
        <v>86</v>
      </c>
      <c r="F468" t="s">
        <v>23</v>
      </c>
      <c r="G468" t="s">
        <v>35</v>
      </c>
      <c r="H468" t="s">
        <v>36</v>
      </c>
      <c r="I468">
        <v>2</v>
      </c>
      <c r="J468">
        <v>0</v>
      </c>
      <c r="K468">
        <v>13613.46</v>
      </c>
      <c r="L468">
        <v>1825.03</v>
      </c>
      <c r="M468">
        <v>2025</v>
      </c>
      <c r="N468" t="s">
        <v>624</v>
      </c>
      <c r="O468" t="s">
        <v>625</v>
      </c>
      <c r="P468">
        <v>0.13406070168788831</v>
      </c>
    </row>
    <row r="469" spans="1:16" x14ac:dyDescent="0.3">
      <c r="A469" t="s">
        <v>569</v>
      </c>
      <c r="B469" s="12">
        <v>45997</v>
      </c>
      <c r="C469" t="s">
        <v>82</v>
      </c>
      <c r="D469" t="s">
        <v>21</v>
      </c>
      <c r="E469" t="s">
        <v>67</v>
      </c>
      <c r="F469" t="s">
        <v>28</v>
      </c>
      <c r="G469" t="s">
        <v>92</v>
      </c>
      <c r="H469" t="s">
        <v>93</v>
      </c>
      <c r="I469">
        <v>5</v>
      </c>
      <c r="J469">
        <v>0.2</v>
      </c>
      <c r="K469">
        <v>24510.799999999999</v>
      </c>
      <c r="L469">
        <v>1692.72</v>
      </c>
      <c r="M469">
        <v>2025</v>
      </c>
      <c r="N469" t="s">
        <v>624</v>
      </c>
      <c r="O469" t="s">
        <v>625</v>
      </c>
      <c r="P469">
        <v>6.9060169394715806E-2</v>
      </c>
    </row>
    <row r="470" spans="1:16" x14ac:dyDescent="0.3">
      <c r="A470" t="s">
        <v>570</v>
      </c>
      <c r="B470" s="12">
        <v>45998</v>
      </c>
      <c r="C470" t="s">
        <v>13</v>
      </c>
      <c r="D470" t="s">
        <v>39</v>
      </c>
      <c r="E470" t="s">
        <v>128</v>
      </c>
      <c r="F470" t="s">
        <v>23</v>
      </c>
      <c r="G470" t="s">
        <v>35</v>
      </c>
      <c r="H470" t="s">
        <v>155</v>
      </c>
      <c r="I470">
        <v>4</v>
      </c>
      <c r="J470">
        <v>0.15</v>
      </c>
      <c r="K470">
        <v>172707.72</v>
      </c>
      <c r="L470">
        <v>17503.68</v>
      </c>
      <c r="M470">
        <v>2025</v>
      </c>
      <c r="N470" t="s">
        <v>624</v>
      </c>
      <c r="O470" t="s">
        <v>625</v>
      </c>
      <c r="P470">
        <v>0.10134856739467119</v>
      </c>
    </row>
    <row r="471" spans="1:16" x14ac:dyDescent="0.3">
      <c r="A471" t="s">
        <v>571</v>
      </c>
      <c r="B471" s="12">
        <v>45998</v>
      </c>
      <c r="C471" t="s">
        <v>95</v>
      </c>
      <c r="D471" t="s">
        <v>33</v>
      </c>
      <c r="E471" t="s">
        <v>45</v>
      </c>
      <c r="F471" t="s">
        <v>16</v>
      </c>
      <c r="G471" t="s">
        <v>68</v>
      </c>
      <c r="H471" t="s">
        <v>69</v>
      </c>
      <c r="I471">
        <v>3</v>
      </c>
      <c r="J471">
        <v>0</v>
      </c>
      <c r="K471">
        <v>9747.42</v>
      </c>
      <c r="L471">
        <v>1286.07</v>
      </c>
      <c r="M471">
        <v>2025</v>
      </c>
      <c r="N471" t="s">
        <v>624</v>
      </c>
      <c r="O471" t="s">
        <v>625</v>
      </c>
      <c r="P471">
        <v>0.13193952861372546</v>
      </c>
    </row>
    <row r="472" spans="1:16" x14ac:dyDescent="0.3">
      <c r="A472" t="s">
        <v>572</v>
      </c>
      <c r="B472" s="12">
        <v>45998</v>
      </c>
      <c r="C472" t="s">
        <v>147</v>
      </c>
      <c r="D472" t="s">
        <v>39</v>
      </c>
      <c r="E472" t="s">
        <v>52</v>
      </c>
      <c r="F472" t="s">
        <v>16</v>
      </c>
      <c r="G472" t="s">
        <v>68</v>
      </c>
      <c r="H472" t="s">
        <v>175</v>
      </c>
      <c r="I472">
        <v>1</v>
      </c>
      <c r="J472">
        <v>0.05</v>
      </c>
      <c r="K472">
        <v>3012.86</v>
      </c>
      <c r="L472">
        <v>338.62</v>
      </c>
      <c r="M472">
        <v>2025</v>
      </c>
      <c r="N472" t="s">
        <v>624</v>
      </c>
      <c r="O472" t="s">
        <v>625</v>
      </c>
      <c r="P472">
        <v>0.11239154822992106</v>
      </c>
    </row>
    <row r="473" spans="1:16" x14ac:dyDescent="0.3">
      <c r="A473" t="s">
        <v>573</v>
      </c>
      <c r="B473" s="12">
        <v>45999</v>
      </c>
      <c r="C473" t="s">
        <v>20</v>
      </c>
      <c r="D473" t="s">
        <v>39</v>
      </c>
      <c r="E473" t="s">
        <v>52</v>
      </c>
      <c r="F473" t="s">
        <v>23</v>
      </c>
      <c r="G473" t="s">
        <v>35</v>
      </c>
      <c r="H473" t="s">
        <v>155</v>
      </c>
      <c r="I473">
        <v>1</v>
      </c>
      <c r="J473">
        <v>0.2</v>
      </c>
      <c r="K473">
        <v>8428.0499999999993</v>
      </c>
      <c r="L473">
        <v>1286.28</v>
      </c>
      <c r="M473">
        <v>2025</v>
      </c>
      <c r="N473" t="s">
        <v>624</v>
      </c>
      <c r="O473" t="s">
        <v>625</v>
      </c>
      <c r="P473">
        <v>0.15261893320518982</v>
      </c>
    </row>
    <row r="474" spans="1:16" x14ac:dyDescent="0.3">
      <c r="A474" t="s">
        <v>574</v>
      </c>
      <c r="B474" s="12">
        <v>46000</v>
      </c>
      <c r="C474" t="s">
        <v>20</v>
      </c>
      <c r="D474" t="s">
        <v>33</v>
      </c>
      <c r="E474" t="s">
        <v>86</v>
      </c>
      <c r="F474" t="s">
        <v>16</v>
      </c>
      <c r="G474" t="s">
        <v>17</v>
      </c>
      <c r="H474" t="s">
        <v>18</v>
      </c>
      <c r="I474">
        <v>3</v>
      </c>
      <c r="J474">
        <v>0.2</v>
      </c>
      <c r="K474">
        <v>11930.49</v>
      </c>
      <c r="L474">
        <v>514.04</v>
      </c>
      <c r="M474">
        <v>2025</v>
      </c>
      <c r="N474" t="s">
        <v>624</v>
      </c>
      <c r="O474" t="s">
        <v>625</v>
      </c>
      <c r="P474">
        <v>4.3086243733492922E-2</v>
      </c>
    </row>
    <row r="475" spans="1:16" x14ac:dyDescent="0.3">
      <c r="A475" t="s">
        <v>575</v>
      </c>
      <c r="B475" s="12">
        <v>46000</v>
      </c>
      <c r="C475" t="s">
        <v>229</v>
      </c>
      <c r="D475" t="s">
        <v>21</v>
      </c>
      <c r="E475" t="s">
        <v>105</v>
      </c>
      <c r="F475" t="s">
        <v>23</v>
      </c>
      <c r="G475" t="s">
        <v>58</v>
      </c>
      <c r="H475" t="s">
        <v>90</v>
      </c>
      <c r="I475">
        <v>6</v>
      </c>
      <c r="J475">
        <v>0</v>
      </c>
      <c r="K475">
        <v>100827.12</v>
      </c>
      <c r="L475">
        <v>12399.55</v>
      </c>
      <c r="M475">
        <v>2025</v>
      </c>
      <c r="N475" t="s">
        <v>624</v>
      </c>
      <c r="O475" t="s">
        <v>625</v>
      </c>
      <c r="P475">
        <v>0.12297832170550939</v>
      </c>
    </row>
    <row r="476" spans="1:16" x14ac:dyDescent="0.3">
      <c r="A476" t="s">
        <v>576</v>
      </c>
      <c r="B476" s="12">
        <v>46001</v>
      </c>
      <c r="C476" t="s">
        <v>85</v>
      </c>
      <c r="D476" t="s">
        <v>21</v>
      </c>
      <c r="E476" t="s">
        <v>67</v>
      </c>
      <c r="F476" t="s">
        <v>16</v>
      </c>
      <c r="G476" t="s">
        <v>17</v>
      </c>
      <c r="H476" t="s">
        <v>18</v>
      </c>
      <c r="I476">
        <v>3</v>
      </c>
      <c r="J476">
        <v>0.15</v>
      </c>
      <c r="K476">
        <v>5146.4399999999996</v>
      </c>
      <c r="L476">
        <v>589.66999999999996</v>
      </c>
      <c r="M476">
        <v>2025</v>
      </c>
      <c r="N476" t="s">
        <v>624</v>
      </c>
      <c r="O476" t="s">
        <v>625</v>
      </c>
      <c r="P476">
        <v>0.11457823272009389</v>
      </c>
    </row>
    <row r="477" spans="1:16" x14ac:dyDescent="0.3">
      <c r="A477" t="s">
        <v>577</v>
      </c>
      <c r="B477" s="12">
        <v>46001</v>
      </c>
      <c r="C477" t="s">
        <v>143</v>
      </c>
      <c r="D477" t="s">
        <v>39</v>
      </c>
      <c r="E477" t="s">
        <v>47</v>
      </c>
      <c r="F477" t="s">
        <v>16</v>
      </c>
      <c r="G477" t="s">
        <v>41</v>
      </c>
      <c r="H477" t="s">
        <v>177</v>
      </c>
      <c r="I477">
        <v>4</v>
      </c>
      <c r="J477">
        <v>0.1</v>
      </c>
      <c r="K477">
        <v>15500.44</v>
      </c>
      <c r="L477">
        <v>1221.48</v>
      </c>
      <c r="M477">
        <v>2025</v>
      </c>
      <c r="N477" t="s">
        <v>624</v>
      </c>
      <c r="O477" t="s">
        <v>625</v>
      </c>
      <c r="P477">
        <v>7.8802924304084268E-2</v>
      </c>
    </row>
    <row r="478" spans="1:16" x14ac:dyDescent="0.3">
      <c r="A478" t="s">
        <v>578</v>
      </c>
      <c r="B478" s="12">
        <v>46002</v>
      </c>
      <c r="C478" t="s">
        <v>147</v>
      </c>
      <c r="D478" t="s">
        <v>39</v>
      </c>
      <c r="E478" t="s">
        <v>52</v>
      </c>
      <c r="F478" t="s">
        <v>28</v>
      </c>
      <c r="G478" t="s">
        <v>71</v>
      </c>
      <c r="H478" t="s">
        <v>72</v>
      </c>
      <c r="I478">
        <v>2</v>
      </c>
      <c r="J478">
        <v>0.1</v>
      </c>
      <c r="K478">
        <v>1237.18</v>
      </c>
      <c r="L478">
        <v>213.98</v>
      </c>
      <c r="M478">
        <v>2025</v>
      </c>
      <c r="N478" t="s">
        <v>624</v>
      </c>
      <c r="O478" t="s">
        <v>625</v>
      </c>
      <c r="P478">
        <v>0.17295785576876443</v>
      </c>
    </row>
    <row r="479" spans="1:16" x14ac:dyDescent="0.3">
      <c r="A479" t="s">
        <v>579</v>
      </c>
      <c r="B479" s="12">
        <v>46003</v>
      </c>
      <c r="C479" t="s">
        <v>20</v>
      </c>
      <c r="D479" t="s">
        <v>33</v>
      </c>
      <c r="E479" t="s">
        <v>34</v>
      </c>
      <c r="F479" t="s">
        <v>23</v>
      </c>
      <c r="G479" t="s">
        <v>58</v>
      </c>
      <c r="H479" t="s">
        <v>59</v>
      </c>
      <c r="I479">
        <v>7</v>
      </c>
      <c r="J479">
        <v>0.2</v>
      </c>
      <c r="K479">
        <v>155225.21</v>
      </c>
      <c r="L479">
        <v>1851.86</v>
      </c>
      <c r="M479">
        <v>2025</v>
      </c>
      <c r="N479" t="s">
        <v>624</v>
      </c>
      <c r="O479" t="s">
        <v>625</v>
      </c>
      <c r="P479">
        <v>1.1930149748227108E-2</v>
      </c>
    </row>
    <row r="480" spans="1:16" x14ac:dyDescent="0.3">
      <c r="A480" t="s">
        <v>580</v>
      </c>
      <c r="B480" s="12">
        <v>46004</v>
      </c>
      <c r="C480" t="s">
        <v>32</v>
      </c>
      <c r="D480" t="s">
        <v>39</v>
      </c>
      <c r="E480" t="s">
        <v>52</v>
      </c>
      <c r="F480" t="s">
        <v>23</v>
      </c>
      <c r="G480" t="s">
        <v>58</v>
      </c>
      <c r="H480" t="s">
        <v>90</v>
      </c>
      <c r="I480">
        <v>7</v>
      </c>
      <c r="J480">
        <v>0.2</v>
      </c>
      <c r="K480">
        <v>19496.82</v>
      </c>
      <c r="L480">
        <v>1249.31</v>
      </c>
      <c r="M480">
        <v>2025</v>
      </c>
      <c r="N480" t="s">
        <v>624</v>
      </c>
      <c r="O480" t="s">
        <v>625</v>
      </c>
      <c r="P480">
        <v>6.4077629069766245E-2</v>
      </c>
    </row>
    <row r="481" spans="1:16" x14ac:dyDescent="0.3">
      <c r="A481" t="s">
        <v>581</v>
      </c>
      <c r="B481" s="12">
        <v>46004</v>
      </c>
      <c r="C481" t="s">
        <v>100</v>
      </c>
      <c r="D481" t="s">
        <v>14</v>
      </c>
      <c r="E481" t="s">
        <v>114</v>
      </c>
      <c r="F481" t="s">
        <v>23</v>
      </c>
      <c r="G481" t="s">
        <v>58</v>
      </c>
      <c r="H481" t="s">
        <v>78</v>
      </c>
      <c r="I481">
        <v>2</v>
      </c>
      <c r="J481">
        <v>0</v>
      </c>
      <c r="K481">
        <v>66709.740000000005</v>
      </c>
      <c r="L481">
        <v>9569.58</v>
      </c>
      <c r="M481">
        <v>2025</v>
      </c>
      <c r="N481" t="s">
        <v>624</v>
      </c>
      <c r="O481" t="s">
        <v>625</v>
      </c>
      <c r="P481">
        <v>0.14345101629836962</v>
      </c>
    </row>
    <row r="482" spans="1:16" x14ac:dyDescent="0.3">
      <c r="A482" t="s">
        <v>582</v>
      </c>
      <c r="B482" s="12">
        <v>46005</v>
      </c>
      <c r="C482" t="s">
        <v>44</v>
      </c>
      <c r="D482" t="s">
        <v>14</v>
      </c>
      <c r="E482" t="s">
        <v>97</v>
      </c>
      <c r="F482" t="s">
        <v>28</v>
      </c>
      <c r="G482" t="s">
        <v>74</v>
      </c>
      <c r="H482" t="s">
        <v>75</v>
      </c>
      <c r="I482">
        <v>6</v>
      </c>
      <c r="J482">
        <v>0.1</v>
      </c>
      <c r="K482">
        <v>18600.36</v>
      </c>
      <c r="L482">
        <v>3666.48</v>
      </c>
      <c r="M482">
        <v>2025</v>
      </c>
      <c r="N482" t="s">
        <v>624</v>
      </c>
      <c r="O482" t="s">
        <v>625</v>
      </c>
      <c r="P482">
        <v>0.19711876544324949</v>
      </c>
    </row>
    <row r="483" spans="1:16" x14ac:dyDescent="0.3">
      <c r="A483" t="s">
        <v>583</v>
      </c>
      <c r="B483" s="12">
        <v>46006</v>
      </c>
      <c r="C483" t="s">
        <v>104</v>
      </c>
      <c r="D483" t="s">
        <v>14</v>
      </c>
      <c r="E483" t="s">
        <v>114</v>
      </c>
      <c r="F483" t="s">
        <v>23</v>
      </c>
      <c r="G483" t="s">
        <v>58</v>
      </c>
      <c r="H483" t="s">
        <v>101</v>
      </c>
      <c r="I483">
        <v>6</v>
      </c>
      <c r="J483">
        <v>0</v>
      </c>
      <c r="K483">
        <v>296611.62</v>
      </c>
      <c r="L483">
        <v>36468.35</v>
      </c>
      <c r="M483">
        <v>2025</v>
      </c>
      <c r="N483" t="s">
        <v>624</v>
      </c>
      <c r="O483" t="s">
        <v>625</v>
      </c>
      <c r="P483">
        <v>0.12294983588303114</v>
      </c>
    </row>
    <row r="484" spans="1:16" x14ac:dyDescent="0.3">
      <c r="A484" t="s">
        <v>584</v>
      </c>
      <c r="B484" s="12">
        <v>46007</v>
      </c>
      <c r="C484" t="s">
        <v>20</v>
      </c>
      <c r="D484" t="s">
        <v>33</v>
      </c>
      <c r="E484" t="s">
        <v>45</v>
      </c>
      <c r="F484" t="s">
        <v>23</v>
      </c>
      <c r="G484" t="s">
        <v>24</v>
      </c>
      <c r="H484" t="s">
        <v>25</v>
      </c>
      <c r="I484">
        <v>6</v>
      </c>
      <c r="J484">
        <v>0.05</v>
      </c>
      <c r="K484">
        <v>118628.4</v>
      </c>
      <c r="L484">
        <v>15808.07</v>
      </c>
      <c r="M484">
        <v>2025</v>
      </c>
      <c r="N484" t="s">
        <v>624</v>
      </c>
      <c r="O484" t="s">
        <v>625</v>
      </c>
      <c r="P484">
        <v>0.13325704468744415</v>
      </c>
    </row>
    <row r="485" spans="1:16" x14ac:dyDescent="0.3">
      <c r="A485" t="s">
        <v>585</v>
      </c>
      <c r="B485" s="12">
        <v>46009</v>
      </c>
      <c r="C485" t="s">
        <v>179</v>
      </c>
      <c r="D485" t="s">
        <v>39</v>
      </c>
      <c r="E485" t="s">
        <v>128</v>
      </c>
      <c r="F485" t="s">
        <v>16</v>
      </c>
      <c r="G485" t="s">
        <v>68</v>
      </c>
      <c r="H485" t="s">
        <v>69</v>
      </c>
      <c r="I485">
        <v>6</v>
      </c>
      <c r="J485">
        <v>0.15</v>
      </c>
      <c r="K485">
        <v>24590.639999999999</v>
      </c>
      <c r="L485">
        <v>1719.36</v>
      </c>
      <c r="M485">
        <v>2025</v>
      </c>
      <c r="N485" t="s">
        <v>624</v>
      </c>
      <c r="O485" t="s">
        <v>625</v>
      </c>
      <c r="P485">
        <v>6.9919286362616018E-2</v>
      </c>
    </row>
    <row r="486" spans="1:16" x14ac:dyDescent="0.3">
      <c r="A486" t="s">
        <v>586</v>
      </c>
      <c r="B486" s="12">
        <v>46009</v>
      </c>
      <c r="C486" t="s">
        <v>56</v>
      </c>
      <c r="D486" t="s">
        <v>39</v>
      </c>
      <c r="E486" t="s">
        <v>128</v>
      </c>
      <c r="F486" t="s">
        <v>16</v>
      </c>
      <c r="G486" t="s">
        <v>68</v>
      </c>
      <c r="H486" t="s">
        <v>83</v>
      </c>
      <c r="I486">
        <v>2</v>
      </c>
      <c r="J486">
        <v>0.15</v>
      </c>
      <c r="K486">
        <v>1481.74</v>
      </c>
      <c r="L486">
        <v>267.18</v>
      </c>
      <c r="M486">
        <v>2025</v>
      </c>
      <c r="N486" t="s">
        <v>624</v>
      </c>
      <c r="O486" t="s">
        <v>625</v>
      </c>
      <c r="P486">
        <v>0.1803150350263879</v>
      </c>
    </row>
    <row r="487" spans="1:16" x14ac:dyDescent="0.3">
      <c r="A487" t="s">
        <v>587</v>
      </c>
      <c r="B487" s="12">
        <v>46009</v>
      </c>
      <c r="C487" t="s">
        <v>66</v>
      </c>
      <c r="D487" t="s">
        <v>21</v>
      </c>
      <c r="E487" t="s">
        <v>105</v>
      </c>
      <c r="F487" t="s">
        <v>23</v>
      </c>
      <c r="G487" t="s">
        <v>48</v>
      </c>
      <c r="H487" t="s">
        <v>118</v>
      </c>
      <c r="I487">
        <v>7</v>
      </c>
      <c r="J487">
        <v>0.1</v>
      </c>
      <c r="K487">
        <v>85514.52</v>
      </c>
      <c r="L487">
        <v>13538.84</v>
      </c>
      <c r="M487">
        <v>2025</v>
      </c>
      <c r="N487" t="s">
        <v>624</v>
      </c>
      <c r="O487" t="s">
        <v>625</v>
      </c>
      <c r="P487">
        <v>0.15832211886355674</v>
      </c>
    </row>
    <row r="488" spans="1:16" x14ac:dyDescent="0.3">
      <c r="A488" t="s">
        <v>588</v>
      </c>
      <c r="B488" s="12">
        <v>46011</v>
      </c>
      <c r="C488" t="s">
        <v>82</v>
      </c>
      <c r="D488" t="s">
        <v>21</v>
      </c>
      <c r="E488" t="s">
        <v>105</v>
      </c>
      <c r="F488" t="s">
        <v>16</v>
      </c>
      <c r="G488" t="s">
        <v>41</v>
      </c>
      <c r="H488" t="s">
        <v>177</v>
      </c>
      <c r="I488">
        <v>6</v>
      </c>
      <c r="J488">
        <v>0.15</v>
      </c>
      <c r="K488">
        <v>34764.720000000001</v>
      </c>
      <c r="L488">
        <v>3211.36</v>
      </c>
      <c r="M488">
        <v>2025</v>
      </c>
      <c r="N488" t="s">
        <v>624</v>
      </c>
      <c r="O488" t="s">
        <v>625</v>
      </c>
      <c r="P488">
        <v>9.2374108003746333E-2</v>
      </c>
    </row>
    <row r="489" spans="1:16" x14ac:dyDescent="0.3">
      <c r="A489" t="s">
        <v>589</v>
      </c>
      <c r="B489" s="12">
        <v>46011</v>
      </c>
      <c r="C489" t="s">
        <v>51</v>
      </c>
      <c r="D489" t="s">
        <v>33</v>
      </c>
      <c r="E489" t="s">
        <v>34</v>
      </c>
      <c r="F489" t="s">
        <v>23</v>
      </c>
      <c r="G489" t="s">
        <v>48</v>
      </c>
      <c r="H489" t="s">
        <v>118</v>
      </c>
      <c r="I489">
        <v>3</v>
      </c>
      <c r="J489">
        <v>0.1</v>
      </c>
      <c r="K489">
        <v>48834.45</v>
      </c>
      <c r="L489">
        <v>9812.9599999999991</v>
      </c>
      <c r="M489">
        <v>2025</v>
      </c>
      <c r="N489" t="s">
        <v>624</v>
      </c>
      <c r="O489" t="s">
        <v>625</v>
      </c>
      <c r="P489">
        <v>0.20094339139685202</v>
      </c>
    </row>
    <row r="490" spans="1:16" x14ac:dyDescent="0.3">
      <c r="A490" t="s">
        <v>590</v>
      </c>
      <c r="B490" s="12">
        <v>46012</v>
      </c>
      <c r="C490" t="s">
        <v>32</v>
      </c>
      <c r="D490" t="s">
        <v>14</v>
      </c>
      <c r="E490" t="s">
        <v>54</v>
      </c>
      <c r="F490" t="s">
        <v>16</v>
      </c>
      <c r="G490" t="s">
        <v>62</v>
      </c>
      <c r="H490" t="s">
        <v>167</v>
      </c>
      <c r="I490">
        <v>5</v>
      </c>
      <c r="J490">
        <v>0.05</v>
      </c>
      <c r="K490">
        <v>52204.9</v>
      </c>
      <c r="L490">
        <v>6729.26</v>
      </c>
      <c r="M490">
        <v>2025</v>
      </c>
      <c r="N490" t="s">
        <v>624</v>
      </c>
      <c r="O490" t="s">
        <v>625</v>
      </c>
      <c r="P490">
        <v>0.1289009269244841</v>
      </c>
    </row>
    <row r="491" spans="1:16" x14ac:dyDescent="0.3">
      <c r="A491" t="s">
        <v>591</v>
      </c>
      <c r="B491" s="12">
        <v>46012</v>
      </c>
      <c r="C491" t="s">
        <v>51</v>
      </c>
      <c r="D491" t="s">
        <v>21</v>
      </c>
      <c r="E491" t="s">
        <v>57</v>
      </c>
      <c r="F491" t="s">
        <v>23</v>
      </c>
      <c r="G491" t="s">
        <v>48</v>
      </c>
      <c r="H491" t="s">
        <v>118</v>
      </c>
      <c r="I491">
        <v>4</v>
      </c>
      <c r="J491">
        <v>0</v>
      </c>
      <c r="K491">
        <v>99205.8</v>
      </c>
      <c r="L491">
        <v>15386.51</v>
      </c>
      <c r="M491">
        <v>2025</v>
      </c>
      <c r="N491" t="s">
        <v>624</v>
      </c>
      <c r="O491" t="s">
        <v>625</v>
      </c>
      <c r="P491">
        <v>0.15509687941632444</v>
      </c>
    </row>
    <row r="492" spans="1:16" x14ac:dyDescent="0.3">
      <c r="A492" t="s">
        <v>592</v>
      </c>
      <c r="B492" s="12">
        <v>46012</v>
      </c>
      <c r="C492" t="s">
        <v>135</v>
      </c>
      <c r="D492" t="s">
        <v>39</v>
      </c>
      <c r="E492" t="s">
        <v>52</v>
      </c>
      <c r="F492" t="s">
        <v>28</v>
      </c>
      <c r="G492" t="s">
        <v>29</v>
      </c>
      <c r="H492" t="s">
        <v>98</v>
      </c>
      <c r="I492">
        <v>3</v>
      </c>
      <c r="J492">
        <v>0.05</v>
      </c>
      <c r="K492">
        <v>12788.16</v>
      </c>
      <c r="L492">
        <v>1545.78</v>
      </c>
      <c r="M492">
        <v>2025</v>
      </c>
      <c r="N492" t="s">
        <v>624</v>
      </c>
      <c r="O492" t="s">
        <v>625</v>
      </c>
      <c r="P492">
        <v>0.12087587268223106</v>
      </c>
    </row>
    <row r="493" spans="1:16" x14ac:dyDescent="0.3">
      <c r="A493" t="s">
        <v>593</v>
      </c>
      <c r="B493" s="12">
        <v>46016</v>
      </c>
      <c r="C493" t="s">
        <v>44</v>
      </c>
      <c r="D493" t="s">
        <v>14</v>
      </c>
      <c r="E493" t="s">
        <v>54</v>
      </c>
      <c r="F493" t="s">
        <v>28</v>
      </c>
      <c r="G493" t="s">
        <v>29</v>
      </c>
      <c r="H493" t="s">
        <v>98</v>
      </c>
      <c r="I493">
        <v>5</v>
      </c>
      <c r="J493">
        <v>0</v>
      </c>
      <c r="K493">
        <v>18440.650000000001</v>
      </c>
      <c r="L493">
        <v>1821.58</v>
      </c>
      <c r="M493">
        <v>2025</v>
      </c>
      <c r="N493" t="s">
        <v>624</v>
      </c>
      <c r="O493" t="s">
        <v>625</v>
      </c>
      <c r="P493">
        <v>9.8780682893498867E-2</v>
      </c>
    </row>
    <row r="494" spans="1:16" x14ac:dyDescent="0.3">
      <c r="A494" t="s">
        <v>594</v>
      </c>
      <c r="B494" s="12">
        <v>46017</v>
      </c>
      <c r="C494" t="s">
        <v>100</v>
      </c>
      <c r="D494" t="s">
        <v>21</v>
      </c>
      <c r="E494" t="s">
        <v>57</v>
      </c>
      <c r="F494" t="s">
        <v>28</v>
      </c>
      <c r="G494" t="s">
        <v>74</v>
      </c>
      <c r="H494" t="s">
        <v>159</v>
      </c>
      <c r="I494">
        <v>6</v>
      </c>
      <c r="J494">
        <v>0.2</v>
      </c>
      <c r="K494">
        <v>19139.099999999999</v>
      </c>
      <c r="L494">
        <v>947.88</v>
      </c>
      <c r="M494">
        <v>2025</v>
      </c>
      <c r="N494" t="s">
        <v>624</v>
      </c>
      <c r="O494" t="s">
        <v>625</v>
      </c>
      <c r="P494">
        <v>4.9525839773030086E-2</v>
      </c>
    </row>
    <row r="495" spans="1:16" x14ac:dyDescent="0.3">
      <c r="A495" t="s">
        <v>595</v>
      </c>
      <c r="B495" s="12">
        <v>46017</v>
      </c>
      <c r="C495" t="s">
        <v>135</v>
      </c>
      <c r="D495" t="s">
        <v>33</v>
      </c>
      <c r="E495" t="s">
        <v>86</v>
      </c>
      <c r="F495" t="s">
        <v>28</v>
      </c>
      <c r="G495" t="s">
        <v>29</v>
      </c>
      <c r="H495" t="s">
        <v>30</v>
      </c>
      <c r="I495">
        <v>2</v>
      </c>
      <c r="J495">
        <v>0.05</v>
      </c>
      <c r="K495">
        <v>6227.08</v>
      </c>
      <c r="L495">
        <v>658.25</v>
      </c>
      <c r="M495">
        <v>2025</v>
      </c>
      <c r="N495" t="s">
        <v>624</v>
      </c>
      <c r="O495" t="s">
        <v>625</v>
      </c>
      <c r="P495">
        <v>0.10570765109810698</v>
      </c>
    </row>
    <row r="496" spans="1:16" x14ac:dyDescent="0.3">
      <c r="A496" t="s">
        <v>596</v>
      </c>
      <c r="B496" s="12">
        <v>46017</v>
      </c>
      <c r="C496" t="s">
        <v>135</v>
      </c>
      <c r="D496" t="s">
        <v>33</v>
      </c>
      <c r="E496" t="s">
        <v>140</v>
      </c>
      <c r="F496" t="s">
        <v>16</v>
      </c>
      <c r="G496" t="s">
        <v>68</v>
      </c>
      <c r="H496" t="s">
        <v>83</v>
      </c>
      <c r="I496">
        <v>7</v>
      </c>
      <c r="J496">
        <v>0.1</v>
      </c>
      <c r="K496">
        <v>18037.88</v>
      </c>
      <c r="L496">
        <v>1793.15</v>
      </c>
      <c r="M496">
        <v>2025</v>
      </c>
      <c r="N496" t="s">
        <v>624</v>
      </c>
      <c r="O496" t="s">
        <v>625</v>
      </c>
      <c r="P496">
        <v>9.9410241114809506E-2</v>
      </c>
    </row>
    <row r="497" spans="1:16" x14ac:dyDescent="0.3">
      <c r="A497" t="s">
        <v>597</v>
      </c>
      <c r="B497" s="12">
        <v>46017</v>
      </c>
      <c r="C497" t="s">
        <v>20</v>
      </c>
      <c r="D497" t="s">
        <v>33</v>
      </c>
      <c r="E497" t="s">
        <v>140</v>
      </c>
      <c r="F497" t="s">
        <v>16</v>
      </c>
      <c r="G497" t="s">
        <v>62</v>
      </c>
      <c r="H497" t="s">
        <v>180</v>
      </c>
      <c r="I497">
        <v>6</v>
      </c>
      <c r="J497">
        <v>0.15</v>
      </c>
      <c r="K497">
        <v>62579.16</v>
      </c>
      <c r="L497">
        <v>2819.51</v>
      </c>
      <c r="M497">
        <v>2025</v>
      </c>
      <c r="N497" t="s">
        <v>624</v>
      </c>
      <c r="O497" t="s">
        <v>625</v>
      </c>
      <c r="P497">
        <v>4.5055095018852923E-2</v>
      </c>
    </row>
    <row r="498" spans="1:16" x14ac:dyDescent="0.3">
      <c r="A498" t="s">
        <v>598</v>
      </c>
      <c r="B498" s="12">
        <v>46018</v>
      </c>
      <c r="C498" t="s">
        <v>138</v>
      </c>
      <c r="D498" t="s">
        <v>14</v>
      </c>
      <c r="E498" t="s">
        <v>15</v>
      </c>
      <c r="F498" t="s">
        <v>23</v>
      </c>
      <c r="G498" t="s">
        <v>58</v>
      </c>
      <c r="H498" t="s">
        <v>78</v>
      </c>
      <c r="I498">
        <v>1</v>
      </c>
      <c r="J498">
        <v>0.2</v>
      </c>
      <c r="K498">
        <v>9952.33</v>
      </c>
      <c r="L498">
        <v>1490.57</v>
      </c>
      <c r="M498">
        <v>2025</v>
      </c>
      <c r="N498" t="s">
        <v>624</v>
      </c>
      <c r="O498" t="s">
        <v>625</v>
      </c>
      <c r="P498">
        <v>0.14977095815753697</v>
      </c>
    </row>
    <row r="499" spans="1:16" x14ac:dyDescent="0.3">
      <c r="A499" t="s">
        <v>599</v>
      </c>
      <c r="B499" s="12">
        <v>46018</v>
      </c>
      <c r="C499" t="s">
        <v>138</v>
      </c>
      <c r="D499" t="s">
        <v>14</v>
      </c>
      <c r="E499" t="s">
        <v>15</v>
      </c>
      <c r="F499" t="s">
        <v>16</v>
      </c>
      <c r="G499" t="s">
        <v>62</v>
      </c>
      <c r="H499" t="s">
        <v>63</v>
      </c>
      <c r="I499">
        <v>1</v>
      </c>
      <c r="J499">
        <v>0.15</v>
      </c>
      <c r="K499">
        <v>8331.9500000000007</v>
      </c>
      <c r="L499">
        <v>1591.98</v>
      </c>
      <c r="M499">
        <v>2025</v>
      </c>
      <c r="N499" t="s">
        <v>624</v>
      </c>
      <c r="O499" t="s">
        <v>625</v>
      </c>
      <c r="P499">
        <v>0.19106931750670611</v>
      </c>
    </row>
    <row r="500" spans="1:16" x14ac:dyDescent="0.3">
      <c r="A500" t="s">
        <v>600</v>
      </c>
      <c r="B500" s="12">
        <v>46019</v>
      </c>
      <c r="C500" t="s">
        <v>143</v>
      </c>
      <c r="D500" t="s">
        <v>33</v>
      </c>
      <c r="E500" t="s">
        <v>34</v>
      </c>
      <c r="F500" t="s">
        <v>23</v>
      </c>
      <c r="G500" t="s">
        <v>58</v>
      </c>
      <c r="H500" t="s">
        <v>78</v>
      </c>
      <c r="I500">
        <v>1</v>
      </c>
      <c r="J500">
        <v>0</v>
      </c>
      <c r="K500">
        <v>17102.27</v>
      </c>
      <c r="L500">
        <v>3178.09</v>
      </c>
      <c r="M500">
        <v>2025</v>
      </c>
      <c r="N500" t="s">
        <v>624</v>
      </c>
      <c r="O500" t="s">
        <v>625</v>
      </c>
      <c r="P500">
        <v>0.18582854790621361</v>
      </c>
    </row>
    <row r="501" spans="1:16" x14ac:dyDescent="0.3">
      <c r="A501" t="s">
        <v>601</v>
      </c>
      <c r="B501" s="12">
        <v>46020</v>
      </c>
      <c r="C501" t="s">
        <v>38</v>
      </c>
      <c r="D501" t="s">
        <v>33</v>
      </c>
      <c r="E501" t="s">
        <v>34</v>
      </c>
      <c r="F501" t="s">
        <v>23</v>
      </c>
      <c r="G501" t="s">
        <v>58</v>
      </c>
      <c r="H501" t="s">
        <v>90</v>
      </c>
      <c r="I501">
        <v>4</v>
      </c>
      <c r="J501">
        <v>0</v>
      </c>
      <c r="K501">
        <v>44533.760000000002</v>
      </c>
      <c r="L501">
        <v>9350.08</v>
      </c>
      <c r="M501">
        <v>2025</v>
      </c>
      <c r="N501" t="s">
        <v>624</v>
      </c>
      <c r="O501" t="s">
        <v>625</v>
      </c>
      <c r="P501">
        <v>0.20995487468383536</v>
      </c>
    </row>
    <row r="502" spans="1:16" x14ac:dyDescent="0.3">
      <c r="A502" t="s">
        <v>602</v>
      </c>
      <c r="B502" s="12">
        <v>46022</v>
      </c>
      <c r="C502" t="s">
        <v>32</v>
      </c>
      <c r="D502" t="s">
        <v>14</v>
      </c>
      <c r="E502" t="s">
        <v>15</v>
      </c>
      <c r="F502" t="s">
        <v>28</v>
      </c>
      <c r="G502" t="s">
        <v>71</v>
      </c>
      <c r="H502" t="s">
        <v>121</v>
      </c>
      <c r="I502">
        <v>3</v>
      </c>
      <c r="J502">
        <v>0</v>
      </c>
      <c r="K502">
        <v>4370.49</v>
      </c>
      <c r="L502">
        <v>794.03</v>
      </c>
      <c r="M502">
        <v>2025</v>
      </c>
      <c r="N502" t="s">
        <v>624</v>
      </c>
      <c r="O502" t="s">
        <v>625</v>
      </c>
      <c r="P502">
        <v>0.18167985740729301</v>
      </c>
    </row>
    <row r="503" spans="1:16" x14ac:dyDescent="0.3">
      <c r="A503" t="s">
        <v>603</v>
      </c>
      <c r="B503" s="12">
        <v>46022</v>
      </c>
      <c r="C503" t="s">
        <v>20</v>
      </c>
      <c r="D503" t="s">
        <v>39</v>
      </c>
      <c r="E503" t="s">
        <v>128</v>
      </c>
      <c r="F503" t="s">
        <v>16</v>
      </c>
      <c r="G503" t="s">
        <v>68</v>
      </c>
      <c r="H503" t="s">
        <v>83</v>
      </c>
      <c r="I503">
        <v>6</v>
      </c>
      <c r="J503">
        <v>0.1</v>
      </c>
      <c r="K503">
        <v>65520.84</v>
      </c>
      <c r="L503">
        <v>11801.48</v>
      </c>
      <c r="M503">
        <v>2025</v>
      </c>
      <c r="N503" t="s">
        <v>624</v>
      </c>
      <c r="O503" t="s">
        <v>625</v>
      </c>
      <c r="P503">
        <v>0.18011795941566072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0892-0F89-4965-89EF-2FA154C10470}">
  <dimension ref="A1:P503"/>
  <sheetViews>
    <sheetView workbookViewId="0">
      <selection activeCell="A3" sqref="A3:P503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6.88671875" bestFit="1" customWidth="1"/>
    <col min="4" max="4" width="9" bestFit="1" customWidth="1"/>
    <col min="5" max="5" width="12" bestFit="1" customWidth="1"/>
    <col min="6" max="6" width="13.109375" bestFit="1" customWidth="1"/>
    <col min="7" max="7" width="14.6640625" bestFit="1" customWidth="1"/>
    <col min="8" max="8" width="17.21875" bestFit="1" customWidth="1"/>
    <col min="9" max="10" width="10.5546875" bestFit="1" customWidth="1"/>
    <col min="11" max="14" width="9" bestFit="1" customWidth="1"/>
    <col min="15" max="15" width="15.5546875" bestFit="1" customWidth="1"/>
    <col min="16" max="16" width="14.33203125" bestFit="1" customWidth="1"/>
  </cols>
  <sheetData>
    <row r="1" spans="1:16" x14ac:dyDescent="0.3">
      <c r="A1" s="13" t="s">
        <v>631</v>
      </c>
    </row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604</v>
      </c>
      <c r="N3" t="s">
        <v>605</v>
      </c>
      <c r="O3" t="s">
        <v>606</v>
      </c>
      <c r="P3" t="s">
        <v>607</v>
      </c>
    </row>
    <row r="4" spans="1:16" x14ac:dyDescent="0.3">
      <c r="A4" t="s">
        <v>12</v>
      </c>
      <c r="B4" s="12">
        <v>45658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>
        <v>6</v>
      </c>
      <c r="J4">
        <v>0</v>
      </c>
      <c r="K4">
        <v>14565.72</v>
      </c>
      <c r="L4">
        <v>2664.67</v>
      </c>
      <c r="M4">
        <v>2025</v>
      </c>
      <c r="N4" t="s">
        <v>613</v>
      </c>
      <c r="O4" t="s">
        <v>625</v>
      </c>
      <c r="P4">
        <v>0.18294117970138107</v>
      </c>
    </row>
    <row r="5" spans="1:16" x14ac:dyDescent="0.3">
      <c r="A5" t="s">
        <v>19</v>
      </c>
      <c r="B5" s="12">
        <v>45658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>
        <v>5</v>
      </c>
      <c r="J5">
        <v>0</v>
      </c>
      <c r="K5">
        <v>153118.95000000001</v>
      </c>
      <c r="L5">
        <v>29734.03</v>
      </c>
      <c r="M5">
        <v>2025</v>
      </c>
      <c r="N5" t="s">
        <v>613</v>
      </c>
      <c r="O5" t="s">
        <v>625</v>
      </c>
      <c r="P5">
        <v>0.19418909285885252</v>
      </c>
    </row>
    <row r="6" spans="1:16" x14ac:dyDescent="0.3">
      <c r="A6" t="s">
        <v>26</v>
      </c>
      <c r="B6" s="12">
        <v>45660</v>
      </c>
      <c r="C6" t="s">
        <v>27</v>
      </c>
      <c r="D6" t="s">
        <v>14</v>
      </c>
      <c r="E6" t="s">
        <v>15</v>
      </c>
      <c r="F6" t="s">
        <v>28</v>
      </c>
      <c r="G6" t="s">
        <v>29</v>
      </c>
      <c r="H6" t="s">
        <v>30</v>
      </c>
      <c r="I6">
        <v>4</v>
      </c>
      <c r="J6">
        <v>0.1</v>
      </c>
      <c r="K6">
        <v>14739.16</v>
      </c>
      <c r="L6">
        <v>2479.4299999999998</v>
      </c>
      <c r="M6">
        <v>2025</v>
      </c>
      <c r="N6" t="s">
        <v>613</v>
      </c>
      <c r="O6" t="s">
        <v>625</v>
      </c>
      <c r="P6">
        <v>0.16822057702067145</v>
      </c>
    </row>
    <row r="7" spans="1:16" x14ac:dyDescent="0.3">
      <c r="A7" t="s">
        <v>31</v>
      </c>
      <c r="B7" s="12">
        <v>45661</v>
      </c>
      <c r="C7" t="s">
        <v>32</v>
      </c>
      <c r="D7" t="s">
        <v>33</v>
      </c>
      <c r="E7" t="s">
        <v>34</v>
      </c>
      <c r="F7" t="s">
        <v>23</v>
      </c>
      <c r="G7" t="s">
        <v>35</v>
      </c>
      <c r="H7" t="s">
        <v>36</v>
      </c>
      <c r="I7">
        <v>2</v>
      </c>
      <c r="J7">
        <v>0.2</v>
      </c>
      <c r="K7">
        <v>87786.9</v>
      </c>
      <c r="L7">
        <v>5093.42</v>
      </c>
      <c r="M7">
        <v>2025</v>
      </c>
      <c r="N7" t="s">
        <v>613</v>
      </c>
      <c r="O7" t="s">
        <v>625</v>
      </c>
      <c r="P7">
        <v>5.8020274095565517E-2</v>
      </c>
    </row>
    <row r="8" spans="1:16" x14ac:dyDescent="0.3">
      <c r="A8" t="s">
        <v>37</v>
      </c>
      <c r="B8" s="12">
        <v>45661</v>
      </c>
      <c r="C8" t="s">
        <v>38</v>
      </c>
      <c r="D8" t="s">
        <v>39</v>
      </c>
      <c r="E8" t="s">
        <v>40</v>
      </c>
      <c r="F8" t="s">
        <v>16</v>
      </c>
      <c r="G8" t="s">
        <v>41</v>
      </c>
      <c r="H8" t="s">
        <v>42</v>
      </c>
      <c r="I8">
        <v>1</v>
      </c>
      <c r="J8">
        <v>0</v>
      </c>
      <c r="K8">
        <v>8985.34</v>
      </c>
      <c r="L8">
        <v>2072.17</v>
      </c>
      <c r="M8">
        <v>2025</v>
      </c>
      <c r="N8" t="s">
        <v>613</v>
      </c>
      <c r="O8" t="s">
        <v>625</v>
      </c>
      <c r="P8">
        <v>0.23061676018937513</v>
      </c>
    </row>
    <row r="9" spans="1:16" x14ac:dyDescent="0.3">
      <c r="A9" t="s">
        <v>43</v>
      </c>
      <c r="B9" s="12">
        <v>45662</v>
      </c>
      <c r="C9" t="s">
        <v>44</v>
      </c>
      <c r="D9" t="s">
        <v>33</v>
      </c>
      <c r="E9" t="s">
        <v>45</v>
      </c>
      <c r="F9" t="s">
        <v>23</v>
      </c>
      <c r="G9" t="s">
        <v>35</v>
      </c>
      <c r="H9" t="s">
        <v>36</v>
      </c>
      <c r="I9">
        <v>4</v>
      </c>
      <c r="J9">
        <v>0.2</v>
      </c>
      <c r="K9">
        <v>51151.64</v>
      </c>
      <c r="L9">
        <v>1319.61</v>
      </c>
      <c r="M9">
        <v>2025</v>
      </c>
      <c r="N9" t="s">
        <v>613</v>
      </c>
      <c r="O9" t="s">
        <v>625</v>
      </c>
      <c r="P9">
        <v>2.5797999829526481E-2</v>
      </c>
    </row>
    <row r="10" spans="1:16" x14ac:dyDescent="0.3">
      <c r="A10" t="s">
        <v>46</v>
      </c>
      <c r="B10" s="12">
        <v>45662</v>
      </c>
      <c r="C10" t="s">
        <v>44</v>
      </c>
      <c r="D10" t="s">
        <v>39</v>
      </c>
      <c r="E10" t="s">
        <v>47</v>
      </c>
      <c r="F10" t="s">
        <v>23</v>
      </c>
      <c r="G10" t="s">
        <v>48</v>
      </c>
      <c r="H10" t="s">
        <v>49</v>
      </c>
      <c r="I10">
        <v>4</v>
      </c>
      <c r="J10">
        <v>0</v>
      </c>
      <c r="K10">
        <v>48513.4</v>
      </c>
      <c r="L10">
        <v>11781.42</v>
      </c>
      <c r="M10">
        <v>2025</v>
      </c>
      <c r="N10" t="s">
        <v>613</v>
      </c>
      <c r="O10" t="s">
        <v>625</v>
      </c>
      <c r="P10">
        <v>0.24284877992472181</v>
      </c>
    </row>
    <row r="11" spans="1:16" x14ac:dyDescent="0.3">
      <c r="A11" t="s">
        <v>50</v>
      </c>
      <c r="B11" s="12">
        <v>45662</v>
      </c>
      <c r="C11" t="s">
        <v>51</v>
      </c>
      <c r="D11" t="s">
        <v>39</v>
      </c>
      <c r="E11" t="s">
        <v>52</v>
      </c>
      <c r="F11" t="s">
        <v>23</v>
      </c>
      <c r="G11" t="s">
        <v>35</v>
      </c>
      <c r="H11" t="s">
        <v>36</v>
      </c>
      <c r="I11">
        <v>3</v>
      </c>
      <c r="J11">
        <v>0.05</v>
      </c>
      <c r="K11">
        <v>96888.84</v>
      </c>
      <c r="L11">
        <v>17258.080000000002</v>
      </c>
      <c r="M11">
        <v>2025</v>
      </c>
      <c r="N11" t="s">
        <v>613</v>
      </c>
      <c r="O11" t="s">
        <v>625</v>
      </c>
      <c r="P11">
        <v>0.17812247519941413</v>
      </c>
    </row>
    <row r="12" spans="1:16" x14ac:dyDescent="0.3">
      <c r="A12" t="s">
        <v>53</v>
      </c>
      <c r="B12" s="12">
        <v>45663</v>
      </c>
      <c r="C12" t="s">
        <v>32</v>
      </c>
      <c r="D12" t="s">
        <v>14</v>
      </c>
      <c r="E12" t="s">
        <v>54</v>
      </c>
      <c r="F12" t="s">
        <v>23</v>
      </c>
      <c r="G12" t="s">
        <v>48</v>
      </c>
      <c r="H12" t="s">
        <v>49</v>
      </c>
      <c r="I12">
        <v>4</v>
      </c>
      <c r="J12">
        <v>0.2</v>
      </c>
      <c r="K12">
        <v>6241.88</v>
      </c>
      <c r="L12">
        <v>516.77</v>
      </c>
      <c r="M12">
        <v>2025</v>
      </c>
      <c r="N12" t="s">
        <v>613</v>
      </c>
      <c r="O12" t="s">
        <v>625</v>
      </c>
      <c r="P12">
        <v>8.2790761757675566E-2</v>
      </c>
    </row>
    <row r="13" spans="1:16" x14ac:dyDescent="0.3">
      <c r="A13" t="s">
        <v>55</v>
      </c>
      <c r="B13" s="12">
        <v>45663</v>
      </c>
      <c r="C13" t="s">
        <v>56</v>
      </c>
      <c r="D13" t="s">
        <v>21</v>
      </c>
      <c r="E13" t="s">
        <v>57</v>
      </c>
      <c r="F13" t="s">
        <v>23</v>
      </c>
      <c r="G13" t="s">
        <v>58</v>
      </c>
      <c r="H13" t="s">
        <v>59</v>
      </c>
      <c r="I13">
        <v>4</v>
      </c>
      <c r="J13">
        <v>0.15</v>
      </c>
      <c r="K13">
        <v>179862.36</v>
      </c>
      <c r="L13">
        <v>30742.15</v>
      </c>
      <c r="M13">
        <v>2025</v>
      </c>
      <c r="N13" t="s">
        <v>613</v>
      </c>
      <c r="O13" t="s">
        <v>625</v>
      </c>
      <c r="P13">
        <v>0.17092041936956684</v>
      </c>
    </row>
    <row r="14" spans="1:16" x14ac:dyDescent="0.3">
      <c r="A14" t="s">
        <v>60</v>
      </c>
      <c r="B14" s="12">
        <v>45663</v>
      </c>
      <c r="C14" t="s">
        <v>61</v>
      </c>
      <c r="D14" t="s">
        <v>14</v>
      </c>
      <c r="E14" t="s">
        <v>15</v>
      </c>
      <c r="F14" t="s">
        <v>16</v>
      </c>
      <c r="G14" t="s">
        <v>62</v>
      </c>
      <c r="H14" t="s">
        <v>63</v>
      </c>
      <c r="I14">
        <v>2</v>
      </c>
      <c r="J14">
        <v>0.05</v>
      </c>
      <c r="K14">
        <v>6738.58</v>
      </c>
      <c r="L14">
        <v>1010.09</v>
      </c>
      <c r="M14">
        <v>2025</v>
      </c>
      <c r="N14" t="s">
        <v>613</v>
      </c>
      <c r="O14" t="s">
        <v>625</v>
      </c>
      <c r="P14">
        <v>0.14989656574530541</v>
      </c>
    </row>
    <row r="15" spans="1:16" x14ac:dyDescent="0.3">
      <c r="A15" t="s">
        <v>64</v>
      </c>
      <c r="B15" s="12">
        <v>45664</v>
      </c>
      <c r="C15" t="s">
        <v>44</v>
      </c>
      <c r="D15" t="s">
        <v>14</v>
      </c>
      <c r="E15" t="s">
        <v>54</v>
      </c>
      <c r="F15" t="s">
        <v>16</v>
      </c>
      <c r="G15" t="s">
        <v>17</v>
      </c>
      <c r="H15" t="s">
        <v>18</v>
      </c>
      <c r="I15">
        <v>1</v>
      </c>
      <c r="J15">
        <v>0.1</v>
      </c>
      <c r="K15">
        <v>4775</v>
      </c>
      <c r="L15">
        <v>753.07</v>
      </c>
      <c r="M15">
        <v>2025</v>
      </c>
      <c r="N15" t="s">
        <v>613</v>
      </c>
      <c r="O15" t="s">
        <v>625</v>
      </c>
      <c r="P15">
        <v>0.15771099476439793</v>
      </c>
    </row>
    <row r="16" spans="1:16" x14ac:dyDescent="0.3">
      <c r="A16" t="s">
        <v>65</v>
      </c>
      <c r="B16" s="12">
        <v>45665</v>
      </c>
      <c r="C16" t="s">
        <v>66</v>
      </c>
      <c r="D16" t="s">
        <v>21</v>
      </c>
      <c r="E16" t="s">
        <v>67</v>
      </c>
      <c r="F16" t="s">
        <v>16</v>
      </c>
      <c r="G16" t="s">
        <v>68</v>
      </c>
      <c r="H16" t="s">
        <v>69</v>
      </c>
      <c r="I16">
        <v>2</v>
      </c>
      <c r="J16">
        <v>0.15</v>
      </c>
      <c r="K16">
        <v>9930.18</v>
      </c>
      <c r="L16">
        <v>1258.3699999999999</v>
      </c>
      <c r="M16">
        <v>2025</v>
      </c>
      <c r="N16" t="s">
        <v>613</v>
      </c>
      <c r="O16" t="s">
        <v>625</v>
      </c>
      <c r="P16">
        <v>0.12672177140797045</v>
      </c>
    </row>
    <row r="17" spans="1:16" x14ac:dyDescent="0.3">
      <c r="A17" t="s">
        <v>70</v>
      </c>
      <c r="B17" s="12">
        <v>45667</v>
      </c>
      <c r="C17" t="s">
        <v>32</v>
      </c>
      <c r="D17" t="s">
        <v>14</v>
      </c>
      <c r="E17" t="s">
        <v>54</v>
      </c>
      <c r="F17" t="s">
        <v>28</v>
      </c>
      <c r="G17" t="s">
        <v>71</v>
      </c>
      <c r="H17" t="s">
        <v>72</v>
      </c>
      <c r="I17">
        <v>6</v>
      </c>
      <c r="J17">
        <v>0.05</v>
      </c>
      <c r="K17">
        <v>5590.86</v>
      </c>
      <c r="L17">
        <v>775.97</v>
      </c>
      <c r="M17">
        <v>2025</v>
      </c>
      <c r="N17" t="s">
        <v>613</v>
      </c>
      <c r="O17" t="s">
        <v>625</v>
      </c>
      <c r="P17">
        <v>0.13879260078055972</v>
      </c>
    </row>
    <row r="18" spans="1:16" x14ac:dyDescent="0.3">
      <c r="A18" t="s">
        <v>73</v>
      </c>
      <c r="B18" s="12">
        <v>45668</v>
      </c>
      <c r="C18" t="s">
        <v>61</v>
      </c>
      <c r="D18" t="s">
        <v>33</v>
      </c>
      <c r="E18" t="s">
        <v>34</v>
      </c>
      <c r="F18" t="s">
        <v>28</v>
      </c>
      <c r="G18" t="s">
        <v>74</v>
      </c>
      <c r="H18" t="s">
        <v>75</v>
      </c>
      <c r="I18">
        <v>7</v>
      </c>
      <c r="J18">
        <v>0.05</v>
      </c>
      <c r="K18">
        <v>4500.72</v>
      </c>
      <c r="L18">
        <v>453.15</v>
      </c>
      <c r="M18">
        <v>2025</v>
      </c>
      <c r="N18" t="s">
        <v>613</v>
      </c>
      <c r="O18" t="s">
        <v>625</v>
      </c>
      <c r="P18">
        <v>0.10068389057750758</v>
      </c>
    </row>
    <row r="19" spans="1:16" x14ac:dyDescent="0.3">
      <c r="A19" t="s">
        <v>76</v>
      </c>
      <c r="B19" s="12">
        <v>45669</v>
      </c>
      <c r="C19" t="s">
        <v>77</v>
      </c>
      <c r="D19" t="s">
        <v>21</v>
      </c>
      <c r="E19" t="s">
        <v>22</v>
      </c>
      <c r="F19" t="s">
        <v>23</v>
      </c>
      <c r="G19" t="s">
        <v>58</v>
      </c>
      <c r="H19" t="s">
        <v>78</v>
      </c>
      <c r="I19">
        <v>4</v>
      </c>
      <c r="J19">
        <v>0.1</v>
      </c>
      <c r="K19">
        <v>196307.32</v>
      </c>
      <c r="L19">
        <v>39775.83</v>
      </c>
      <c r="M19">
        <v>2025</v>
      </c>
      <c r="N19" t="s">
        <v>613</v>
      </c>
      <c r="O19" t="s">
        <v>625</v>
      </c>
      <c r="P19">
        <v>0.20262020794741634</v>
      </c>
    </row>
    <row r="20" spans="1:16" x14ac:dyDescent="0.3">
      <c r="A20" t="s">
        <v>79</v>
      </c>
      <c r="B20" s="12">
        <v>45669</v>
      </c>
      <c r="C20" t="s">
        <v>38</v>
      </c>
      <c r="D20" t="s">
        <v>14</v>
      </c>
      <c r="E20" t="s">
        <v>15</v>
      </c>
      <c r="F20" t="s">
        <v>28</v>
      </c>
      <c r="G20" t="s">
        <v>74</v>
      </c>
      <c r="H20" t="s">
        <v>80</v>
      </c>
      <c r="I20">
        <v>1</v>
      </c>
      <c r="J20">
        <v>0</v>
      </c>
      <c r="K20">
        <v>2952.64</v>
      </c>
      <c r="L20">
        <v>265.27999999999997</v>
      </c>
      <c r="M20">
        <v>2025</v>
      </c>
      <c r="N20" t="s">
        <v>613</v>
      </c>
      <c r="O20" t="s">
        <v>625</v>
      </c>
      <c r="P20">
        <v>8.9845020049853688E-2</v>
      </c>
    </row>
    <row r="21" spans="1:16" x14ac:dyDescent="0.3">
      <c r="A21" t="s">
        <v>81</v>
      </c>
      <c r="B21" s="12">
        <v>45670</v>
      </c>
      <c r="C21" t="s">
        <v>82</v>
      </c>
      <c r="D21" t="s">
        <v>14</v>
      </c>
      <c r="E21" t="s">
        <v>15</v>
      </c>
      <c r="F21" t="s">
        <v>16</v>
      </c>
      <c r="G21" t="s">
        <v>68</v>
      </c>
      <c r="H21" t="s">
        <v>83</v>
      </c>
      <c r="I21">
        <v>7</v>
      </c>
      <c r="J21">
        <v>0.05</v>
      </c>
      <c r="K21">
        <v>20494.53</v>
      </c>
      <c r="L21">
        <v>2259.9499999999998</v>
      </c>
      <c r="M21">
        <v>2025</v>
      </c>
      <c r="N21" t="s">
        <v>613</v>
      </c>
      <c r="O21" t="s">
        <v>625</v>
      </c>
      <c r="P21">
        <v>0.11027088691470358</v>
      </c>
    </row>
    <row r="22" spans="1:16" x14ac:dyDescent="0.3">
      <c r="A22" t="s">
        <v>84</v>
      </c>
      <c r="B22" s="12">
        <v>45670</v>
      </c>
      <c r="C22" t="s">
        <v>85</v>
      </c>
      <c r="D22" t="s">
        <v>33</v>
      </c>
      <c r="E22" t="s">
        <v>86</v>
      </c>
      <c r="F22" t="s">
        <v>23</v>
      </c>
      <c r="G22" t="s">
        <v>58</v>
      </c>
      <c r="H22" t="s">
        <v>59</v>
      </c>
      <c r="I22">
        <v>7</v>
      </c>
      <c r="J22">
        <v>0</v>
      </c>
      <c r="K22">
        <v>212336.95</v>
      </c>
      <c r="L22">
        <v>39631.83</v>
      </c>
      <c r="M22">
        <v>2025</v>
      </c>
      <c r="N22" t="s">
        <v>613</v>
      </c>
      <c r="O22" t="s">
        <v>625</v>
      </c>
      <c r="P22">
        <v>0.18664594174494831</v>
      </c>
    </row>
    <row r="23" spans="1:16" x14ac:dyDescent="0.3">
      <c r="A23" t="s">
        <v>87</v>
      </c>
      <c r="B23" s="12">
        <v>45670</v>
      </c>
      <c r="C23" t="s">
        <v>66</v>
      </c>
      <c r="D23" t="s">
        <v>14</v>
      </c>
      <c r="E23" t="s">
        <v>15</v>
      </c>
      <c r="F23" t="s">
        <v>16</v>
      </c>
      <c r="G23" t="s">
        <v>17</v>
      </c>
      <c r="H23" t="s">
        <v>88</v>
      </c>
      <c r="I23">
        <v>5</v>
      </c>
      <c r="J23">
        <v>0.15</v>
      </c>
      <c r="K23">
        <v>12281.65</v>
      </c>
      <c r="L23">
        <v>644.5</v>
      </c>
      <c r="M23">
        <v>2025</v>
      </c>
      <c r="N23" t="s">
        <v>613</v>
      </c>
      <c r="O23" t="s">
        <v>625</v>
      </c>
      <c r="P23">
        <v>5.247666233771521E-2</v>
      </c>
    </row>
    <row r="24" spans="1:16" x14ac:dyDescent="0.3">
      <c r="A24" t="s">
        <v>89</v>
      </c>
      <c r="B24" s="12">
        <v>45671</v>
      </c>
      <c r="C24" t="s">
        <v>27</v>
      </c>
      <c r="D24" t="s">
        <v>14</v>
      </c>
      <c r="E24" t="s">
        <v>54</v>
      </c>
      <c r="F24" t="s">
        <v>23</v>
      </c>
      <c r="G24" t="s">
        <v>58</v>
      </c>
      <c r="H24" t="s">
        <v>90</v>
      </c>
      <c r="I24">
        <v>2</v>
      </c>
      <c r="J24">
        <v>0</v>
      </c>
      <c r="K24">
        <v>63934.26</v>
      </c>
      <c r="L24">
        <v>6629.38</v>
      </c>
      <c r="M24">
        <v>2025</v>
      </c>
      <c r="N24" t="s">
        <v>613</v>
      </c>
      <c r="O24" t="s">
        <v>625</v>
      </c>
      <c r="P24">
        <v>0.10369057215959018</v>
      </c>
    </row>
    <row r="25" spans="1:16" x14ac:dyDescent="0.3">
      <c r="A25" t="s">
        <v>91</v>
      </c>
      <c r="B25" s="12">
        <v>45674</v>
      </c>
      <c r="C25" t="s">
        <v>82</v>
      </c>
      <c r="D25" t="s">
        <v>33</v>
      </c>
      <c r="E25" t="s">
        <v>86</v>
      </c>
      <c r="F25" t="s">
        <v>28</v>
      </c>
      <c r="G25" t="s">
        <v>92</v>
      </c>
      <c r="H25" t="s">
        <v>93</v>
      </c>
      <c r="I25">
        <v>1</v>
      </c>
      <c r="J25">
        <v>0.05</v>
      </c>
      <c r="K25">
        <v>4719.87</v>
      </c>
      <c r="L25">
        <v>646.11</v>
      </c>
      <c r="M25">
        <v>2025</v>
      </c>
      <c r="N25" t="s">
        <v>613</v>
      </c>
      <c r="O25" t="s">
        <v>625</v>
      </c>
      <c r="P25">
        <v>0.13689148218065328</v>
      </c>
    </row>
    <row r="26" spans="1:16" x14ac:dyDescent="0.3">
      <c r="A26" t="s">
        <v>94</v>
      </c>
      <c r="B26" s="12">
        <v>45675</v>
      </c>
      <c r="C26" t="s">
        <v>95</v>
      </c>
      <c r="D26" t="s">
        <v>21</v>
      </c>
      <c r="E26" t="s">
        <v>67</v>
      </c>
      <c r="F26" t="s">
        <v>16</v>
      </c>
      <c r="G26" t="s">
        <v>41</v>
      </c>
      <c r="H26" t="s">
        <v>42</v>
      </c>
      <c r="I26">
        <v>7</v>
      </c>
      <c r="J26">
        <v>0.1</v>
      </c>
      <c r="K26">
        <v>27036.87</v>
      </c>
      <c r="L26">
        <v>3969.11</v>
      </c>
      <c r="M26">
        <v>2025</v>
      </c>
      <c r="N26" t="s">
        <v>613</v>
      </c>
      <c r="O26" t="s">
        <v>625</v>
      </c>
      <c r="P26">
        <v>0.1468036055948784</v>
      </c>
    </row>
    <row r="27" spans="1:16" x14ac:dyDescent="0.3">
      <c r="A27" t="s">
        <v>96</v>
      </c>
      <c r="B27" s="12">
        <v>45675</v>
      </c>
      <c r="C27" t="s">
        <v>38</v>
      </c>
      <c r="D27" t="s">
        <v>14</v>
      </c>
      <c r="E27" t="s">
        <v>97</v>
      </c>
      <c r="F27" t="s">
        <v>28</v>
      </c>
      <c r="G27" t="s">
        <v>29</v>
      </c>
      <c r="H27" t="s">
        <v>98</v>
      </c>
      <c r="I27">
        <v>6</v>
      </c>
      <c r="J27">
        <v>0</v>
      </c>
      <c r="K27">
        <v>3056.52</v>
      </c>
      <c r="L27">
        <v>459.74</v>
      </c>
      <c r="M27">
        <v>2025</v>
      </c>
      <c r="N27" t="s">
        <v>613</v>
      </c>
      <c r="O27" t="s">
        <v>625</v>
      </c>
      <c r="P27">
        <v>0.15041288785939566</v>
      </c>
    </row>
    <row r="28" spans="1:16" x14ac:dyDescent="0.3">
      <c r="A28" t="s">
        <v>99</v>
      </c>
      <c r="B28" s="12">
        <v>45676</v>
      </c>
      <c r="C28" t="s">
        <v>100</v>
      </c>
      <c r="D28" t="s">
        <v>33</v>
      </c>
      <c r="E28" t="s">
        <v>45</v>
      </c>
      <c r="F28" t="s">
        <v>23</v>
      </c>
      <c r="G28" t="s">
        <v>58</v>
      </c>
      <c r="H28" t="s">
        <v>101</v>
      </c>
      <c r="I28">
        <v>7</v>
      </c>
      <c r="J28">
        <v>0</v>
      </c>
      <c r="K28">
        <v>233516.22</v>
      </c>
      <c r="L28">
        <v>44414.81</v>
      </c>
      <c r="M28">
        <v>2025</v>
      </c>
      <c r="N28" t="s">
        <v>613</v>
      </c>
      <c r="O28" t="s">
        <v>625</v>
      </c>
      <c r="P28">
        <v>0.19020010687052058</v>
      </c>
    </row>
    <row r="29" spans="1:16" x14ac:dyDescent="0.3">
      <c r="A29" t="s">
        <v>102</v>
      </c>
      <c r="B29" s="12">
        <v>45677</v>
      </c>
      <c r="C29" t="s">
        <v>77</v>
      </c>
      <c r="D29" t="s">
        <v>21</v>
      </c>
      <c r="E29" t="s">
        <v>22</v>
      </c>
      <c r="F29" t="s">
        <v>28</v>
      </c>
      <c r="G29" t="s">
        <v>74</v>
      </c>
      <c r="H29" t="s">
        <v>80</v>
      </c>
      <c r="I29">
        <v>4</v>
      </c>
      <c r="J29">
        <v>0.05</v>
      </c>
      <c r="K29">
        <v>2650.8</v>
      </c>
      <c r="L29">
        <v>511.66</v>
      </c>
      <c r="M29">
        <v>2025</v>
      </c>
      <c r="N29" t="s">
        <v>613</v>
      </c>
      <c r="O29" t="s">
        <v>625</v>
      </c>
      <c r="P29">
        <v>0.19302097480006036</v>
      </c>
    </row>
    <row r="30" spans="1:16" x14ac:dyDescent="0.3">
      <c r="A30" t="s">
        <v>103</v>
      </c>
      <c r="B30" s="12">
        <v>45677</v>
      </c>
      <c r="C30" t="s">
        <v>104</v>
      </c>
      <c r="D30" t="s">
        <v>21</v>
      </c>
      <c r="E30" t="s">
        <v>105</v>
      </c>
      <c r="F30" t="s">
        <v>23</v>
      </c>
      <c r="G30" t="s">
        <v>58</v>
      </c>
      <c r="H30" t="s">
        <v>101</v>
      </c>
      <c r="I30">
        <v>5</v>
      </c>
      <c r="J30">
        <v>0</v>
      </c>
      <c r="K30">
        <v>104715.25</v>
      </c>
      <c r="L30">
        <v>16140.97</v>
      </c>
      <c r="M30">
        <v>2025</v>
      </c>
      <c r="N30" t="s">
        <v>613</v>
      </c>
      <c r="O30" t="s">
        <v>625</v>
      </c>
      <c r="P30">
        <v>0.15414154098853797</v>
      </c>
    </row>
    <row r="31" spans="1:16" x14ac:dyDescent="0.3">
      <c r="A31" t="s">
        <v>106</v>
      </c>
      <c r="B31" s="12">
        <v>45677</v>
      </c>
      <c r="C31" t="s">
        <v>77</v>
      </c>
      <c r="D31" t="s">
        <v>39</v>
      </c>
      <c r="E31" t="s">
        <v>47</v>
      </c>
      <c r="F31" t="s">
        <v>16</v>
      </c>
      <c r="G31" t="s">
        <v>68</v>
      </c>
      <c r="H31" t="s">
        <v>69</v>
      </c>
      <c r="I31">
        <v>7</v>
      </c>
      <c r="J31">
        <v>0.2</v>
      </c>
      <c r="K31">
        <v>73878.14</v>
      </c>
      <c r="L31">
        <v>8805.93</v>
      </c>
      <c r="M31">
        <v>2025</v>
      </c>
      <c r="N31" t="s">
        <v>613</v>
      </c>
      <c r="O31" t="s">
        <v>625</v>
      </c>
      <c r="P31">
        <v>0.11919533978521929</v>
      </c>
    </row>
    <row r="32" spans="1:16" x14ac:dyDescent="0.3">
      <c r="A32" t="s">
        <v>107</v>
      </c>
      <c r="B32" s="12">
        <v>45677</v>
      </c>
      <c r="C32" t="s">
        <v>100</v>
      </c>
      <c r="D32" t="s">
        <v>21</v>
      </c>
      <c r="E32" t="s">
        <v>67</v>
      </c>
      <c r="F32" t="s">
        <v>28</v>
      </c>
      <c r="G32" t="s">
        <v>29</v>
      </c>
      <c r="H32" t="s">
        <v>30</v>
      </c>
      <c r="I32">
        <v>3</v>
      </c>
      <c r="J32">
        <v>0.1</v>
      </c>
      <c r="K32">
        <v>12676.95</v>
      </c>
      <c r="L32">
        <v>2717.64</v>
      </c>
      <c r="M32">
        <v>2025</v>
      </c>
      <c r="N32" t="s">
        <v>613</v>
      </c>
      <c r="O32" t="s">
        <v>625</v>
      </c>
      <c r="P32">
        <v>0.21437648645770471</v>
      </c>
    </row>
    <row r="33" spans="1:16" x14ac:dyDescent="0.3">
      <c r="A33" t="s">
        <v>108</v>
      </c>
      <c r="B33" s="12">
        <v>45678</v>
      </c>
      <c r="C33" t="s">
        <v>109</v>
      </c>
      <c r="D33" t="s">
        <v>21</v>
      </c>
      <c r="E33" t="s">
        <v>22</v>
      </c>
      <c r="F33" t="s">
        <v>28</v>
      </c>
      <c r="G33" t="s">
        <v>71</v>
      </c>
      <c r="H33" t="s">
        <v>72</v>
      </c>
      <c r="I33">
        <v>3</v>
      </c>
      <c r="J33">
        <v>0.2</v>
      </c>
      <c r="K33">
        <v>411.18</v>
      </c>
      <c r="L33">
        <v>66.88</v>
      </c>
      <c r="M33">
        <v>2025</v>
      </c>
      <c r="N33" t="s">
        <v>613</v>
      </c>
      <c r="O33" t="s">
        <v>626</v>
      </c>
      <c r="P33">
        <v>0.16265382557517388</v>
      </c>
    </row>
    <row r="34" spans="1:16" x14ac:dyDescent="0.3">
      <c r="A34" t="s">
        <v>110</v>
      </c>
      <c r="B34" s="12">
        <v>45679</v>
      </c>
      <c r="C34" t="s">
        <v>111</v>
      </c>
      <c r="D34" t="s">
        <v>21</v>
      </c>
      <c r="E34" t="s">
        <v>22</v>
      </c>
      <c r="F34" t="s">
        <v>28</v>
      </c>
      <c r="G34" t="s">
        <v>71</v>
      </c>
      <c r="H34" t="s">
        <v>72</v>
      </c>
      <c r="I34">
        <v>3</v>
      </c>
      <c r="J34">
        <v>0</v>
      </c>
      <c r="K34">
        <v>5457.03</v>
      </c>
      <c r="L34">
        <v>741.01</v>
      </c>
      <c r="M34">
        <v>2025</v>
      </c>
      <c r="N34" t="s">
        <v>613</v>
      </c>
      <c r="O34" t="s">
        <v>625</v>
      </c>
      <c r="P34">
        <v>0.13578998099698922</v>
      </c>
    </row>
    <row r="35" spans="1:16" x14ac:dyDescent="0.3">
      <c r="A35" t="s">
        <v>112</v>
      </c>
      <c r="B35" s="12">
        <v>45679</v>
      </c>
      <c r="C35" t="s">
        <v>38</v>
      </c>
      <c r="D35" t="s">
        <v>33</v>
      </c>
      <c r="E35" t="s">
        <v>45</v>
      </c>
      <c r="F35" t="s">
        <v>28</v>
      </c>
      <c r="G35" t="s">
        <v>29</v>
      </c>
      <c r="H35" t="s">
        <v>98</v>
      </c>
      <c r="I35">
        <v>3</v>
      </c>
      <c r="J35">
        <v>0.05</v>
      </c>
      <c r="K35">
        <v>13119.12</v>
      </c>
      <c r="L35">
        <v>1119.77</v>
      </c>
      <c r="M35">
        <v>2025</v>
      </c>
      <c r="N35" t="s">
        <v>613</v>
      </c>
      <c r="O35" t="s">
        <v>625</v>
      </c>
      <c r="P35">
        <v>8.5354048137375058E-2</v>
      </c>
    </row>
    <row r="36" spans="1:16" x14ac:dyDescent="0.3">
      <c r="A36" t="s">
        <v>113</v>
      </c>
      <c r="B36" s="12">
        <v>45681</v>
      </c>
      <c r="C36" t="s">
        <v>38</v>
      </c>
      <c r="D36" t="s">
        <v>14</v>
      </c>
      <c r="E36" t="s">
        <v>114</v>
      </c>
      <c r="F36" t="s">
        <v>23</v>
      </c>
      <c r="G36" t="s">
        <v>35</v>
      </c>
      <c r="H36" t="s">
        <v>36</v>
      </c>
      <c r="I36">
        <v>3</v>
      </c>
      <c r="J36">
        <v>0.2</v>
      </c>
      <c r="K36">
        <v>22742.67</v>
      </c>
      <c r="L36">
        <v>234.69</v>
      </c>
      <c r="M36">
        <v>2025</v>
      </c>
      <c r="N36" t="s">
        <v>613</v>
      </c>
      <c r="O36" t="s">
        <v>625</v>
      </c>
      <c r="P36">
        <v>1.031936883400234E-2</v>
      </c>
    </row>
    <row r="37" spans="1:16" x14ac:dyDescent="0.3">
      <c r="A37" t="s">
        <v>115</v>
      </c>
      <c r="B37" s="12">
        <v>45682</v>
      </c>
      <c r="C37" t="s">
        <v>100</v>
      </c>
      <c r="D37" t="s">
        <v>33</v>
      </c>
      <c r="E37" t="s">
        <v>86</v>
      </c>
      <c r="F37" t="s">
        <v>23</v>
      </c>
      <c r="G37" t="s">
        <v>58</v>
      </c>
      <c r="H37" t="s">
        <v>78</v>
      </c>
      <c r="I37">
        <v>6</v>
      </c>
      <c r="J37">
        <v>0.05</v>
      </c>
      <c r="K37">
        <v>107041.32</v>
      </c>
      <c r="L37">
        <v>15439.88</v>
      </c>
      <c r="M37">
        <v>2025</v>
      </c>
      <c r="N37" t="s">
        <v>613</v>
      </c>
      <c r="O37" t="s">
        <v>625</v>
      </c>
      <c r="P37">
        <v>0.14424224215471182</v>
      </c>
    </row>
    <row r="38" spans="1:16" x14ac:dyDescent="0.3">
      <c r="A38" t="s">
        <v>116</v>
      </c>
      <c r="B38" s="12">
        <v>45682</v>
      </c>
      <c r="C38" t="s">
        <v>95</v>
      </c>
      <c r="D38" t="s">
        <v>21</v>
      </c>
      <c r="E38" t="s">
        <v>22</v>
      </c>
      <c r="F38" t="s">
        <v>28</v>
      </c>
      <c r="G38" t="s">
        <v>74</v>
      </c>
      <c r="H38" t="s">
        <v>75</v>
      </c>
      <c r="I38">
        <v>1</v>
      </c>
      <c r="J38">
        <v>0</v>
      </c>
      <c r="K38">
        <v>2448.84</v>
      </c>
      <c r="L38">
        <v>580.04999999999995</v>
      </c>
      <c r="M38">
        <v>2025</v>
      </c>
      <c r="N38" t="s">
        <v>613</v>
      </c>
      <c r="O38" t="s">
        <v>625</v>
      </c>
      <c r="P38">
        <v>0.23686725143333168</v>
      </c>
    </row>
    <row r="39" spans="1:16" x14ac:dyDescent="0.3">
      <c r="A39" t="s">
        <v>117</v>
      </c>
      <c r="B39" s="12">
        <v>45682</v>
      </c>
      <c r="C39" t="s">
        <v>85</v>
      </c>
      <c r="D39" t="s">
        <v>21</v>
      </c>
      <c r="E39" t="s">
        <v>57</v>
      </c>
      <c r="F39" t="s">
        <v>23</v>
      </c>
      <c r="G39" t="s">
        <v>48</v>
      </c>
      <c r="H39" t="s">
        <v>118</v>
      </c>
      <c r="I39">
        <v>5</v>
      </c>
      <c r="J39">
        <v>0.2</v>
      </c>
      <c r="K39">
        <v>33953.449999999997</v>
      </c>
      <c r="L39">
        <v>488.52</v>
      </c>
      <c r="M39">
        <v>2025</v>
      </c>
      <c r="N39" t="s">
        <v>613</v>
      </c>
      <c r="O39" t="s">
        <v>625</v>
      </c>
      <c r="P39">
        <v>1.4387934068555626E-2</v>
      </c>
    </row>
    <row r="40" spans="1:16" x14ac:dyDescent="0.3">
      <c r="A40" t="s">
        <v>119</v>
      </c>
      <c r="B40" s="12">
        <v>45682</v>
      </c>
      <c r="C40" t="s">
        <v>85</v>
      </c>
      <c r="D40" t="s">
        <v>39</v>
      </c>
      <c r="E40" t="s">
        <v>52</v>
      </c>
      <c r="F40" t="s">
        <v>23</v>
      </c>
      <c r="G40" t="s">
        <v>48</v>
      </c>
      <c r="H40" t="s">
        <v>118</v>
      </c>
      <c r="I40">
        <v>4</v>
      </c>
      <c r="J40">
        <v>0.2</v>
      </c>
      <c r="K40">
        <v>126689.36</v>
      </c>
      <c r="L40">
        <v>13821.48</v>
      </c>
      <c r="M40">
        <v>2025</v>
      </c>
      <c r="N40" t="s">
        <v>613</v>
      </c>
      <c r="O40" t="s">
        <v>625</v>
      </c>
      <c r="P40">
        <v>0.10909740170760986</v>
      </c>
    </row>
    <row r="41" spans="1:16" x14ac:dyDescent="0.3">
      <c r="A41" t="s">
        <v>120</v>
      </c>
      <c r="B41" s="12">
        <v>45683</v>
      </c>
      <c r="C41" t="s">
        <v>13</v>
      </c>
      <c r="D41" t="s">
        <v>33</v>
      </c>
      <c r="E41" t="s">
        <v>45</v>
      </c>
      <c r="F41" t="s">
        <v>28</v>
      </c>
      <c r="G41" t="s">
        <v>71</v>
      </c>
      <c r="H41" t="s">
        <v>121</v>
      </c>
      <c r="I41">
        <v>2</v>
      </c>
      <c r="J41">
        <v>0.1</v>
      </c>
      <c r="K41">
        <v>3288.44</v>
      </c>
      <c r="L41">
        <v>230.14</v>
      </c>
      <c r="M41">
        <v>2025</v>
      </c>
      <c r="N41" t="s">
        <v>613</v>
      </c>
      <c r="O41" t="s">
        <v>625</v>
      </c>
      <c r="P41">
        <v>6.9984551945603379E-2</v>
      </c>
    </row>
    <row r="42" spans="1:16" x14ac:dyDescent="0.3">
      <c r="A42" t="s">
        <v>122</v>
      </c>
      <c r="B42" s="12">
        <v>45684</v>
      </c>
      <c r="C42" t="s">
        <v>38</v>
      </c>
      <c r="D42" t="s">
        <v>14</v>
      </c>
      <c r="E42" t="s">
        <v>114</v>
      </c>
      <c r="F42" t="s">
        <v>28</v>
      </c>
      <c r="G42" t="s">
        <v>29</v>
      </c>
      <c r="H42" t="s">
        <v>30</v>
      </c>
      <c r="I42">
        <v>5</v>
      </c>
      <c r="J42">
        <v>0</v>
      </c>
      <c r="K42">
        <v>14789.8</v>
      </c>
      <c r="L42">
        <v>2563.4699999999998</v>
      </c>
      <c r="M42">
        <v>2025</v>
      </c>
      <c r="N42" t="s">
        <v>613</v>
      </c>
      <c r="O42" t="s">
        <v>625</v>
      </c>
      <c r="P42">
        <v>0.1733268874494584</v>
      </c>
    </row>
    <row r="43" spans="1:16" x14ac:dyDescent="0.3">
      <c r="A43" t="s">
        <v>123</v>
      </c>
      <c r="B43" s="12">
        <v>45684</v>
      </c>
      <c r="C43" t="s">
        <v>32</v>
      </c>
      <c r="D43" t="s">
        <v>21</v>
      </c>
      <c r="E43" t="s">
        <v>105</v>
      </c>
      <c r="F43" t="s">
        <v>23</v>
      </c>
      <c r="G43" t="s">
        <v>48</v>
      </c>
      <c r="H43" t="s">
        <v>124</v>
      </c>
      <c r="I43">
        <v>1</v>
      </c>
      <c r="J43">
        <v>0.15</v>
      </c>
      <c r="K43">
        <v>48191.24</v>
      </c>
      <c r="L43">
        <v>7316.2</v>
      </c>
      <c r="M43">
        <v>2025</v>
      </c>
      <c r="N43" t="s">
        <v>613</v>
      </c>
      <c r="O43" t="s">
        <v>625</v>
      </c>
      <c r="P43">
        <v>0.15181597319346835</v>
      </c>
    </row>
    <row r="44" spans="1:16" x14ac:dyDescent="0.3">
      <c r="A44" t="s">
        <v>125</v>
      </c>
      <c r="B44" s="12">
        <v>45685</v>
      </c>
      <c r="C44" t="s">
        <v>109</v>
      </c>
      <c r="D44" t="s">
        <v>39</v>
      </c>
      <c r="E44" t="s">
        <v>40</v>
      </c>
      <c r="F44" t="s">
        <v>23</v>
      </c>
      <c r="G44" t="s">
        <v>48</v>
      </c>
      <c r="H44" t="s">
        <v>118</v>
      </c>
      <c r="I44">
        <v>6</v>
      </c>
      <c r="J44">
        <v>0.2</v>
      </c>
      <c r="K44">
        <v>141340.26</v>
      </c>
      <c r="L44">
        <v>2911.33</v>
      </c>
      <c r="M44">
        <v>2025</v>
      </c>
      <c r="N44" t="s">
        <v>613</v>
      </c>
      <c r="O44" t="s">
        <v>625</v>
      </c>
      <c r="P44">
        <v>2.0598023521394396E-2</v>
      </c>
    </row>
    <row r="45" spans="1:16" x14ac:dyDescent="0.3">
      <c r="A45" t="s">
        <v>126</v>
      </c>
      <c r="B45" s="12">
        <v>45685</v>
      </c>
      <c r="C45" t="s">
        <v>61</v>
      </c>
      <c r="D45" t="s">
        <v>39</v>
      </c>
      <c r="E45" t="s">
        <v>40</v>
      </c>
      <c r="F45" t="s">
        <v>16</v>
      </c>
      <c r="G45" t="s">
        <v>17</v>
      </c>
      <c r="H45" t="s">
        <v>18</v>
      </c>
      <c r="I45">
        <v>7</v>
      </c>
      <c r="J45">
        <v>0.05</v>
      </c>
      <c r="K45">
        <v>29427.37</v>
      </c>
      <c r="L45">
        <v>4517.3100000000004</v>
      </c>
      <c r="M45">
        <v>2025</v>
      </c>
      <c r="N45" t="s">
        <v>613</v>
      </c>
      <c r="O45" t="s">
        <v>625</v>
      </c>
      <c r="P45">
        <v>0.15350709220701683</v>
      </c>
    </row>
    <row r="46" spans="1:16" x14ac:dyDescent="0.3">
      <c r="A46" t="s">
        <v>127</v>
      </c>
      <c r="B46" s="12">
        <v>45685</v>
      </c>
      <c r="C46" t="s">
        <v>95</v>
      </c>
      <c r="D46" t="s">
        <v>39</v>
      </c>
      <c r="E46" t="s">
        <v>128</v>
      </c>
      <c r="F46" t="s">
        <v>23</v>
      </c>
      <c r="G46" t="s">
        <v>24</v>
      </c>
      <c r="H46" t="s">
        <v>129</v>
      </c>
      <c r="I46">
        <v>3</v>
      </c>
      <c r="J46">
        <v>0</v>
      </c>
      <c r="K46">
        <v>99334.32</v>
      </c>
      <c r="L46">
        <v>21008.26</v>
      </c>
      <c r="M46">
        <v>2025</v>
      </c>
      <c r="N46" t="s">
        <v>613</v>
      </c>
      <c r="O46" t="s">
        <v>625</v>
      </c>
      <c r="P46">
        <v>0.21149044962506411</v>
      </c>
    </row>
    <row r="47" spans="1:16" x14ac:dyDescent="0.3">
      <c r="A47" t="s">
        <v>130</v>
      </c>
      <c r="B47" s="12">
        <v>45686</v>
      </c>
      <c r="C47" t="s">
        <v>77</v>
      </c>
      <c r="D47" t="s">
        <v>14</v>
      </c>
      <c r="E47" t="s">
        <v>54</v>
      </c>
      <c r="F47" t="s">
        <v>28</v>
      </c>
      <c r="G47" t="s">
        <v>71</v>
      </c>
      <c r="H47" t="s">
        <v>121</v>
      </c>
      <c r="I47">
        <v>5</v>
      </c>
      <c r="J47">
        <v>0.15</v>
      </c>
      <c r="K47">
        <v>1421.1</v>
      </c>
      <c r="L47">
        <v>190.68</v>
      </c>
      <c r="M47">
        <v>2025</v>
      </c>
      <c r="N47" t="s">
        <v>613</v>
      </c>
      <c r="O47" t="s">
        <v>625</v>
      </c>
      <c r="P47">
        <v>0.13417774963056789</v>
      </c>
    </row>
    <row r="48" spans="1:16" x14ac:dyDescent="0.3">
      <c r="A48" t="s">
        <v>131</v>
      </c>
      <c r="B48" s="12">
        <v>45687</v>
      </c>
      <c r="C48" t="s">
        <v>109</v>
      </c>
      <c r="D48" t="s">
        <v>21</v>
      </c>
      <c r="E48" t="s">
        <v>67</v>
      </c>
      <c r="F48" t="s">
        <v>23</v>
      </c>
      <c r="G48" t="s">
        <v>24</v>
      </c>
      <c r="H48" t="s">
        <v>132</v>
      </c>
      <c r="I48">
        <v>2</v>
      </c>
      <c r="J48">
        <v>0.2</v>
      </c>
      <c r="K48">
        <v>86456.58</v>
      </c>
      <c r="L48">
        <v>12570.8</v>
      </c>
      <c r="M48">
        <v>2025</v>
      </c>
      <c r="N48" t="s">
        <v>613</v>
      </c>
      <c r="O48" t="s">
        <v>625</v>
      </c>
      <c r="P48">
        <v>0.14540015346431698</v>
      </c>
    </row>
    <row r="49" spans="1:16" x14ac:dyDescent="0.3">
      <c r="A49" t="s">
        <v>133</v>
      </c>
      <c r="B49" s="12">
        <v>45688</v>
      </c>
      <c r="C49" t="s">
        <v>109</v>
      </c>
      <c r="D49" t="s">
        <v>39</v>
      </c>
      <c r="E49" t="s">
        <v>47</v>
      </c>
      <c r="F49" t="s">
        <v>28</v>
      </c>
      <c r="G49" t="s">
        <v>29</v>
      </c>
      <c r="H49" t="s">
        <v>30</v>
      </c>
      <c r="I49">
        <v>2</v>
      </c>
      <c r="J49">
        <v>0.1</v>
      </c>
      <c r="K49">
        <v>1462.92</v>
      </c>
      <c r="L49">
        <v>122.69</v>
      </c>
      <c r="M49">
        <v>2025</v>
      </c>
      <c r="N49" t="s">
        <v>613</v>
      </c>
      <c r="O49" t="s">
        <v>625</v>
      </c>
      <c r="P49">
        <v>8.3866513548245966E-2</v>
      </c>
    </row>
    <row r="50" spans="1:16" x14ac:dyDescent="0.3">
      <c r="A50" t="s">
        <v>134</v>
      </c>
      <c r="B50" s="12">
        <v>45688</v>
      </c>
      <c r="C50" t="s">
        <v>135</v>
      </c>
      <c r="D50" t="s">
        <v>33</v>
      </c>
      <c r="E50" t="s">
        <v>45</v>
      </c>
      <c r="F50" t="s">
        <v>28</v>
      </c>
      <c r="G50" t="s">
        <v>74</v>
      </c>
      <c r="H50" t="s">
        <v>80</v>
      </c>
      <c r="I50">
        <v>4</v>
      </c>
      <c r="J50">
        <v>0.15</v>
      </c>
      <c r="K50">
        <v>9014.44</v>
      </c>
      <c r="L50">
        <v>1552.7</v>
      </c>
      <c r="M50">
        <v>2025</v>
      </c>
      <c r="N50" t="s">
        <v>613</v>
      </c>
      <c r="O50" t="s">
        <v>625</v>
      </c>
      <c r="P50">
        <v>0.17224586330376596</v>
      </c>
    </row>
    <row r="51" spans="1:16" x14ac:dyDescent="0.3">
      <c r="A51" t="s">
        <v>136</v>
      </c>
      <c r="B51" s="12">
        <v>45688</v>
      </c>
      <c r="C51" t="s">
        <v>44</v>
      </c>
      <c r="D51" t="s">
        <v>33</v>
      </c>
      <c r="E51" t="s">
        <v>86</v>
      </c>
      <c r="F51" t="s">
        <v>16</v>
      </c>
      <c r="G51" t="s">
        <v>62</v>
      </c>
      <c r="H51" t="s">
        <v>63</v>
      </c>
      <c r="I51">
        <v>1</v>
      </c>
      <c r="J51">
        <v>0.15</v>
      </c>
      <c r="K51">
        <v>11501.07</v>
      </c>
      <c r="L51">
        <v>403.47</v>
      </c>
      <c r="M51">
        <v>2025</v>
      </c>
      <c r="N51" t="s">
        <v>613</v>
      </c>
      <c r="O51" t="s">
        <v>625</v>
      </c>
      <c r="P51">
        <v>3.5081083760032765E-2</v>
      </c>
    </row>
    <row r="52" spans="1:16" x14ac:dyDescent="0.3">
      <c r="A52" t="s">
        <v>137</v>
      </c>
      <c r="B52" s="12">
        <v>45689</v>
      </c>
      <c r="C52" t="s">
        <v>138</v>
      </c>
      <c r="D52" t="s">
        <v>39</v>
      </c>
      <c r="E52" t="s">
        <v>52</v>
      </c>
      <c r="F52" t="s">
        <v>28</v>
      </c>
      <c r="G52" t="s">
        <v>92</v>
      </c>
      <c r="H52" t="s">
        <v>93</v>
      </c>
      <c r="I52">
        <v>5</v>
      </c>
      <c r="J52">
        <v>0.15</v>
      </c>
      <c r="K52">
        <v>4535.3</v>
      </c>
      <c r="L52">
        <v>708.18</v>
      </c>
      <c r="M52">
        <v>2025</v>
      </c>
      <c r="N52" t="s">
        <v>614</v>
      </c>
      <c r="O52" t="s">
        <v>625</v>
      </c>
      <c r="P52">
        <v>0.15614843560514188</v>
      </c>
    </row>
    <row r="53" spans="1:16" x14ac:dyDescent="0.3">
      <c r="A53" t="s">
        <v>139</v>
      </c>
      <c r="B53" s="12">
        <v>45689</v>
      </c>
      <c r="C53" t="s">
        <v>66</v>
      </c>
      <c r="D53" t="s">
        <v>33</v>
      </c>
      <c r="E53" t="s">
        <v>140</v>
      </c>
      <c r="F53" t="s">
        <v>23</v>
      </c>
      <c r="G53" t="s">
        <v>58</v>
      </c>
      <c r="H53" t="s">
        <v>78</v>
      </c>
      <c r="I53">
        <v>2</v>
      </c>
      <c r="J53">
        <v>0.1</v>
      </c>
      <c r="K53">
        <v>3180.48</v>
      </c>
      <c r="L53">
        <v>596.75</v>
      </c>
      <c r="M53">
        <v>2025</v>
      </c>
      <c r="N53" t="s">
        <v>614</v>
      </c>
      <c r="O53" t="s">
        <v>625</v>
      </c>
      <c r="P53">
        <v>0.18762891135929169</v>
      </c>
    </row>
    <row r="54" spans="1:16" x14ac:dyDescent="0.3">
      <c r="A54" t="s">
        <v>141</v>
      </c>
      <c r="B54" s="12">
        <v>45692</v>
      </c>
      <c r="C54" t="s">
        <v>38</v>
      </c>
      <c r="D54" t="s">
        <v>33</v>
      </c>
      <c r="E54" t="s">
        <v>45</v>
      </c>
      <c r="F54" t="s">
        <v>23</v>
      </c>
      <c r="G54" t="s">
        <v>48</v>
      </c>
      <c r="H54" t="s">
        <v>124</v>
      </c>
      <c r="I54">
        <v>7</v>
      </c>
      <c r="J54">
        <v>0.15</v>
      </c>
      <c r="K54">
        <v>75712.350000000006</v>
      </c>
      <c r="L54">
        <v>4324.1499999999996</v>
      </c>
      <c r="M54">
        <v>2025</v>
      </c>
      <c r="N54" t="s">
        <v>614</v>
      </c>
      <c r="O54" t="s">
        <v>625</v>
      </c>
      <c r="P54">
        <v>5.7112875244263311E-2</v>
      </c>
    </row>
    <row r="55" spans="1:16" x14ac:dyDescent="0.3">
      <c r="A55" t="s">
        <v>142</v>
      </c>
      <c r="B55" s="12">
        <v>45692</v>
      </c>
      <c r="C55" t="s">
        <v>143</v>
      </c>
      <c r="D55" t="s">
        <v>33</v>
      </c>
      <c r="E55" t="s">
        <v>34</v>
      </c>
      <c r="F55" t="s">
        <v>28</v>
      </c>
      <c r="G55" t="s">
        <v>29</v>
      </c>
      <c r="H55" t="s">
        <v>98</v>
      </c>
      <c r="I55">
        <v>6</v>
      </c>
      <c r="J55">
        <v>0.2</v>
      </c>
      <c r="K55">
        <v>2013.96</v>
      </c>
      <c r="L55">
        <v>67.989999999999995</v>
      </c>
      <c r="M55">
        <v>2025</v>
      </c>
      <c r="N55" t="s">
        <v>614</v>
      </c>
      <c r="O55" t="s">
        <v>625</v>
      </c>
      <c r="P55">
        <v>3.3759359669506842E-2</v>
      </c>
    </row>
    <row r="56" spans="1:16" x14ac:dyDescent="0.3">
      <c r="A56" t="s">
        <v>144</v>
      </c>
      <c r="B56" s="12">
        <v>45693</v>
      </c>
      <c r="C56" t="s">
        <v>104</v>
      </c>
      <c r="D56" t="s">
        <v>39</v>
      </c>
      <c r="E56" t="s">
        <v>128</v>
      </c>
      <c r="F56" t="s">
        <v>23</v>
      </c>
      <c r="G56" t="s">
        <v>48</v>
      </c>
      <c r="H56" t="s">
        <v>118</v>
      </c>
      <c r="I56">
        <v>5</v>
      </c>
      <c r="J56">
        <v>0</v>
      </c>
      <c r="K56">
        <v>160200.15</v>
      </c>
      <c r="L56">
        <v>17458.810000000001</v>
      </c>
      <c r="M56">
        <v>2025</v>
      </c>
      <c r="N56" t="s">
        <v>614</v>
      </c>
      <c r="O56" t="s">
        <v>625</v>
      </c>
      <c r="P56">
        <v>0.10898123378785851</v>
      </c>
    </row>
    <row r="57" spans="1:16" x14ac:dyDescent="0.3">
      <c r="A57" t="s">
        <v>145</v>
      </c>
      <c r="B57" s="12">
        <v>45694</v>
      </c>
      <c r="C57" t="s">
        <v>109</v>
      </c>
      <c r="D57" t="s">
        <v>21</v>
      </c>
      <c r="E57" t="s">
        <v>57</v>
      </c>
      <c r="F57" t="s">
        <v>16</v>
      </c>
      <c r="G57" t="s">
        <v>62</v>
      </c>
      <c r="H57" t="s">
        <v>63</v>
      </c>
      <c r="I57">
        <v>1</v>
      </c>
      <c r="J57">
        <v>0.1</v>
      </c>
      <c r="K57">
        <v>3707.02</v>
      </c>
      <c r="L57">
        <v>624.30999999999995</v>
      </c>
      <c r="M57">
        <v>2025</v>
      </c>
      <c r="N57" t="s">
        <v>614</v>
      </c>
      <c r="O57" t="s">
        <v>625</v>
      </c>
      <c r="P57">
        <v>0.16841290308657628</v>
      </c>
    </row>
    <row r="58" spans="1:16" x14ac:dyDescent="0.3">
      <c r="A58" t="s">
        <v>146</v>
      </c>
      <c r="B58" s="12">
        <v>45695</v>
      </c>
      <c r="C58" t="s">
        <v>147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>
        <v>5</v>
      </c>
      <c r="J58">
        <v>0.05</v>
      </c>
      <c r="K58">
        <v>21341</v>
      </c>
      <c r="L58">
        <v>4753.29</v>
      </c>
      <c r="M58">
        <v>2025</v>
      </c>
      <c r="N58" t="s">
        <v>614</v>
      </c>
      <c r="O58" t="s">
        <v>625</v>
      </c>
      <c r="P58">
        <v>0.22273042500351437</v>
      </c>
    </row>
    <row r="59" spans="1:16" x14ac:dyDescent="0.3">
      <c r="A59" t="s">
        <v>148</v>
      </c>
      <c r="B59" s="12">
        <v>45696</v>
      </c>
      <c r="C59" t="s">
        <v>32</v>
      </c>
      <c r="D59" t="s">
        <v>21</v>
      </c>
      <c r="E59" t="s">
        <v>22</v>
      </c>
      <c r="F59" t="s">
        <v>16</v>
      </c>
      <c r="G59" t="s">
        <v>17</v>
      </c>
      <c r="H59" t="s">
        <v>88</v>
      </c>
      <c r="I59">
        <v>4</v>
      </c>
      <c r="J59">
        <v>0.2</v>
      </c>
      <c r="K59">
        <v>31342.36</v>
      </c>
      <c r="L59">
        <v>5121.88</v>
      </c>
      <c r="M59">
        <v>2025</v>
      </c>
      <c r="N59" t="s">
        <v>614</v>
      </c>
      <c r="O59" t="s">
        <v>625</v>
      </c>
      <c r="P59">
        <v>0.16341717726425195</v>
      </c>
    </row>
    <row r="60" spans="1:16" x14ac:dyDescent="0.3">
      <c r="A60" t="s">
        <v>149</v>
      </c>
      <c r="B60" s="12">
        <v>45696</v>
      </c>
      <c r="C60" t="s">
        <v>150</v>
      </c>
      <c r="D60" t="s">
        <v>21</v>
      </c>
      <c r="E60" t="s">
        <v>57</v>
      </c>
      <c r="F60" t="s">
        <v>28</v>
      </c>
      <c r="G60" t="s">
        <v>71</v>
      </c>
      <c r="H60" t="s">
        <v>72</v>
      </c>
      <c r="I60">
        <v>7</v>
      </c>
      <c r="J60">
        <v>0.1</v>
      </c>
      <c r="K60">
        <v>29029.07</v>
      </c>
      <c r="L60">
        <v>2395.79</v>
      </c>
      <c r="M60">
        <v>2025</v>
      </c>
      <c r="N60" t="s">
        <v>614</v>
      </c>
      <c r="O60" t="s">
        <v>625</v>
      </c>
      <c r="P60">
        <v>8.2530718345437862E-2</v>
      </c>
    </row>
    <row r="61" spans="1:16" x14ac:dyDescent="0.3">
      <c r="A61" t="s">
        <v>151</v>
      </c>
      <c r="B61" s="12">
        <v>45696</v>
      </c>
      <c r="C61" t="s">
        <v>27</v>
      </c>
      <c r="D61" t="s">
        <v>33</v>
      </c>
      <c r="E61" t="s">
        <v>140</v>
      </c>
      <c r="F61" t="s">
        <v>23</v>
      </c>
      <c r="G61" t="s">
        <v>48</v>
      </c>
      <c r="H61" t="s">
        <v>49</v>
      </c>
      <c r="I61">
        <v>3</v>
      </c>
      <c r="J61">
        <v>0.05</v>
      </c>
      <c r="K61">
        <v>11122.26</v>
      </c>
      <c r="L61">
        <v>1925.6</v>
      </c>
      <c r="M61">
        <v>2025</v>
      </c>
      <c r="N61" t="s">
        <v>614</v>
      </c>
      <c r="O61" t="s">
        <v>625</v>
      </c>
      <c r="P61">
        <v>0.17313028107596837</v>
      </c>
    </row>
    <row r="62" spans="1:16" x14ac:dyDescent="0.3">
      <c r="A62" t="s">
        <v>152</v>
      </c>
      <c r="B62" s="12">
        <v>45697</v>
      </c>
      <c r="C62" t="s">
        <v>85</v>
      </c>
      <c r="D62" t="s">
        <v>33</v>
      </c>
      <c r="E62" t="s">
        <v>34</v>
      </c>
      <c r="F62" t="s">
        <v>16</v>
      </c>
      <c r="G62" t="s">
        <v>17</v>
      </c>
      <c r="H62" t="s">
        <v>153</v>
      </c>
      <c r="I62">
        <v>6</v>
      </c>
      <c r="J62">
        <v>0.05</v>
      </c>
      <c r="K62">
        <v>43876.14</v>
      </c>
      <c r="L62">
        <v>7003.69</v>
      </c>
      <c r="M62">
        <v>2025</v>
      </c>
      <c r="N62" t="s">
        <v>614</v>
      </c>
      <c r="O62" t="s">
        <v>625</v>
      </c>
      <c r="P62">
        <v>0.15962411460989959</v>
      </c>
    </row>
    <row r="63" spans="1:16" x14ac:dyDescent="0.3">
      <c r="A63" t="s">
        <v>154</v>
      </c>
      <c r="B63" s="12">
        <v>45698</v>
      </c>
      <c r="C63" t="s">
        <v>109</v>
      </c>
      <c r="D63" t="s">
        <v>14</v>
      </c>
      <c r="E63" t="s">
        <v>114</v>
      </c>
      <c r="F63" t="s">
        <v>23</v>
      </c>
      <c r="G63" t="s">
        <v>35</v>
      </c>
      <c r="H63" t="s">
        <v>155</v>
      </c>
      <c r="I63">
        <v>3</v>
      </c>
      <c r="J63">
        <v>0.05</v>
      </c>
      <c r="K63">
        <v>88332.54</v>
      </c>
      <c r="L63">
        <v>11077.69</v>
      </c>
      <c r="M63">
        <v>2025</v>
      </c>
      <c r="N63" t="s">
        <v>614</v>
      </c>
      <c r="O63" t="s">
        <v>625</v>
      </c>
      <c r="P63">
        <v>0.12540893763498709</v>
      </c>
    </row>
    <row r="64" spans="1:16" x14ac:dyDescent="0.3">
      <c r="A64" t="s">
        <v>156</v>
      </c>
      <c r="B64" s="12">
        <v>45698</v>
      </c>
      <c r="C64" t="s">
        <v>77</v>
      </c>
      <c r="D64" t="s">
        <v>21</v>
      </c>
      <c r="E64" t="s">
        <v>57</v>
      </c>
      <c r="F64" t="s">
        <v>23</v>
      </c>
      <c r="G64" t="s">
        <v>24</v>
      </c>
      <c r="H64" t="s">
        <v>129</v>
      </c>
      <c r="I64">
        <v>5</v>
      </c>
      <c r="J64">
        <v>0</v>
      </c>
      <c r="K64">
        <v>88924.9</v>
      </c>
      <c r="L64">
        <v>7562.49</v>
      </c>
      <c r="M64">
        <v>2025</v>
      </c>
      <c r="N64" t="s">
        <v>614</v>
      </c>
      <c r="O64" t="s">
        <v>625</v>
      </c>
      <c r="P64">
        <v>8.5043559228067736E-2</v>
      </c>
    </row>
    <row r="65" spans="1:16" x14ac:dyDescent="0.3">
      <c r="A65" t="s">
        <v>157</v>
      </c>
      <c r="B65" s="12">
        <v>45699</v>
      </c>
      <c r="C65" t="s">
        <v>20</v>
      </c>
      <c r="D65" t="s">
        <v>39</v>
      </c>
      <c r="E65" t="s">
        <v>128</v>
      </c>
      <c r="F65" t="s">
        <v>23</v>
      </c>
      <c r="G65" t="s">
        <v>58</v>
      </c>
      <c r="H65" t="s">
        <v>78</v>
      </c>
      <c r="I65">
        <v>3</v>
      </c>
      <c r="J65">
        <v>0</v>
      </c>
      <c r="K65">
        <v>86305.41</v>
      </c>
      <c r="L65">
        <v>9997</v>
      </c>
      <c r="M65">
        <v>2025</v>
      </c>
      <c r="N65" t="s">
        <v>614</v>
      </c>
      <c r="O65" t="s">
        <v>625</v>
      </c>
      <c r="P65">
        <v>0.11583283133699265</v>
      </c>
    </row>
    <row r="66" spans="1:16" x14ac:dyDescent="0.3">
      <c r="A66" t="s">
        <v>158</v>
      </c>
      <c r="B66" s="12">
        <v>45700</v>
      </c>
      <c r="C66" t="s">
        <v>61</v>
      </c>
      <c r="D66" t="s">
        <v>21</v>
      </c>
      <c r="E66" t="s">
        <v>105</v>
      </c>
      <c r="F66" t="s">
        <v>28</v>
      </c>
      <c r="G66" t="s">
        <v>74</v>
      </c>
      <c r="H66" t="s">
        <v>159</v>
      </c>
      <c r="I66">
        <v>1</v>
      </c>
      <c r="J66">
        <v>0.15</v>
      </c>
      <c r="K66">
        <v>870.64</v>
      </c>
      <c r="L66">
        <v>116.45</v>
      </c>
      <c r="M66">
        <v>2025</v>
      </c>
      <c r="N66" t="s">
        <v>614</v>
      </c>
      <c r="O66" t="s">
        <v>627</v>
      </c>
      <c r="P66">
        <v>0.13375218230267391</v>
      </c>
    </row>
    <row r="67" spans="1:16" x14ac:dyDescent="0.3">
      <c r="A67" t="s">
        <v>160</v>
      </c>
      <c r="B67" s="12">
        <v>45700</v>
      </c>
      <c r="C67" t="s">
        <v>13</v>
      </c>
      <c r="D67" t="s">
        <v>33</v>
      </c>
      <c r="E67" t="s">
        <v>45</v>
      </c>
      <c r="F67" t="s">
        <v>16</v>
      </c>
      <c r="G67" t="s">
        <v>62</v>
      </c>
      <c r="H67" t="s">
        <v>63</v>
      </c>
      <c r="I67">
        <v>1</v>
      </c>
      <c r="J67">
        <v>0.15</v>
      </c>
      <c r="K67">
        <v>3283.25</v>
      </c>
      <c r="L67">
        <v>204.17</v>
      </c>
      <c r="M67">
        <v>2025</v>
      </c>
      <c r="N67" t="s">
        <v>614</v>
      </c>
      <c r="O67" t="s">
        <v>625</v>
      </c>
      <c r="P67">
        <v>6.2185334653163782E-2</v>
      </c>
    </row>
    <row r="68" spans="1:16" x14ac:dyDescent="0.3">
      <c r="A68" t="s">
        <v>161</v>
      </c>
      <c r="B68" s="12">
        <v>45700</v>
      </c>
      <c r="C68" t="s">
        <v>143</v>
      </c>
      <c r="D68" t="s">
        <v>33</v>
      </c>
      <c r="E68" t="s">
        <v>34</v>
      </c>
      <c r="F68" t="s">
        <v>16</v>
      </c>
      <c r="G68" t="s">
        <v>17</v>
      </c>
      <c r="H68" t="s">
        <v>18</v>
      </c>
      <c r="I68">
        <v>5</v>
      </c>
      <c r="J68">
        <v>0.1</v>
      </c>
      <c r="K68">
        <v>48622.5</v>
      </c>
      <c r="L68">
        <v>2288.1</v>
      </c>
      <c r="M68">
        <v>2025</v>
      </c>
      <c r="N68" t="s">
        <v>614</v>
      </c>
      <c r="O68" t="s">
        <v>625</v>
      </c>
      <c r="P68">
        <v>4.7058460589233381E-2</v>
      </c>
    </row>
    <row r="69" spans="1:16" x14ac:dyDescent="0.3">
      <c r="A69" t="s">
        <v>162</v>
      </c>
      <c r="B69" s="12">
        <v>45703</v>
      </c>
      <c r="C69" t="s">
        <v>150</v>
      </c>
      <c r="D69" t="s">
        <v>39</v>
      </c>
      <c r="E69" t="s">
        <v>47</v>
      </c>
      <c r="F69" t="s">
        <v>16</v>
      </c>
      <c r="G69" t="s">
        <v>17</v>
      </c>
      <c r="H69" t="s">
        <v>153</v>
      </c>
      <c r="I69">
        <v>1</v>
      </c>
      <c r="J69">
        <v>0</v>
      </c>
      <c r="K69">
        <v>514.16999999999996</v>
      </c>
      <c r="L69">
        <v>94.22</v>
      </c>
      <c r="M69">
        <v>2025</v>
      </c>
      <c r="N69" t="s">
        <v>614</v>
      </c>
      <c r="O69" t="s">
        <v>627</v>
      </c>
      <c r="P69">
        <v>0.18324678608242412</v>
      </c>
    </row>
    <row r="70" spans="1:16" x14ac:dyDescent="0.3">
      <c r="A70" t="s">
        <v>163</v>
      </c>
      <c r="B70" s="12">
        <v>45703</v>
      </c>
      <c r="C70" t="s">
        <v>85</v>
      </c>
      <c r="D70" t="s">
        <v>21</v>
      </c>
      <c r="E70" t="s">
        <v>57</v>
      </c>
      <c r="F70" t="s">
        <v>16</v>
      </c>
      <c r="G70" t="s">
        <v>17</v>
      </c>
      <c r="H70" t="s">
        <v>153</v>
      </c>
      <c r="I70">
        <v>5</v>
      </c>
      <c r="J70">
        <v>0.05</v>
      </c>
      <c r="K70">
        <v>54886.45</v>
      </c>
      <c r="L70">
        <v>3610.74</v>
      </c>
      <c r="M70">
        <v>2025</v>
      </c>
      <c r="N70" t="s">
        <v>614</v>
      </c>
      <c r="O70" t="s">
        <v>625</v>
      </c>
      <c r="P70">
        <v>6.5785635616805241E-2</v>
      </c>
    </row>
    <row r="71" spans="1:16" x14ac:dyDescent="0.3">
      <c r="A71" t="s">
        <v>164</v>
      </c>
      <c r="B71" s="12">
        <v>45704</v>
      </c>
      <c r="C71" t="s">
        <v>138</v>
      </c>
      <c r="D71" t="s">
        <v>21</v>
      </c>
      <c r="E71" t="s">
        <v>67</v>
      </c>
      <c r="F71" t="s">
        <v>23</v>
      </c>
      <c r="G71" t="s">
        <v>48</v>
      </c>
      <c r="H71" t="s">
        <v>49</v>
      </c>
      <c r="I71">
        <v>4</v>
      </c>
      <c r="J71">
        <v>0.15</v>
      </c>
      <c r="K71">
        <v>196467.36</v>
      </c>
      <c r="L71">
        <v>27829.89</v>
      </c>
      <c r="M71">
        <v>2025</v>
      </c>
      <c r="N71" t="s">
        <v>614</v>
      </c>
      <c r="O71" t="s">
        <v>625</v>
      </c>
      <c r="P71">
        <v>0.14165146821334598</v>
      </c>
    </row>
    <row r="72" spans="1:16" x14ac:dyDescent="0.3">
      <c r="A72" t="s">
        <v>165</v>
      </c>
      <c r="B72" s="12">
        <v>45704</v>
      </c>
      <c r="C72" t="s">
        <v>150</v>
      </c>
      <c r="D72" t="s">
        <v>39</v>
      </c>
      <c r="E72" t="s">
        <v>40</v>
      </c>
      <c r="F72" t="s">
        <v>16</v>
      </c>
      <c r="G72" t="s">
        <v>68</v>
      </c>
      <c r="H72" t="s">
        <v>83</v>
      </c>
      <c r="I72">
        <v>1</v>
      </c>
      <c r="J72">
        <v>0.15</v>
      </c>
      <c r="K72">
        <v>4419.38</v>
      </c>
      <c r="L72">
        <v>454.64</v>
      </c>
      <c r="M72">
        <v>2025</v>
      </c>
      <c r="N72" t="s">
        <v>614</v>
      </c>
      <c r="O72" t="s">
        <v>625</v>
      </c>
      <c r="P72">
        <v>0.10287415881865782</v>
      </c>
    </row>
    <row r="73" spans="1:16" x14ac:dyDescent="0.3">
      <c r="A73" t="s">
        <v>166</v>
      </c>
      <c r="B73" s="12">
        <v>45704</v>
      </c>
      <c r="C73" t="s">
        <v>38</v>
      </c>
      <c r="D73" t="s">
        <v>39</v>
      </c>
      <c r="E73" t="s">
        <v>128</v>
      </c>
      <c r="F73" t="s">
        <v>16</v>
      </c>
      <c r="G73" t="s">
        <v>62</v>
      </c>
      <c r="H73" t="s">
        <v>167</v>
      </c>
      <c r="I73">
        <v>4</v>
      </c>
      <c r="J73">
        <v>0.2</v>
      </c>
      <c r="K73">
        <v>47303.48</v>
      </c>
      <c r="L73">
        <v>4835.37</v>
      </c>
      <c r="M73">
        <v>2025</v>
      </c>
      <c r="N73" t="s">
        <v>614</v>
      </c>
      <c r="O73" t="s">
        <v>625</v>
      </c>
      <c r="P73">
        <v>0.10222017492159138</v>
      </c>
    </row>
    <row r="74" spans="1:16" x14ac:dyDescent="0.3">
      <c r="A74" t="s">
        <v>168</v>
      </c>
      <c r="B74" s="12">
        <v>45704</v>
      </c>
      <c r="C74" t="s">
        <v>143</v>
      </c>
      <c r="D74" t="s">
        <v>39</v>
      </c>
      <c r="E74" t="s">
        <v>47</v>
      </c>
      <c r="F74" t="s">
        <v>28</v>
      </c>
      <c r="G74" t="s">
        <v>71</v>
      </c>
      <c r="H74" t="s">
        <v>121</v>
      </c>
      <c r="I74">
        <v>1</v>
      </c>
      <c r="J74">
        <v>0.1</v>
      </c>
      <c r="K74">
        <v>177.48</v>
      </c>
      <c r="L74">
        <v>15.46</v>
      </c>
      <c r="M74">
        <v>2025</v>
      </c>
      <c r="N74" t="s">
        <v>614</v>
      </c>
      <c r="O74" t="s">
        <v>626</v>
      </c>
      <c r="P74">
        <v>8.7108406581023229E-2</v>
      </c>
    </row>
    <row r="75" spans="1:16" x14ac:dyDescent="0.3">
      <c r="A75" t="s">
        <v>169</v>
      </c>
      <c r="B75" s="12">
        <v>45705</v>
      </c>
      <c r="C75" t="s">
        <v>95</v>
      </c>
      <c r="D75" t="s">
        <v>21</v>
      </c>
      <c r="E75" t="s">
        <v>22</v>
      </c>
      <c r="F75" t="s">
        <v>23</v>
      </c>
      <c r="G75" t="s">
        <v>48</v>
      </c>
      <c r="H75" t="s">
        <v>124</v>
      </c>
      <c r="I75">
        <v>6</v>
      </c>
      <c r="J75">
        <v>0</v>
      </c>
      <c r="K75">
        <v>146277.6</v>
      </c>
      <c r="L75">
        <v>30180.560000000001</v>
      </c>
      <c r="M75">
        <v>2025</v>
      </c>
      <c r="N75" t="s">
        <v>614</v>
      </c>
      <c r="O75" t="s">
        <v>625</v>
      </c>
      <c r="P75">
        <v>0.20632386640196448</v>
      </c>
    </row>
    <row r="76" spans="1:16" x14ac:dyDescent="0.3">
      <c r="A76" t="s">
        <v>170</v>
      </c>
      <c r="B76" s="12">
        <v>45705</v>
      </c>
      <c r="C76" t="s">
        <v>13</v>
      </c>
      <c r="D76" t="s">
        <v>39</v>
      </c>
      <c r="E76" t="s">
        <v>52</v>
      </c>
      <c r="F76" t="s">
        <v>16</v>
      </c>
      <c r="G76" t="s">
        <v>62</v>
      </c>
      <c r="H76" t="s">
        <v>167</v>
      </c>
      <c r="I76">
        <v>4</v>
      </c>
      <c r="J76">
        <v>0.05</v>
      </c>
      <c r="K76">
        <v>37259.68</v>
      </c>
      <c r="L76">
        <v>5800.05</v>
      </c>
      <c r="M76">
        <v>2025</v>
      </c>
      <c r="N76" t="s">
        <v>614</v>
      </c>
      <c r="O76" t="s">
        <v>625</v>
      </c>
      <c r="P76">
        <v>0.15566558811025752</v>
      </c>
    </row>
    <row r="77" spans="1:16" x14ac:dyDescent="0.3">
      <c r="A77" t="s">
        <v>171</v>
      </c>
      <c r="B77" s="12">
        <v>45706</v>
      </c>
      <c r="C77" t="s">
        <v>13</v>
      </c>
      <c r="D77" t="s">
        <v>33</v>
      </c>
      <c r="E77" t="s">
        <v>45</v>
      </c>
      <c r="F77" t="s">
        <v>16</v>
      </c>
      <c r="G77" t="s">
        <v>17</v>
      </c>
      <c r="H77" t="s">
        <v>153</v>
      </c>
      <c r="I77">
        <v>7</v>
      </c>
      <c r="J77">
        <v>0.15</v>
      </c>
      <c r="K77">
        <v>69246.240000000005</v>
      </c>
      <c r="L77">
        <v>6464.6</v>
      </c>
      <c r="M77">
        <v>2025</v>
      </c>
      <c r="N77" t="s">
        <v>614</v>
      </c>
      <c r="O77" t="s">
        <v>625</v>
      </c>
      <c r="P77">
        <v>9.3356693446460054E-2</v>
      </c>
    </row>
    <row r="78" spans="1:16" x14ac:dyDescent="0.3">
      <c r="A78" t="s">
        <v>172</v>
      </c>
      <c r="B78" s="12">
        <v>45706</v>
      </c>
      <c r="C78" t="s">
        <v>66</v>
      </c>
      <c r="D78" t="s">
        <v>14</v>
      </c>
      <c r="E78" t="s">
        <v>54</v>
      </c>
      <c r="F78" t="s">
        <v>16</v>
      </c>
      <c r="G78" t="s">
        <v>17</v>
      </c>
      <c r="H78" t="s">
        <v>153</v>
      </c>
      <c r="I78">
        <v>6</v>
      </c>
      <c r="J78">
        <v>0</v>
      </c>
      <c r="K78">
        <v>20989.200000000001</v>
      </c>
      <c r="L78">
        <v>3976.69</v>
      </c>
      <c r="M78">
        <v>2025</v>
      </c>
      <c r="N78" t="s">
        <v>614</v>
      </c>
      <c r="O78" t="s">
        <v>625</v>
      </c>
      <c r="P78">
        <v>0.18946362891391763</v>
      </c>
    </row>
    <row r="79" spans="1:16" x14ac:dyDescent="0.3">
      <c r="A79" t="s">
        <v>173</v>
      </c>
      <c r="B79" s="12">
        <v>45707</v>
      </c>
      <c r="C79" t="s">
        <v>147</v>
      </c>
      <c r="D79" t="s">
        <v>14</v>
      </c>
      <c r="E79" t="s">
        <v>15</v>
      </c>
      <c r="F79" t="s">
        <v>23</v>
      </c>
      <c r="G79" t="s">
        <v>58</v>
      </c>
      <c r="H79" t="s">
        <v>78</v>
      </c>
      <c r="I79">
        <v>7</v>
      </c>
      <c r="J79">
        <v>0.15</v>
      </c>
      <c r="K79">
        <v>232499.33</v>
      </c>
      <c r="L79">
        <v>15098.11</v>
      </c>
      <c r="M79">
        <v>2025</v>
      </c>
      <c r="N79" t="s">
        <v>614</v>
      </c>
      <c r="O79" t="s">
        <v>625</v>
      </c>
      <c r="P79">
        <v>6.4938294660892154E-2</v>
      </c>
    </row>
    <row r="80" spans="1:16" x14ac:dyDescent="0.3">
      <c r="A80" t="s">
        <v>174</v>
      </c>
      <c r="B80" s="12">
        <v>45708</v>
      </c>
      <c r="C80" t="s">
        <v>51</v>
      </c>
      <c r="D80" t="s">
        <v>14</v>
      </c>
      <c r="E80" t="s">
        <v>54</v>
      </c>
      <c r="F80" t="s">
        <v>16</v>
      </c>
      <c r="G80" t="s">
        <v>68</v>
      </c>
      <c r="H80" t="s">
        <v>175</v>
      </c>
      <c r="I80">
        <v>7</v>
      </c>
      <c r="J80">
        <v>0</v>
      </c>
      <c r="K80">
        <v>82650.12</v>
      </c>
      <c r="L80">
        <v>7264.66</v>
      </c>
      <c r="M80">
        <v>2025</v>
      </c>
      <c r="N80" t="s">
        <v>614</v>
      </c>
      <c r="O80" t="s">
        <v>625</v>
      </c>
      <c r="P80">
        <v>8.7896545098785098E-2</v>
      </c>
    </row>
    <row r="81" spans="1:16" x14ac:dyDescent="0.3">
      <c r="A81" t="s">
        <v>176</v>
      </c>
      <c r="B81" s="12">
        <v>45709</v>
      </c>
      <c r="C81" t="s">
        <v>66</v>
      </c>
      <c r="D81" t="s">
        <v>33</v>
      </c>
      <c r="E81" t="s">
        <v>45</v>
      </c>
      <c r="F81" t="s">
        <v>16</v>
      </c>
      <c r="G81" t="s">
        <v>41</v>
      </c>
      <c r="H81" t="s">
        <v>177</v>
      </c>
      <c r="I81">
        <v>6</v>
      </c>
      <c r="J81">
        <v>0.2</v>
      </c>
      <c r="K81">
        <v>12613.86</v>
      </c>
      <c r="L81">
        <v>1283.75</v>
      </c>
      <c r="M81">
        <v>2025</v>
      </c>
      <c r="N81" t="s">
        <v>614</v>
      </c>
      <c r="O81" t="s">
        <v>625</v>
      </c>
      <c r="P81">
        <v>0.10177297036751637</v>
      </c>
    </row>
    <row r="82" spans="1:16" x14ac:dyDescent="0.3">
      <c r="A82" t="s">
        <v>178</v>
      </c>
      <c r="B82" s="12">
        <v>45710</v>
      </c>
      <c r="C82" t="s">
        <v>179</v>
      </c>
      <c r="D82" t="s">
        <v>33</v>
      </c>
      <c r="E82" t="s">
        <v>140</v>
      </c>
      <c r="F82" t="s">
        <v>16</v>
      </c>
      <c r="G82" t="s">
        <v>62</v>
      </c>
      <c r="H82" t="s">
        <v>180</v>
      </c>
      <c r="I82">
        <v>5</v>
      </c>
      <c r="J82">
        <v>0.15</v>
      </c>
      <c r="K82">
        <v>35688.15</v>
      </c>
      <c r="L82">
        <v>1947.82</v>
      </c>
      <c r="M82">
        <v>2025</v>
      </c>
      <c r="N82" t="s">
        <v>614</v>
      </c>
      <c r="O82" t="s">
        <v>625</v>
      </c>
      <c r="P82">
        <v>5.4578900839634438E-2</v>
      </c>
    </row>
    <row r="83" spans="1:16" x14ac:dyDescent="0.3">
      <c r="A83" t="s">
        <v>181</v>
      </c>
      <c r="B83" s="12">
        <v>45711</v>
      </c>
      <c r="C83" t="s">
        <v>38</v>
      </c>
      <c r="D83" t="s">
        <v>33</v>
      </c>
      <c r="E83" t="s">
        <v>140</v>
      </c>
      <c r="F83" t="s">
        <v>23</v>
      </c>
      <c r="G83" t="s">
        <v>58</v>
      </c>
      <c r="H83" t="s">
        <v>90</v>
      </c>
      <c r="I83">
        <v>3</v>
      </c>
      <c r="J83">
        <v>0</v>
      </c>
      <c r="K83">
        <v>135410.91</v>
      </c>
      <c r="L83">
        <v>31901.89</v>
      </c>
      <c r="M83">
        <v>2025</v>
      </c>
      <c r="N83" t="s">
        <v>614</v>
      </c>
      <c r="O83" t="s">
        <v>625</v>
      </c>
      <c r="P83">
        <v>0.23559320294059022</v>
      </c>
    </row>
    <row r="84" spans="1:16" x14ac:dyDescent="0.3">
      <c r="A84" t="s">
        <v>182</v>
      </c>
      <c r="B84" s="12">
        <v>45711</v>
      </c>
      <c r="C84" t="s">
        <v>44</v>
      </c>
      <c r="D84" t="s">
        <v>14</v>
      </c>
      <c r="E84" t="s">
        <v>15</v>
      </c>
      <c r="F84" t="s">
        <v>23</v>
      </c>
      <c r="G84" t="s">
        <v>35</v>
      </c>
      <c r="H84" t="s">
        <v>36</v>
      </c>
      <c r="I84">
        <v>4</v>
      </c>
      <c r="J84">
        <v>0.05</v>
      </c>
      <c r="K84">
        <v>137539.07999999999</v>
      </c>
      <c r="L84">
        <v>25289.58</v>
      </c>
      <c r="M84">
        <v>2025</v>
      </c>
      <c r="N84" t="s">
        <v>614</v>
      </c>
      <c r="O84" t="s">
        <v>625</v>
      </c>
      <c r="P84">
        <v>0.18387195842810641</v>
      </c>
    </row>
    <row r="85" spans="1:16" x14ac:dyDescent="0.3">
      <c r="A85" t="s">
        <v>183</v>
      </c>
      <c r="B85" s="12">
        <v>45713</v>
      </c>
      <c r="C85" t="s">
        <v>111</v>
      </c>
      <c r="D85" t="s">
        <v>21</v>
      </c>
      <c r="E85" t="s">
        <v>57</v>
      </c>
      <c r="F85" t="s">
        <v>28</v>
      </c>
      <c r="G85" t="s">
        <v>74</v>
      </c>
      <c r="H85" t="s">
        <v>159</v>
      </c>
      <c r="I85">
        <v>6</v>
      </c>
      <c r="J85">
        <v>0.2</v>
      </c>
      <c r="K85">
        <v>2545.2600000000002</v>
      </c>
      <c r="L85">
        <v>349.72</v>
      </c>
      <c r="M85">
        <v>2025</v>
      </c>
      <c r="N85" t="s">
        <v>614</v>
      </c>
      <c r="O85" t="s">
        <v>625</v>
      </c>
      <c r="P85">
        <v>0.13740050132402976</v>
      </c>
    </row>
    <row r="86" spans="1:16" x14ac:dyDescent="0.3">
      <c r="A86" t="s">
        <v>184</v>
      </c>
      <c r="B86" s="12">
        <v>45714</v>
      </c>
      <c r="C86" t="s">
        <v>135</v>
      </c>
      <c r="D86" t="s">
        <v>39</v>
      </c>
      <c r="E86" t="s">
        <v>52</v>
      </c>
      <c r="F86" t="s">
        <v>23</v>
      </c>
      <c r="G86" t="s">
        <v>24</v>
      </c>
      <c r="H86" t="s">
        <v>129</v>
      </c>
      <c r="I86">
        <v>5</v>
      </c>
      <c r="J86">
        <v>0.1</v>
      </c>
      <c r="K86">
        <v>20814.900000000001</v>
      </c>
      <c r="L86">
        <v>2195.87</v>
      </c>
      <c r="M86">
        <v>2025</v>
      </c>
      <c r="N86" t="s">
        <v>614</v>
      </c>
      <c r="O86" t="s">
        <v>625</v>
      </c>
      <c r="P86">
        <v>0.10549510206630826</v>
      </c>
    </row>
    <row r="87" spans="1:16" x14ac:dyDescent="0.3">
      <c r="A87" t="s">
        <v>185</v>
      </c>
      <c r="B87" s="12">
        <v>45715</v>
      </c>
      <c r="C87" t="s">
        <v>85</v>
      </c>
      <c r="D87" t="s">
        <v>14</v>
      </c>
      <c r="E87" t="s">
        <v>15</v>
      </c>
      <c r="F87" t="s">
        <v>16</v>
      </c>
      <c r="G87" t="s">
        <v>41</v>
      </c>
      <c r="H87" t="s">
        <v>42</v>
      </c>
      <c r="I87">
        <v>4</v>
      </c>
      <c r="J87">
        <v>0</v>
      </c>
      <c r="K87">
        <v>33193.24</v>
      </c>
      <c r="L87">
        <v>6640.7</v>
      </c>
      <c r="M87">
        <v>2025</v>
      </c>
      <c r="N87" t="s">
        <v>614</v>
      </c>
      <c r="O87" t="s">
        <v>625</v>
      </c>
      <c r="P87">
        <v>0.20006181981632407</v>
      </c>
    </row>
    <row r="88" spans="1:16" x14ac:dyDescent="0.3">
      <c r="A88" t="s">
        <v>186</v>
      </c>
      <c r="B88" s="12">
        <v>45716</v>
      </c>
      <c r="C88" t="s">
        <v>13</v>
      </c>
      <c r="D88" t="s">
        <v>39</v>
      </c>
      <c r="E88" t="s">
        <v>47</v>
      </c>
      <c r="F88" t="s">
        <v>23</v>
      </c>
      <c r="G88" t="s">
        <v>58</v>
      </c>
      <c r="H88" t="s">
        <v>90</v>
      </c>
      <c r="I88">
        <v>1</v>
      </c>
      <c r="J88">
        <v>0.1</v>
      </c>
      <c r="K88">
        <v>4234.1899999999996</v>
      </c>
      <c r="L88">
        <v>728.81</v>
      </c>
      <c r="M88">
        <v>2025</v>
      </c>
      <c r="N88" t="s">
        <v>614</v>
      </c>
      <c r="O88" t="s">
        <v>625</v>
      </c>
      <c r="P88">
        <v>0.17212501092298646</v>
      </c>
    </row>
    <row r="89" spans="1:16" x14ac:dyDescent="0.3">
      <c r="A89" t="s">
        <v>187</v>
      </c>
      <c r="B89" s="12">
        <v>45717</v>
      </c>
      <c r="C89" t="s">
        <v>95</v>
      </c>
      <c r="D89" t="s">
        <v>21</v>
      </c>
      <c r="E89" t="s">
        <v>22</v>
      </c>
      <c r="F89" t="s">
        <v>16</v>
      </c>
      <c r="G89" t="s">
        <v>17</v>
      </c>
      <c r="H89" t="s">
        <v>88</v>
      </c>
      <c r="I89">
        <v>3</v>
      </c>
      <c r="J89">
        <v>0.2</v>
      </c>
      <c r="K89">
        <v>32329.02</v>
      </c>
      <c r="L89">
        <v>367.58</v>
      </c>
      <c r="M89">
        <v>2025</v>
      </c>
      <c r="N89" t="s">
        <v>615</v>
      </c>
      <c r="O89" t="s">
        <v>625</v>
      </c>
      <c r="P89">
        <v>1.1369970385740117E-2</v>
      </c>
    </row>
    <row r="90" spans="1:16" x14ac:dyDescent="0.3">
      <c r="A90" t="s">
        <v>188</v>
      </c>
      <c r="B90" s="12">
        <v>45717</v>
      </c>
      <c r="C90" t="s">
        <v>150</v>
      </c>
      <c r="D90" t="s">
        <v>21</v>
      </c>
      <c r="E90" t="s">
        <v>57</v>
      </c>
      <c r="F90" t="s">
        <v>28</v>
      </c>
      <c r="G90" t="s">
        <v>71</v>
      </c>
      <c r="H90" t="s">
        <v>121</v>
      </c>
      <c r="I90">
        <v>6</v>
      </c>
      <c r="J90">
        <v>0.15</v>
      </c>
      <c r="K90">
        <v>22758.720000000001</v>
      </c>
      <c r="L90">
        <v>1298.1099999999999</v>
      </c>
      <c r="M90">
        <v>2025</v>
      </c>
      <c r="N90" t="s">
        <v>615</v>
      </c>
      <c r="O90" t="s">
        <v>625</v>
      </c>
      <c r="P90">
        <v>5.7037917773934556E-2</v>
      </c>
    </row>
    <row r="91" spans="1:16" x14ac:dyDescent="0.3">
      <c r="A91" t="s">
        <v>189</v>
      </c>
      <c r="B91" s="12">
        <v>45718</v>
      </c>
      <c r="C91" t="s">
        <v>100</v>
      </c>
      <c r="D91" t="s">
        <v>33</v>
      </c>
      <c r="E91" t="s">
        <v>140</v>
      </c>
      <c r="F91" t="s">
        <v>23</v>
      </c>
      <c r="G91" t="s">
        <v>24</v>
      </c>
      <c r="H91" t="s">
        <v>129</v>
      </c>
      <c r="I91">
        <v>2</v>
      </c>
      <c r="J91">
        <v>0.1</v>
      </c>
      <c r="K91">
        <v>46832.66</v>
      </c>
      <c r="L91">
        <v>8628.7999999999993</v>
      </c>
      <c r="M91">
        <v>2025</v>
      </c>
      <c r="N91" t="s">
        <v>615</v>
      </c>
      <c r="O91" t="s">
        <v>625</v>
      </c>
      <c r="P91">
        <v>0.18424748882510622</v>
      </c>
    </row>
    <row r="92" spans="1:16" x14ac:dyDescent="0.3">
      <c r="A92" t="s">
        <v>190</v>
      </c>
      <c r="B92" s="12">
        <v>45718</v>
      </c>
      <c r="C92" t="s">
        <v>95</v>
      </c>
      <c r="D92" t="s">
        <v>21</v>
      </c>
      <c r="E92" t="s">
        <v>105</v>
      </c>
      <c r="F92" t="s">
        <v>23</v>
      </c>
      <c r="G92" t="s">
        <v>35</v>
      </c>
      <c r="H92" t="s">
        <v>155</v>
      </c>
      <c r="I92">
        <v>4</v>
      </c>
      <c r="J92">
        <v>0</v>
      </c>
      <c r="K92">
        <v>145449.84</v>
      </c>
      <c r="L92">
        <v>31211.94</v>
      </c>
      <c r="M92">
        <v>2025</v>
      </c>
      <c r="N92" t="s">
        <v>615</v>
      </c>
      <c r="O92" t="s">
        <v>625</v>
      </c>
      <c r="P92">
        <v>0.21458902945510286</v>
      </c>
    </row>
    <row r="93" spans="1:16" x14ac:dyDescent="0.3">
      <c r="A93" t="s">
        <v>191</v>
      </c>
      <c r="B93" s="12">
        <v>45718</v>
      </c>
      <c r="C93" t="s">
        <v>44</v>
      </c>
      <c r="D93" t="s">
        <v>39</v>
      </c>
      <c r="E93" t="s">
        <v>52</v>
      </c>
      <c r="F93" t="s">
        <v>23</v>
      </c>
      <c r="G93" t="s">
        <v>24</v>
      </c>
      <c r="H93" t="s">
        <v>129</v>
      </c>
      <c r="I93">
        <v>1</v>
      </c>
      <c r="J93">
        <v>0.2</v>
      </c>
      <c r="K93">
        <v>41543.35</v>
      </c>
      <c r="L93">
        <v>2723.01</v>
      </c>
      <c r="M93">
        <v>2025</v>
      </c>
      <c r="N93" t="s">
        <v>615</v>
      </c>
      <c r="O93" t="s">
        <v>625</v>
      </c>
      <c r="P93">
        <v>6.5546230624155252E-2</v>
      </c>
    </row>
    <row r="94" spans="1:16" x14ac:dyDescent="0.3">
      <c r="A94" t="s">
        <v>192</v>
      </c>
      <c r="B94" s="12">
        <v>45720</v>
      </c>
      <c r="C94" t="s">
        <v>85</v>
      </c>
      <c r="D94" t="s">
        <v>14</v>
      </c>
      <c r="E94" t="s">
        <v>114</v>
      </c>
      <c r="F94" t="s">
        <v>23</v>
      </c>
      <c r="G94" t="s">
        <v>35</v>
      </c>
      <c r="H94" t="s">
        <v>155</v>
      </c>
      <c r="I94">
        <v>7</v>
      </c>
      <c r="J94">
        <v>0.2</v>
      </c>
      <c r="K94">
        <v>47766.25</v>
      </c>
      <c r="L94">
        <v>3100.6</v>
      </c>
      <c r="M94">
        <v>2025</v>
      </c>
      <c r="N94" t="s">
        <v>615</v>
      </c>
      <c r="O94" t="s">
        <v>625</v>
      </c>
      <c r="P94">
        <v>6.4911940962499665E-2</v>
      </c>
    </row>
    <row r="95" spans="1:16" x14ac:dyDescent="0.3">
      <c r="A95" t="s">
        <v>193</v>
      </c>
      <c r="B95" s="12">
        <v>45720</v>
      </c>
      <c r="C95" t="s">
        <v>111</v>
      </c>
      <c r="D95" t="s">
        <v>33</v>
      </c>
      <c r="E95" t="s">
        <v>140</v>
      </c>
      <c r="F95" t="s">
        <v>23</v>
      </c>
      <c r="G95" t="s">
        <v>24</v>
      </c>
      <c r="H95" t="s">
        <v>132</v>
      </c>
      <c r="I95">
        <v>3</v>
      </c>
      <c r="J95">
        <v>0.2</v>
      </c>
      <c r="K95">
        <v>68571.899999999994</v>
      </c>
      <c r="L95">
        <v>12011.1</v>
      </c>
      <c r="M95">
        <v>2025</v>
      </c>
      <c r="N95" t="s">
        <v>615</v>
      </c>
      <c r="O95" t="s">
        <v>625</v>
      </c>
      <c r="P95">
        <v>0.17516067077038847</v>
      </c>
    </row>
    <row r="96" spans="1:16" x14ac:dyDescent="0.3">
      <c r="A96" t="s">
        <v>194</v>
      </c>
      <c r="B96" s="12">
        <v>45722</v>
      </c>
      <c r="C96" t="s">
        <v>85</v>
      </c>
      <c r="D96" t="s">
        <v>21</v>
      </c>
      <c r="E96" t="s">
        <v>105</v>
      </c>
      <c r="F96" t="s">
        <v>23</v>
      </c>
      <c r="G96" t="s">
        <v>58</v>
      </c>
      <c r="H96" t="s">
        <v>59</v>
      </c>
      <c r="I96">
        <v>5</v>
      </c>
      <c r="J96">
        <v>0.2</v>
      </c>
      <c r="K96">
        <v>209238.65</v>
      </c>
      <c r="L96">
        <v>36804.769999999997</v>
      </c>
      <c r="M96">
        <v>2025</v>
      </c>
      <c r="N96" t="s">
        <v>615</v>
      </c>
      <c r="O96" t="s">
        <v>625</v>
      </c>
      <c r="P96">
        <v>0.17589852543973114</v>
      </c>
    </row>
    <row r="97" spans="1:16" x14ac:dyDescent="0.3">
      <c r="A97" t="s">
        <v>195</v>
      </c>
      <c r="B97" s="12">
        <v>45723</v>
      </c>
      <c r="C97" t="s">
        <v>32</v>
      </c>
      <c r="D97" t="s">
        <v>39</v>
      </c>
      <c r="E97" t="s">
        <v>40</v>
      </c>
      <c r="F97" t="s">
        <v>16</v>
      </c>
      <c r="G97" t="s">
        <v>17</v>
      </c>
      <c r="H97" t="s">
        <v>153</v>
      </c>
      <c r="I97">
        <v>4</v>
      </c>
      <c r="J97">
        <v>0</v>
      </c>
      <c r="K97">
        <v>33356.800000000003</v>
      </c>
      <c r="L97">
        <v>6384.43</v>
      </c>
      <c r="M97">
        <v>2025</v>
      </c>
      <c r="N97" t="s">
        <v>615</v>
      </c>
      <c r="O97" t="s">
        <v>625</v>
      </c>
      <c r="P97">
        <v>0.19139815569838833</v>
      </c>
    </row>
    <row r="98" spans="1:16" x14ac:dyDescent="0.3">
      <c r="A98" t="s">
        <v>196</v>
      </c>
      <c r="B98" s="12">
        <v>45724</v>
      </c>
      <c r="C98" t="s">
        <v>100</v>
      </c>
      <c r="D98" t="s">
        <v>21</v>
      </c>
      <c r="E98" t="s">
        <v>57</v>
      </c>
      <c r="F98" t="s">
        <v>16</v>
      </c>
      <c r="G98" t="s">
        <v>62</v>
      </c>
      <c r="H98" t="s">
        <v>167</v>
      </c>
      <c r="I98">
        <v>5</v>
      </c>
      <c r="J98">
        <v>0.1</v>
      </c>
      <c r="K98">
        <v>24591.9</v>
      </c>
      <c r="L98">
        <v>1979.82</v>
      </c>
      <c r="M98">
        <v>2025</v>
      </c>
      <c r="N98" t="s">
        <v>615</v>
      </c>
      <c r="O98" t="s">
        <v>625</v>
      </c>
      <c r="P98">
        <v>8.0506996206067841E-2</v>
      </c>
    </row>
    <row r="99" spans="1:16" x14ac:dyDescent="0.3">
      <c r="A99" t="s">
        <v>197</v>
      </c>
      <c r="B99" s="12">
        <v>45724</v>
      </c>
      <c r="C99" t="s">
        <v>27</v>
      </c>
      <c r="D99" t="s">
        <v>33</v>
      </c>
      <c r="E99" t="s">
        <v>140</v>
      </c>
      <c r="F99" t="s">
        <v>23</v>
      </c>
      <c r="G99" t="s">
        <v>24</v>
      </c>
      <c r="H99" t="s">
        <v>25</v>
      </c>
      <c r="I99">
        <v>5</v>
      </c>
      <c r="J99">
        <v>0.15</v>
      </c>
      <c r="K99">
        <v>121977.2</v>
      </c>
      <c r="L99">
        <v>14491.88</v>
      </c>
      <c r="M99">
        <v>2025</v>
      </c>
      <c r="N99" t="s">
        <v>615</v>
      </c>
      <c r="O99" t="s">
        <v>625</v>
      </c>
      <c r="P99">
        <v>0.11880810512128495</v>
      </c>
    </row>
    <row r="100" spans="1:16" x14ac:dyDescent="0.3">
      <c r="A100" t="s">
        <v>198</v>
      </c>
      <c r="B100" s="12">
        <v>45724</v>
      </c>
      <c r="C100" t="s">
        <v>66</v>
      </c>
      <c r="D100" t="s">
        <v>33</v>
      </c>
      <c r="E100" t="s">
        <v>34</v>
      </c>
      <c r="F100" t="s">
        <v>16</v>
      </c>
      <c r="G100" t="s">
        <v>62</v>
      </c>
      <c r="H100" t="s">
        <v>167</v>
      </c>
      <c r="I100">
        <v>2</v>
      </c>
      <c r="J100">
        <v>0.2</v>
      </c>
      <c r="K100">
        <v>12791.06</v>
      </c>
      <c r="L100">
        <v>200.08</v>
      </c>
      <c r="M100">
        <v>2025</v>
      </c>
      <c r="N100" t="s">
        <v>615</v>
      </c>
      <c r="O100" t="s">
        <v>625</v>
      </c>
      <c r="P100">
        <v>1.5642175081658598E-2</v>
      </c>
    </row>
    <row r="101" spans="1:16" x14ac:dyDescent="0.3">
      <c r="A101" t="s">
        <v>199</v>
      </c>
      <c r="B101" s="12">
        <v>45726</v>
      </c>
      <c r="C101" t="s">
        <v>104</v>
      </c>
      <c r="D101" t="s">
        <v>33</v>
      </c>
      <c r="E101" t="s">
        <v>45</v>
      </c>
      <c r="F101" t="s">
        <v>16</v>
      </c>
      <c r="G101" t="s">
        <v>68</v>
      </c>
      <c r="H101" t="s">
        <v>83</v>
      </c>
      <c r="I101">
        <v>4</v>
      </c>
      <c r="J101">
        <v>0.05</v>
      </c>
      <c r="K101">
        <v>38921.599999999999</v>
      </c>
      <c r="L101">
        <v>8634.76</v>
      </c>
      <c r="M101">
        <v>2025</v>
      </c>
      <c r="N101" t="s">
        <v>615</v>
      </c>
      <c r="O101" t="s">
        <v>625</v>
      </c>
      <c r="P101">
        <v>0.22185007810573051</v>
      </c>
    </row>
    <row r="102" spans="1:16" x14ac:dyDescent="0.3">
      <c r="A102" t="s">
        <v>200</v>
      </c>
      <c r="B102" s="12">
        <v>45726</v>
      </c>
      <c r="C102" t="s">
        <v>32</v>
      </c>
      <c r="D102" t="s">
        <v>14</v>
      </c>
      <c r="E102" t="s">
        <v>54</v>
      </c>
      <c r="F102" t="s">
        <v>23</v>
      </c>
      <c r="G102" t="s">
        <v>58</v>
      </c>
      <c r="H102" t="s">
        <v>78</v>
      </c>
      <c r="I102">
        <v>4</v>
      </c>
      <c r="J102">
        <v>0.1</v>
      </c>
      <c r="K102">
        <v>67881.2</v>
      </c>
      <c r="L102">
        <v>5509.49</v>
      </c>
      <c r="M102">
        <v>2025</v>
      </c>
      <c r="N102" t="s">
        <v>615</v>
      </c>
      <c r="O102" t="s">
        <v>625</v>
      </c>
      <c r="P102">
        <v>8.1163709539607429E-2</v>
      </c>
    </row>
    <row r="103" spans="1:16" x14ac:dyDescent="0.3">
      <c r="A103" t="s">
        <v>201</v>
      </c>
      <c r="B103" s="12">
        <v>45727</v>
      </c>
      <c r="C103" t="s">
        <v>147</v>
      </c>
      <c r="D103" t="s">
        <v>14</v>
      </c>
      <c r="E103" t="s">
        <v>54</v>
      </c>
      <c r="F103" t="s">
        <v>16</v>
      </c>
      <c r="G103" t="s">
        <v>41</v>
      </c>
      <c r="H103" t="s">
        <v>42</v>
      </c>
      <c r="I103">
        <v>3</v>
      </c>
      <c r="J103">
        <v>0.15</v>
      </c>
      <c r="K103">
        <v>29939.279999999999</v>
      </c>
      <c r="L103">
        <v>1021.72</v>
      </c>
      <c r="M103">
        <v>2025</v>
      </c>
      <c r="N103" t="s">
        <v>615</v>
      </c>
      <c r="O103" t="s">
        <v>625</v>
      </c>
      <c r="P103">
        <v>3.4126405177412417E-2</v>
      </c>
    </row>
    <row r="104" spans="1:16" x14ac:dyDescent="0.3">
      <c r="A104" t="s">
        <v>202</v>
      </c>
      <c r="B104" s="12">
        <v>45727</v>
      </c>
      <c r="C104" t="s">
        <v>77</v>
      </c>
      <c r="D104" t="s">
        <v>33</v>
      </c>
      <c r="E104" t="s">
        <v>140</v>
      </c>
      <c r="F104" t="s">
        <v>23</v>
      </c>
      <c r="G104" t="s">
        <v>48</v>
      </c>
      <c r="H104" t="s">
        <v>49</v>
      </c>
      <c r="I104">
        <v>3</v>
      </c>
      <c r="J104">
        <v>0.15</v>
      </c>
      <c r="K104">
        <v>53168.160000000003</v>
      </c>
      <c r="L104">
        <v>6717.31</v>
      </c>
      <c r="M104">
        <v>2025</v>
      </c>
      <c r="N104" t="s">
        <v>615</v>
      </c>
      <c r="O104" t="s">
        <v>625</v>
      </c>
      <c r="P104">
        <v>0.12634084008173313</v>
      </c>
    </row>
    <row r="105" spans="1:16" x14ac:dyDescent="0.3">
      <c r="A105" t="s">
        <v>203</v>
      </c>
      <c r="B105" s="12">
        <v>45729</v>
      </c>
      <c r="C105" t="s">
        <v>109</v>
      </c>
      <c r="D105" t="s">
        <v>14</v>
      </c>
      <c r="E105" t="s">
        <v>54</v>
      </c>
      <c r="F105" t="s">
        <v>28</v>
      </c>
      <c r="G105" t="s">
        <v>92</v>
      </c>
      <c r="H105" t="s">
        <v>204</v>
      </c>
      <c r="I105">
        <v>1</v>
      </c>
      <c r="J105">
        <v>0.05</v>
      </c>
      <c r="K105">
        <v>2040.26</v>
      </c>
      <c r="L105">
        <v>182.3</v>
      </c>
      <c r="M105">
        <v>2025</v>
      </c>
      <c r="N105" t="s">
        <v>615</v>
      </c>
      <c r="O105" t="s">
        <v>625</v>
      </c>
      <c r="P105">
        <v>8.935135717996727E-2</v>
      </c>
    </row>
    <row r="106" spans="1:16" x14ac:dyDescent="0.3">
      <c r="A106" t="s">
        <v>205</v>
      </c>
      <c r="B106" s="12">
        <v>45729</v>
      </c>
      <c r="C106" t="s">
        <v>44</v>
      </c>
      <c r="D106" t="s">
        <v>21</v>
      </c>
      <c r="E106" t="s">
        <v>57</v>
      </c>
      <c r="F106" t="s">
        <v>28</v>
      </c>
      <c r="G106" t="s">
        <v>74</v>
      </c>
      <c r="H106" t="s">
        <v>159</v>
      </c>
      <c r="I106">
        <v>5</v>
      </c>
      <c r="J106">
        <v>0.2</v>
      </c>
      <c r="K106">
        <v>16416.349999999999</v>
      </c>
      <c r="L106">
        <v>2482.3000000000002</v>
      </c>
      <c r="M106">
        <v>2025</v>
      </c>
      <c r="N106" t="s">
        <v>615</v>
      </c>
      <c r="O106" t="s">
        <v>625</v>
      </c>
      <c r="P106">
        <v>0.15120900809254192</v>
      </c>
    </row>
    <row r="107" spans="1:16" x14ac:dyDescent="0.3">
      <c r="A107" t="s">
        <v>206</v>
      </c>
      <c r="B107" s="12">
        <v>45730</v>
      </c>
      <c r="C107" t="s">
        <v>150</v>
      </c>
      <c r="D107" t="s">
        <v>21</v>
      </c>
      <c r="E107" t="s">
        <v>105</v>
      </c>
      <c r="F107" t="s">
        <v>28</v>
      </c>
      <c r="G107" t="s">
        <v>74</v>
      </c>
      <c r="H107" t="s">
        <v>75</v>
      </c>
      <c r="I107">
        <v>5</v>
      </c>
      <c r="J107">
        <v>0.1</v>
      </c>
      <c r="K107">
        <v>1060.9000000000001</v>
      </c>
      <c r="L107">
        <v>173.08</v>
      </c>
      <c r="M107">
        <v>2025</v>
      </c>
      <c r="N107" t="s">
        <v>615</v>
      </c>
      <c r="O107" t="s">
        <v>625</v>
      </c>
      <c r="P107">
        <v>0.1631444999528702</v>
      </c>
    </row>
    <row r="108" spans="1:16" x14ac:dyDescent="0.3">
      <c r="A108" t="s">
        <v>207</v>
      </c>
      <c r="B108" s="12">
        <v>45730</v>
      </c>
      <c r="C108" t="s">
        <v>44</v>
      </c>
      <c r="D108" t="s">
        <v>21</v>
      </c>
      <c r="E108" t="s">
        <v>105</v>
      </c>
      <c r="F108" t="s">
        <v>16</v>
      </c>
      <c r="G108" t="s">
        <v>68</v>
      </c>
      <c r="H108" t="s">
        <v>83</v>
      </c>
      <c r="I108">
        <v>2</v>
      </c>
      <c r="J108">
        <v>0.2</v>
      </c>
      <c r="K108">
        <v>5075.42</v>
      </c>
      <c r="L108">
        <v>149.80000000000001</v>
      </c>
      <c r="M108">
        <v>2025</v>
      </c>
      <c r="N108" t="s">
        <v>615</v>
      </c>
      <c r="O108" t="s">
        <v>625</v>
      </c>
      <c r="P108">
        <v>2.9514798775273771E-2</v>
      </c>
    </row>
    <row r="109" spans="1:16" x14ac:dyDescent="0.3">
      <c r="A109" t="s">
        <v>208</v>
      </c>
      <c r="B109" s="12">
        <v>45730</v>
      </c>
      <c r="C109" t="s">
        <v>85</v>
      </c>
      <c r="D109" t="s">
        <v>33</v>
      </c>
      <c r="E109" t="s">
        <v>140</v>
      </c>
      <c r="F109" t="s">
        <v>23</v>
      </c>
      <c r="G109" t="s">
        <v>24</v>
      </c>
      <c r="H109" t="s">
        <v>25</v>
      </c>
      <c r="I109">
        <v>6</v>
      </c>
      <c r="J109">
        <v>0</v>
      </c>
      <c r="K109">
        <v>60457.2</v>
      </c>
      <c r="L109">
        <v>9955.2999999999993</v>
      </c>
      <c r="M109">
        <v>2025</v>
      </c>
      <c r="N109" t="s">
        <v>615</v>
      </c>
      <c r="O109" t="s">
        <v>625</v>
      </c>
      <c r="P109">
        <v>0.16466690485169674</v>
      </c>
    </row>
    <row r="110" spans="1:16" x14ac:dyDescent="0.3">
      <c r="A110" t="s">
        <v>209</v>
      </c>
      <c r="B110" s="12">
        <v>45730</v>
      </c>
      <c r="C110" t="s">
        <v>147</v>
      </c>
      <c r="D110" t="s">
        <v>39</v>
      </c>
      <c r="E110" t="s">
        <v>128</v>
      </c>
      <c r="F110" t="s">
        <v>23</v>
      </c>
      <c r="G110" t="s">
        <v>24</v>
      </c>
      <c r="H110" t="s">
        <v>132</v>
      </c>
      <c r="I110">
        <v>6</v>
      </c>
      <c r="J110">
        <v>0.15</v>
      </c>
      <c r="K110">
        <v>237708.42</v>
      </c>
      <c r="L110">
        <v>15681.02</v>
      </c>
      <c r="M110">
        <v>2025</v>
      </c>
      <c r="N110" t="s">
        <v>615</v>
      </c>
      <c r="O110" t="s">
        <v>625</v>
      </c>
      <c r="P110">
        <v>6.596745710564228E-2</v>
      </c>
    </row>
    <row r="111" spans="1:16" x14ac:dyDescent="0.3">
      <c r="A111" t="s">
        <v>210</v>
      </c>
      <c r="B111" s="12">
        <v>45731</v>
      </c>
      <c r="C111" t="s">
        <v>100</v>
      </c>
      <c r="D111" t="s">
        <v>14</v>
      </c>
      <c r="E111" t="s">
        <v>97</v>
      </c>
      <c r="F111" t="s">
        <v>23</v>
      </c>
      <c r="G111" t="s">
        <v>58</v>
      </c>
      <c r="H111" t="s">
        <v>101</v>
      </c>
      <c r="I111">
        <v>1</v>
      </c>
      <c r="J111">
        <v>0.1</v>
      </c>
      <c r="K111">
        <v>12060.67</v>
      </c>
      <c r="L111">
        <v>2323.2399999999998</v>
      </c>
      <c r="M111">
        <v>2025</v>
      </c>
      <c r="N111" t="s">
        <v>615</v>
      </c>
      <c r="O111" t="s">
        <v>625</v>
      </c>
      <c r="P111">
        <v>0.19262943103492591</v>
      </c>
    </row>
    <row r="112" spans="1:16" x14ac:dyDescent="0.3">
      <c r="A112" t="s">
        <v>211</v>
      </c>
      <c r="B112" s="12">
        <v>45733</v>
      </c>
      <c r="C112" t="s">
        <v>27</v>
      </c>
      <c r="D112" t="s">
        <v>39</v>
      </c>
      <c r="E112" t="s">
        <v>47</v>
      </c>
      <c r="F112" t="s">
        <v>23</v>
      </c>
      <c r="G112" t="s">
        <v>48</v>
      </c>
      <c r="H112" t="s">
        <v>124</v>
      </c>
      <c r="I112">
        <v>2</v>
      </c>
      <c r="J112">
        <v>0</v>
      </c>
      <c r="K112">
        <v>83957.24</v>
      </c>
      <c r="L112">
        <v>8159.88</v>
      </c>
      <c r="M112">
        <v>2025</v>
      </c>
      <c r="N112" t="s">
        <v>615</v>
      </c>
      <c r="O112" t="s">
        <v>625</v>
      </c>
      <c r="P112">
        <v>9.719090336938184E-2</v>
      </c>
    </row>
    <row r="113" spans="1:16" x14ac:dyDescent="0.3">
      <c r="A113" t="s">
        <v>212</v>
      </c>
      <c r="B113" s="12">
        <v>45734</v>
      </c>
      <c r="C113" t="s">
        <v>51</v>
      </c>
      <c r="D113" t="s">
        <v>39</v>
      </c>
      <c r="E113" t="s">
        <v>40</v>
      </c>
      <c r="F113" t="s">
        <v>16</v>
      </c>
      <c r="G113" t="s">
        <v>68</v>
      </c>
      <c r="H113" t="s">
        <v>83</v>
      </c>
      <c r="I113">
        <v>7</v>
      </c>
      <c r="J113">
        <v>0.2</v>
      </c>
      <c r="K113">
        <v>19047.21</v>
      </c>
      <c r="L113">
        <v>2188.1</v>
      </c>
      <c r="M113">
        <v>2025</v>
      </c>
      <c r="N113" t="s">
        <v>615</v>
      </c>
      <c r="O113" t="s">
        <v>625</v>
      </c>
      <c r="P113">
        <v>0.11487771699897255</v>
      </c>
    </row>
    <row r="114" spans="1:16" x14ac:dyDescent="0.3">
      <c r="A114" t="s">
        <v>213</v>
      </c>
      <c r="B114" s="12">
        <v>45736</v>
      </c>
      <c r="C114" t="s">
        <v>20</v>
      </c>
      <c r="D114" t="s">
        <v>39</v>
      </c>
      <c r="E114" t="s">
        <v>47</v>
      </c>
      <c r="F114" t="s">
        <v>16</v>
      </c>
      <c r="G114" t="s">
        <v>68</v>
      </c>
      <c r="H114" t="s">
        <v>175</v>
      </c>
      <c r="I114">
        <v>3</v>
      </c>
      <c r="J114">
        <v>0.05</v>
      </c>
      <c r="K114">
        <v>25073.7</v>
      </c>
      <c r="L114">
        <v>2244.59</v>
      </c>
      <c r="M114">
        <v>2025</v>
      </c>
      <c r="N114" t="s">
        <v>615</v>
      </c>
      <c r="O114" t="s">
        <v>625</v>
      </c>
      <c r="P114">
        <v>8.9519695936379554E-2</v>
      </c>
    </row>
    <row r="115" spans="1:16" x14ac:dyDescent="0.3">
      <c r="A115" t="s">
        <v>214</v>
      </c>
      <c r="B115" s="12">
        <v>45738</v>
      </c>
      <c r="C115" t="s">
        <v>27</v>
      </c>
      <c r="D115" t="s">
        <v>21</v>
      </c>
      <c r="E115" t="s">
        <v>105</v>
      </c>
      <c r="F115" t="s">
        <v>23</v>
      </c>
      <c r="G115" t="s">
        <v>35</v>
      </c>
      <c r="H115" t="s">
        <v>36</v>
      </c>
      <c r="I115">
        <v>6</v>
      </c>
      <c r="J115">
        <v>0.1</v>
      </c>
      <c r="K115">
        <v>161991.84</v>
      </c>
      <c r="L115">
        <v>20673.41</v>
      </c>
      <c r="M115">
        <v>2025</v>
      </c>
      <c r="N115" t="s">
        <v>615</v>
      </c>
      <c r="O115" t="s">
        <v>625</v>
      </c>
      <c r="P115">
        <v>0.12762007024551361</v>
      </c>
    </row>
    <row r="116" spans="1:16" x14ac:dyDescent="0.3">
      <c r="A116" t="s">
        <v>215</v>
      </c>
      <c r="B116" s="12">
        <v>45739</v>
      </c>
      <c r="C116" t="s">
        <v>44</v>
      </c>
      <c r="D116" t="s">
        <v>39</v>
      </c>
      <c r="E116" t="s">
        <v>52</v>
      </c>
      <c r="F116" t="s">
        <v>16</v>
      </c>
      <c r="G116" t="s">
        <v>41</v>
      </c>
      <c r="H116" t="s">
        <v>177</v>
      </c>
      <c r="I116">
        <v>7</v>
      </c>
      <c r="J116">
        <v>0.1</v>
      </c>
      <c r="K116">
        <v>40139.050000000003</v>
      </c>
      <c r="L116">
        <v>7462.48</v>
      </c>
      <c r="M116">
        <v>2025</v>
      </c>
      <c r="N116" t="s">
        <v>615</v>
      </c>
      <c r="O116" t="s">
        <v>625</v>
      </c>
      <c r="P116">
        <v>0.18591571051133496</v>
      </c>
    </row>
    <row r="117" spans="1:16" x14ac:dyDescent="0.3">
      <c r="A117" t="s">
        <v>216</v>
      </c>
      <c r="B117" s="12">
        <v>45739</v>
      </c>
      <c r="C117" t="s">
        <v>85</v>
      </c>
      <c r="D117" t="s">
        <v>21</v>
      </c>
      <c r="E117" t="s">
        <v>67</v>
      </c>
      <c r="F117" t="s">
        <v>28</v>
      </c>
      <c r="G117" t="s">
        <v>29</v>
      </c>
      <c r="H117" t="s">
        <v>98</v>
      </c>
      <c r="I117">
        <v>3</v>
      </c>
      <c r="J117">
        <v>0.05</v>
      </c>
      <c r="K117">
        <v>10212.27</v>
      </c>
      <c r="L117">
        <v>2145.29</v>
      </c>
      <c r="M117">
        <v>2025</v>
      </c>
      <c r="N117" t="s">
        <v>615</v>
      </c>
      <c r="O117" t="s">
        <v>625</v>
      </c>
      <c r="P117">
        <v>0.21006984735029527</v>
      </c>
    </row>
    <row r="118" spans="1:16" x14ac:dyDescent="0.3">
      <c r="A118" t="s">
        <v>217</v>
      </c>
      <c r="B118" s="12">
        <v>45739</v>
      </c>
      <c r="C118" t="s">
        <v>111</v>
      </c>
      <c r="D118" t="s">
        <v>39</v>
      </c>
      <c r="E118" t="s">
        <v>47</v>
      </c>
      <c r="F118" t="s">
        <v>23</v>
      </c>
      <c r="G118" t="s">
        <v>58</v>
      </c>
      <c r="H118" t="s">
        <v>78</v>
      </c>
      <c r="I118">
        <v>2</v>
      </c>
      <c r="J118">
        <v>0.2</v>
      </c>
      <c r="K118">
        <v>65881.08</v>
      </c>
      <c r="L118">
        <v>11817.54</v>
      </c>
      <c r="M118">
        <v>2025</v>
      </c>
      <c r="N118" t="s">
        <v>615</v>
      </c>
      <c r="O118" t="s">
        <v>625</v>
      </c>
      <c r="P118">
        <v>0.17937684081681721</v>
      </c>
    </row>
    <row r="119" spans="1:16" x14ac:dyDescent="0.3">
      <c r="A119" t="s">
        <v>218</v>
      </c>
      <c r="B119" s="12">
        <v>45739</v>
      </c>
      <c r="C119" t="s">
        <v>85</v>
      </c>
      <c r="D119" t="s">
        <v>33</v>
      </c>
      <c r="E119" t="s">
        <v>34</v>
      </c>
      <c r="F119" t="s">
        <v>23</v>
      </c>
      <c r="G119" t="s">
        <v>58</v>
      </c>
      <c r="H119" t="s">
        <v>90</v>
      </c>
      <c r="I119">
        <v>1</v>
      </c>
      <c r="J119">
        <v>0.15</v>
      </c>
      <c r="K119">
        <v>25034.400000000001</v>
      </c>
      <c r="L119">
        <v>3612.38</v>
      </c>
      <c r="M119">
        <v>2025</v>
      </c>
      <c r="N119" t="s">
        <v>615</v>
      </c>
      <c r="O119" t="s">
        <v>625</v>
      </c>
      <c r="P119">
        <v>0.14429664781260984</v>
      </c>
    </row>
    <row r="120" spans="1:16" x14ac:dyDescent="0.3">
      <c r="A120" t="s">
        <v>219</v>
      </c>
      <c r="B120" s="12">
        <v>45739</v>
      </c>
      <c r="C120" t="s">
        <v>95</v>
      </c>
      <c r="D120" t="s">
        <v>39</v>
      </c>
      <c r="E120" t="s">
        <v>52</v>
      </c>
      <c r="F120" t="s">
        <v>23</v>
      </c>
      <c r="G120" t="s">
        <v>24</v>
      </c>
      <c r="H120" t="s">
        <v>129</v>
      </c>
      <c r="I120">
        <v>5</v>
      </c>
      <c r="J120">
        <v>0.15</v>
      </c>
      <c r="K120">
        <v>201738.4</v>
      </c>
      <c r="L120">
        <v>39746.699999999997</v>
      </c>
      <c r="M120">
        <v>2025</v>
      </c>
      <c r="N120" t="s">
        <v>615</v>
      </c>
      <c r="O120" t="s">
        <v>625</v>
      </c>
      <c r="P120">
        <v>0.1970209935242869</v>
      </c>
    </row>
    <row r="121" spans="1:16" x14ac:dyDescent="0.3">
      <c r="A121" t="s">
        <v>220</v>
      </c>
      <c r="B121" s="12">
        <v>45739</v>
      </c>
      <c r="C121" t="s">
        <v>20</v>
      </c>
      <c r="D121" t="s">
        <v>33</v>
      </c>
      <c r="E121" t="s">
        <v>140</v>
      </c>
      <c r="F121" t="s">
        <v>28</v>
      </c>
      <c r="G121" t="s">
        <v>92</v>
      </c>
      <c r="H121" t="s">
        <v>93</v>
      </c>
      <c r="I121">
        <v>5</v>
      </c>
      <c r="J121">
        <v>0.05</v>
      </c>
      <c r="K121">
        <v>15528.65</v>
      </c>
      <c r="L121">
        <v>1188.99</v>
      </c>
      <c r="M121">
        <v>2025</v>
      </c>
      <c r="N121" t="s">
        <v>615</v>
      </c>
      <c r="O121" t="s">
        <v>625</v>
      </c>
      <c r="P121">
        <v>7.6567505868185587E-2</v>
      </c>
    </row>
    <row r="122" spans="1:16" x14ac:dyDescent="0.3">
      <c r="A122" t="s">
        <v>221</v>
      </c>
      <c r="B122" s="12">
        <v>45740</v>
      </c>
      <c r="C122" t="s">
        <v>77</v>
      </c>
      <c r="D122" t="s">
        <v>14</v>
      </c>
      <c r="E122" t="s">
        <v>54</v>
      </c>
      <c r="F122" t="s">
        <v>28</v>
      </c>
      <c r="G122" t="s">
        <v>71</v>
      </c>
      <c r="H122" t="s">
        <v>72</v>
      </c>
      <c r="I122">
        <v>6</v>
      </c>
      <c r="J122">
        <v>0.15</v>
      </c>
      <c r="K122">
        <v>11693.16</v>
      </c>
      <c r="L122">
        <v>1663.63</v>
      </c>
      <c r="M122">
        <v>2025</v>
      </c>
      <c r="N122" t="s">
        <v>615</v>
      </c>
      <c r="O122" t="s">
        <v>625</v>
      </c>
      <c r="P122">
        <v>0.14227377372754671</v>
      </c>
    </row>
    <row r="123" spans="1:16" x14ac:dyDescent="0.3">
      <c r="A123" t="s">
        <v>222</v>
      </c>
      <c r="B123" s="12">
        <v>45740</v>
      </c>
      <c r="C123" t="s">
        <v>111</v>
      </c>
      <c r="D123" t="s">
        <v>33</v>
      </c>
      <c r="E123" t="s">
        <v>140</v>
      </c>
      <c r="F123" t="s">
        <v>23</v>
      </c>
      <c r="G123" t="s">
        <v>24</v>
      </c>
      <c r="H123" t="s">
        <v>129</v>
      </c>
      <c r="I123">
        <v>2</v>
      </c>
      <c r="J123">
        <v>0.05</v>
      </c>
      <c r="K123">
        <v>9163.2199999999993</v>
      </c>
      <c r="L123">
        <v>1810.36</v>
      </c>
      <c r="M123">
        <v>2025</v>
      </c>
      <c r="N123" t="s">
        <v>615</v>
      </c>
      <c r="O123" t="s">
        <v>625</v>
      </c>
      <c r="P123">
        <v>0.19756810378884279</v>
      </c>
    </row>
    <row r="124" spans="1:16" x14ac:dyDescent="0.3">
      <c r="A124" t="s">
        <v>223</v>
      </c>
      <c r="B124" s="12">
        <v>45740</v>
      </c>
      <c r="C124" t="s">
        <v>27</v>
      </c>
      <c r="D124" t="s">
        <v>21</v>
      </c>
      <c r="E124" t="s">
        <v>105</v>
      </c>
      <c r="F124" t="s">
        <v>28</v>
      </c>
      <c r="G124" t="s">
        <v>71</v>
      </c>
      <c r="H124" t="s">
        <v>121</v>
      </c>
      <c r="I124">
        <v>3</v>
      </c>
      <c r="J124">
        <v>0.15</v>
      </c>
      <c r="K124">
        <v>1397.07</v>
      </c>
      <c r="L124">
        <v>110.45</v>
      </c>
      <c r="M124">
        <v>2025</v>
      </c>
      <c r="N124" t="s">
        <v>615</v>
      </c>
      <c r="O124" t="s">
        <v>625</v>
      </c>
      <c r="P124">
        <v>7.9058314901901849E-2</v>
      </c>
    </row>
    <row r="125" spans="1:16" x14ac:dyDescent="0.3">
      <c r="A125" t="s">
        <v>224</v>
      </c>
      <c r="B125" s="12">
        <v>45740</v>
      </c>
      <c r="C125" t="s">
        <v>61</v>
      </c>
      <c r="D125" t="s">
        <v>21</v>
      </c>
      <c r="E125" t="s">
        <v>105</v>
      </c>
      <c r="F125" t="s">
        <v>28</v>
      </c>
      <c r="G125" t="s">
        <v>92</v>
      </c>
      <c r="H125" t="s">
        <v>93</v>
      </c>
      <c r="I125">
        <v>1</v>
      </c>
      <c r="J125">
        <v>0.15</v>
      </c>
      <c r="K125">
        <v>1753.49</v>
      </c>
      <c r="L125">
        <v>240.76</v>
      </c>
      <c r="M125">
        <v>2025</v>
      </c>
      <c r="N125" t="s">
        <v>615</v>
      </c>
      <c r="O125" t="s">
        <v>625</v>
      </c>
      <c r="P125">
        <v>0.13730332080593557</v>
      </c>
    </row>
    <row r="126" spans="1:16" x14ac:dyDescent="0.3">
      <c r="A126" t="s">
        <v>225</v>
      </c>
      <c r="B126" s="12">
        <v>45740</v>
      </c>
      <c r="C126" t="s">
        <v>32</v>
      </c>
      <c r="D126" t="s">
        <v>21</v>
      </c>
      <c r="E126" t="s">
        <v>105</v>
      </c>
      <c r="F126" t="s">
        <v>28</v>
      </c>
      <c r="G126" t="s">
        <v>71</v>
      </c>
      <c r="H126" t="s">
        <v>121</v>
      </c>
      <c r="I126">
        <v>4</v>
      </c>
      <c r="J126">
        <v>0.15</v>
      </c>
      <c r="K126">
        <v>6068.08</v>
      </c>
      <c r="L126">
        <v>1120.6199999999999</v>
      </c>
      <c r="M126">
        <v>2025</v>
      </c>
      <c r="N126" t="s">
        <v>615</v>
      </c>
      <c r="O126" t="s">
        <v>625</v>
      </c>
      <c r="P126">
        <v>0.18467455933342999</v>
      </c>
    </row>
    <row r="127" spans="1:16" x14ac:dyDescent="0.3">
      <c r="A127" t="s">
        <v>226</v>
      </c>
      <c r="B127" s="12">
        <v>45741</v>
      </c>
      <c r="C127" t="s">
        <v>77</v>
      </c>
      <c r="D127" t="s">
        <v>21</v>
      </c>
      <c r="E127" t="s">
        <v>105</v>
      </c>
      <c r="F127" t="s">
        <v>23</v>
      </c>
      <c r="G127" t="s">
        <v>58</v>
      </c>
      <c r="H127" t="s">
        <v>59</v>
      </c>
      <c r="I127">
        <v>1</v>
      </c>
      <c r="J127">
        <v>0.05</v>
      </c>
      <c r="K127">
        <v>21535.05</v>
      </c>
      <c r="L127">
        <v>4883.32</v>
      </c>
      <c r="M127">
        <v>2025</v>
      </c>
      <c r="N127" t="s">
        <v>615</v>
      </c>
      <c r="O127" t="s">
        <v>625</v>
      </c>
      <c r="P127">
        <v>0.22676148882867697</v>
      </c>
    </row>
    <row r="128" spans="1:16" x14ac:dyDescent="0.3">
      <c r="A128" t="s">
        <v>227</v>
      </c>
      <c r="B128" s="12">
        <v>45741</v>
      </c>
      <c r="C128" t="s">
        <v>32</v>
      </c>
      <c r="D128" t="s">
        <v>21</v>
      </c>
      <c r="E128" t="s">
        <v>67</v>
      </c>
      <c r="F128" t="s">
        <v>16</v>
      </c>
      <c r="G128" t="s">
        <v>68</v>
      </c>
      <c r="H128" t="s">
        <v>175</v>
      </c>
      <c r="I128">
        <v>7</v>
      </c>
      <c r="J128">
        <v>0.2</v>
      </c>
      <c r="K128">
        <v>48047.02</v>
      </c>
      <c r="L128">
        <v>603.89</v>
      </c>
      <c r="M128">
        <v>2025</v>
      </c>
      <c r="N128" t="s">
        <v>615</v>
      </c>
      <c r="O128" t="s">
        <v>625</v>
      </c>
      <c r="P128">
        <v>1.2568729548679606E-2</v>
      </c>
    </row>
    <row r="129" spans="1:16" x14ac:dyDescent="0.3">
      <c r="A129" t="s">
        <v>228</v>
      </c>
      <c r="B129" s="12">
        <v>45741</v>
      </c>
      <c r="C129" t="s">
        <v>229</v>
      </c>
      <c r="D129" t="s">
        <v>21</v>
      </c>
      <c r="E129" t="s">
        <v>67</v>
      </c>
      <c r="F129" t="s">
        <v>16</v>
      </c>
      <c r="G129" t="s">
        <v>62</v>
      </c>
      <c r="H129" t="s">
        <v>167</v>
      </c>
      <c r="I129">
        <v>2</v>
      </c>
      <c r="J129">
        <v>0.2</v>
      </c>
      <c r="K129">
        <v>13925.84</v>
      </c>
      <c r="L129">
        <v>1399.71</v>
      </c>
      <c r="M129">
        <v>2025</v>
      </c>
      <c r="N129" t="s">
        <v>615</v>
      </c>
      <c r="O129" t="s">
        <v>625</v>
      </c>
      <c r="P129">
        <v>0.10051171060417181</v>
      </c>
    </row>
    <row r="130" spans="1:16" x14ac:dyDescent="0.3">
      <c r="A130" t="s">
        <v>230</v>
      </c>
      <c r="B130" s="12">
        <v>45742</v>
      </c>
      <c r="C130" t="s">
        <v>44</v>
      </c>
      <c r="D130" t="s">
        <v>33</v>
      </c>
      <c r="E130" t="s">
        <v>140</v>
      </c>
      <c r="F130" t="s">
        <v>28</v>
      </c>
      <c r="G130" t="s">
        <v>71</v>
      </c>
      <c r="H130" t="s">
        <v>72</v>
      </c>
      <c r="I130">
        <v>3</v>
      </c>
      <c r="J130">
        <v>0.15</v>
      </c>
      <c r="K130">
        <v>13276.2</v>
      </c>
      <c r="L130">
        <v>2547.2199999999998</v>
      </c>
      <c r="M130">
        <v>2025</v>
      </c>
      <c r="N130" t="s">
        <v>615</v>
      </c>
      <c r="O130" t="s">
        <v>625</v>
      </c>
      <c r="P130">
        <v>0.19186363567888398</v>
      </c>
    </row>
    <row r="131" spans="1:16" x14ac:dyDescent="0.3">
      <c r="A131" t="s">
        <v>231</v>
      </c>
      <c r="B131" s="12">
        <v>45743</v>
      </c>
      <c r="C131" t="s">
        <v>51</v>
      </c>
      <c r="D131" t="s">
        <v>39</v>
      </c>
      <c r="E131" t="s">
        <v>52</v>
      </c>
      <c r="F131" t="s">
        <v>23</v>
      </c>
      <c r="G131" t="s">
        <v>48</v>
      </c>
      <c r="H131" t="s">
        <v>49</v>
      </c>
      <c r="I131">
        <v>1</v>
      </c>
      <c r="J131">
        <v>0.15</v>
      </c>
      <c r="K131">
        <v>41902.07</v>
      </c>
      <c r="L131">
        <v>3695.55</v>
      </c>
      <c r="M131">
        <v>2025</v>
      </c>
      <c r="N131" t="s">
        <v>615</v>
      </c>
      <c r="O131" t="s">
        <v>625</v>
      </c>
      <c r="P131">
        <v>8.8194926885473687E-2</v>
      </c>
    </row>
    <row r="132" spans="1:16" x14ac:dyDescent="0.3">
      <c r="A132" t="s">
        <v>232</v>
      </c>
      <c r="B132" s="12">
        <v>45743</v>
      </c>
      <c r="C132" t="s">
        <v>150</v>
      </c>
      <c r="D132" t="s">
        <v>39</v>
      </c>
      <c r="E132" t="s">
        <v>52</v>
      </c>
      <c r="F132" t="s">
        <v>16</v>
      </c>
      <c r="G132" t="s">
        <v>68</v>
      </c>
      <c r="H132" t="s">
        <v>69</v>
      </c>
      <c r="I132">
        <v>2</v>
      </c>
      <c r="J132">
        <v>0.05</v>
      </c>
      <c r="K132">
        <v>16217.54</v>
      </c>
      <c r="L132">
        <v>2045.53</v>
      </c>
      <c r="M132">
        <v>2025</v>
      </c>
      <c r="N132" t="s">
        <v>615</v>
      </c>
      <c r="O132" t="s">
        <v>625</v>
      </c>
      <c r="P132">
        <v>0.12613072019554136</v>
      </c>
    </row>
    <row r="133" spans="1:16" x14ac:dyDescent="0.3">
      <c r="A133" t="s">
        <v>233</v>
      </c>
      <c r="B133" s="12">
        <v>45743</v>
      </c>
      <c r="C133" t="s">
        <v>13</v>
      </c>
      <c r="D133" t="s">
        <v>39</v>
      </c>
      <c r="E133" t="s">
        <v>40</v>
      </c>
      <c r="F133" t="s">
        <v>16</v>
      </c>
      <c r="G133" t="s">
        <v>62</v>
      </c>
      <c r="H133" t="s">
        <v>167</v>
      </c>
      <c r="I133">
        <v>5</v>
      </c>
      <c r="J133">
        <v>0.2</v>
      </c>
      <c r="K133">
        <v>9174.2000000000007</v>
      </c>
      <c r="L133">
        <v>238.59</v>
      </c>
      <c r="M133">
        <v>2025</v>
      </c>
      <c r="N133" t="s">
        <v>615</v>
      </c>
      <c r="O133" t="s">
        <v>625</v>
      </c>
      <c r="P133">
        <v>2.6006627280852825E-2</v>
      </c>
    </row>
    <row r="134" spans="1:16" x14ac:dyDescent="0.3">
      <c r="A134" t="s">
        <v>234</v>
      </c>
      <c r="B134" s="12">
        <v>45743</v>
      </c>
      <c r="C134" t="s">
        <v>104</v>
      </c>
      <c r="D134" t="s">
        <v>39</v>
      </c>
      <c r="E134" t="s">
        <v>52</v>
      </c>
      <c r="F134" t="s">
        <v>23</v>
      </c>
      <c r="G134" t="s">
        <v>58</v>
      </c>
      <c r="H134" t="s">
        <v>90</v>
      </c>
      <c r="I134">
        <v>6</v>
      </c>
      <c r="J134">
        <v>0.1</v>
      </c>
      <c r="K134">
        <v>78180.899999999994</v>
      </c>
      <c r="L134">
        <v>9081.39</v>
      </c>
      <c r="M134">
        <v>2025</v>
      </c>
      <c r="N134" t="s">
        <v>615</v>
      </c>
      <c r="O134" t="s">
        <v>625</v>
      </c>
      <c r="P134">
        <v>0.11615867814261539</v>
      </c>
    </row>
    <row r="135" spans="1:16" x14ac:dyDescent="0.3">
      <c r="A135" t="s">
        <v>235</v>
      </c>
      <c r="B135" s="12">
        <v>45744</v>
      </c>
      <c r="C135" t="s">
        <v>85</v>
      </c>
      <c r="D135" t="s">
        <v>39</v>
      </c>
      <c r="E135" t="s">
        <v>128</v>
      </c>
      <c r="F135" t="s">
        <v>16</v>
      </c>
      <c r="G135" t="s">
        <v>41</v>
      </c>
      <c r="H135" t="s">
        <v>177</v>
      </c>
      <c r="I135">
        <v>6</v>
      </c>
      <c r="J135">
        <v>0.2</v>
      </c>
      <c r="K135">
        <v>29551.439999999999</v>
      </c>
      <c r="L135">
        <v>1125.8599999999999</v>
      </c>
      <c r="M135">
        <v>2025</v>
      </c>
      <c r="N135" t="s">
        <v>615</v>
      </c>
      <c r="O135" t="s">
        <v>625</v>
      </c>
      <c r="P135">
        <v>3.8098312637218357E-2</v>
      </c>
    </row>
    <row r="136" spans="1:16" x14ac:dyDescent="0.3">
      <c r="A136" t="s">
        <v>236</v>
      </c>
      <c r="B136" s="12">
        <v>45744</v>
      </c>
      <c r="C136" t="s">
        <v>61</v>
      </c>
      <c r="D136" t="s">
        <v>39</v>
      </c>
      <c r="E136" t="s">
        <v>128</v>
      </c>
      <c r="F136" t="s">
        <v>28</v>
      </c>
      <c r="G136" t="s">
        <v>74</v>
      </c>
      <c r="H136" t="s">
        <v>75</v>
      </c>
      <c r="I136">
        <v>4</v>
      </c>
      <c r="J136">
        <v>0.05</v>
      </c>
      <c r="K136">
        <v>7707.84</v>
      </c>
      <c r="L136">
        <v>718.88</v>
      </c>
      <c r="M136">
        <v>2025</v>
      </c>
      <c r="N136" t="s">
        <v>615</v>
      </c>
      <c r="O136" t="s">
        <v>625</v>
      </c>
      <c r="P136">
        <v>9.3266077137044878E-2</v>
      </c>
    </row>
    <row r="137" spans="1:16" x14ac:dyDescent="0.3">
      <c r="A137" t="s">
        <v>237</v>
      </c>
      <c r="B137" s="12">
        <v>45744</v>
      </c>
      <c r="C137" t="s">
        <v>77</v>
      </c>
      <c r="D137" t="s">
        <v>39</v>
      </c>
      <c r="E137" t="s">
        <v>128</v>
      </c>
      <c r="F137" t="s">
        <v>23</v>
      </c>
      <c r="G137" t="s">
        <v>24</v>
      </c>
      <c r="H137" t="s">
        <v>25</v>
      </c>
      <c r="I137">
        <v>4</v>
      </c>
      <c r="J137">
        <v>0.1</v>
      </c>
      <c r="K137">
        <v>172204.79999999999</v>
      </c>
      <c r="L137">
        <v>19884.099999999999</v>
      </c>
      <c r="M137">
        <v>2025</v>
      </c>
      <c r="N137" t="s">
        <v>615</v>
      </c>
      <c r="O137" t="s">
        <v>625</v>
      </c>
      <c r="P137">
        <v>0.11546774538224254</v>
      </c>
    </row>
    <row r="138" spans="1:16" x14ac:dyDescent="0.3">
      <c r="A138" t="s">
        <v>238</v>
      </c>
      <c r="B138" s="12">
        <v>45746</v>
      </c>
      <c r="C138" t="s">
        <v>179</v>
      </c>
      <c r="D138" t="s">
        <v>14</v>
      </c>
      <c r="E138" t="s">
        <v>15</v>
      </c>
      <c r="F138" t="s">
        <v>23</v>
      </c>
      <c r="G138" t="s">
        <v>24</v>
      </c>
      <c r="H138" t="s">
        <v>129</v>
      </c>
      <c r="I138">
        <v>5</v>
      </c>
      <c r="J138">
        <v>0.2</v>
      </c>
      <c r="K138">
        <v>196466.85</v>
      </c>
      <c r="L138">
        <v>11606.58</v>
      </c>
      <c r="M138">
        <v>2025</v>
      </c>
      <c r="N138" t="s">
        <v>615</v>
      </c>
      <c r="O138" t="s">
        <v>625</v>
      </c>
      <c r="P138">
        <v>5.9076531231604716E-2</v>
      </c>
    </row>
    <row r="139" spans="1:16" x14ac:dyDescent="0.3">
      <c r="A139" t="s">
        <v>239</v>
      </c>
      <c r="B139" s="12">
        <v>45746</v>
      </c>
      <c r="C139" t="s">
        <v>135</v>
      </c>
      <c r="D139" t="s">
        <v>39</v>
      </c>
      <c r="E139" t="s">
        <v>40</v>
      </c>
      <c r="F139" t="s">
        <v>16</v>
      </c>
      <c r="G139" t="s">
        <v>41</v>
      </c>
      <c r="H139" t="s">
        <v>42</v>
      </c>
      <c r="I139">
        <v>2</v>
      </c>
      <c r="J139">
        <v>0.05</v>
      </c>
      <c r="K139">
        <v>9864.58</v>
      </c>
      <c r="L139">
        <v>780.33</v>
      </c>
      <c r="M139">
        <v>2025</v>
      </c>
      <c r="N139" t="s">
        <v>615</v>
      </c>
      <c r="O139" t="s">
        <v>625</v>
      </c>
      <c r="P139">
        <v>7.9104229475558008E-2</v>
      </c>
    </row>
    <row r="140" spans="1:16" x14ac:dyDescent="0.3">
      <c r="A140" t="s">
        <v>240</v>
      </c>
      <c r="B140" s="12">
        <v>45751</v>
      </c>
      <c r="C140" t="s">
        <v>77</v>
      </c>
      <c r="D140" t="s">
        <v>33</v>
      </c>
      <c r="E140" t="s">
        <v>45</v>
      </c>
      <c r="F140" t="s">
        <v>23</v>
      </c>
      <c r="G140" t="s">
        <v>48</v>
      </c>
      <c r="H140" t="s">
        <v>124</v>
      </c>
      <c r="I140">
        <v>5</v>
      </c>
      <c r="J140">
        <v>0.15</v>
      </c>
      <c r="K140">
        <v>208332.35</v>
      </c>
      <c r="L140">
        <v>20197.43</v>
      </c>
      <c r="M140">
        <v>2025</v>
      </c>
      <c r="N140" t="s">
        <v>616</v>
      </c>
      <c r="O140" t="s">
        <v>625</v>
      </c>
      <c r="P140">
        <v>9.6948121595133926E-2</v>
      </c>
    </row>
    <row r="141" spans="1:16" x14ac:dyDescent="0.3">
      <c r="A141" t="s">
        <v>241</v>
      </c>
      <c r="B141" s="12">
        <v>45752</v>
      </c>
      <c r="C141" t="s">
        <v>20</v>
      </c>
      <c r="D141" t="s">
        <v>33</v>
      </c>
      <c r="E141" t="s">
        <v>45</v>
      </c>
      <c r="F141" t="s">
        <v>23</v>
      </c>
      <c r="G141" t="s">
        <v>24</v>
      </c>
      <c r="H141" t="s">
        <v>25</v>
      </c>
      <c r="I141">
        <v>3</v>
      </c>
      <c r="J141">
        <v>0.05</v>
      </c>
      <c r="K141">
        <v>85869.03</v>
      </c>
      <c r="L141">
        <v>9042.51</v>
      </c>
      <c r="M141">
        <v>2025</v>
      </c>
      <c r="N141" t="s">
        <v>616</v>
      </c>
      <c r="O141" t="s">
        <v>625</v>
      </c>
      <c r="P141">
        <v>0.10530583610878101</v>
      </c>
    </row>
    <row r="142" spans="1:16" x14ac:dyDescent="0.3">
      <c r="A142" t="s">
        <v>242</v>
      </c>
      <c r="B142" s="12">
        <v>45753</v>
      </c>
      <c r="C142" t="s">
        <v>82</v>
      </c>
      <c r="D142" t="s">
        <v>33</v>
      </c>
      <c r="E142" t="s">
        <v>34</v>
      </c>
      <c r="F142" t="s">
        <v>16</v>
      </c>
      <c r="G142" t="s">
        <v>68</v>
      </c>
      <c r="H142" t="s">
        <v>175</v>
      </c>
      <c r="I142">
        <v>6</v>
      </c>
      <c r="J142">
        <v>0.1</v>
      </c>
      <c r="K142">
        <v>44620.62</v>
      </c>
      <c r="L142">
        <v>9310.11</v>
      </c>
      <c r="M142">
        <v>2025</v>
      </c>
      <c r="N142" t="s">
        <v>616</v>
      </c>
      <c r="O142" t="s">
        <v>625</v>
      </c>
      <c r="P142">
        <v>0.20865039526568657</v>
      </c>
    </row>
    <row r="143" spans="1:16" x14ac:dyDescent="0.3">
      <c r="A143" t="s">
        <v>243</v>
      </c>
      <c r="B143" s="12">
        <v>45754</v>
      </c>
      <c r="C143" t="s">
        <v>77</v>
      </c>
      <c r="D143" t="s">
        <v>21</v>
      </c>
      <c r="E143" t="s">
        <v>57</v>
      </c>
      <c r="F143" t="s">
        <v>23</v>
      </c>
      <c r="G143" t="s">
        <v>58</v>
      </c>
      <c r="H143" t="s">
        <v>78</v>
      </c>
      <c r="I143">
        <v>5</v>
      </c>
      <c r="J143">
        <v>0.1</v>
      </c>
      <c r="K143">
        <v>226275.4</v>
      </c>
      <c r="L143">
        <v>42066.43</v>
      </c>
      <c r="M143">
        <v>2025</v>
      </c>
      <c r="N143" t="s">
        <v>616</v>
      </c>
      <c r="O143" t="s">
        <v>625</v>
      </c>
      <c r="P143">
        <v>0.1859081013667416</v>
      </c>
    </row>
    <row r="144" spans="1:16" x14ac:dyDescent="0.3">
      <c r="A144" t="s">
        <v>244</v>
      </c>
      <c r="B144" s="12">
        <v>45755</v>
      </c>
      <c r="C144" t="s">
        <v>111</v>
      </c>
      <c r="D144" t="s">
        <v>14</v>
      </c>
      <c r="E144" t="s">
        <v>114</v>
      </c>
      <c r="F144" t="s">
        <v>16</v>
      </c>
      <c r="G144" t="s">
        <v>68</v>
      </c>
      <c r="H144" t="s">
        <v>69</v>
      </c>
      <c r="I144">
        <v>6</v>
      </c>
      <c r="J144">
        <v>0</v>
      </c>
      <c r="K144">
        <v>39968.46</v>
      </c>
      <c r="L144">
        <v>4221.55</v>
      </c>
      <c r="M144">
        <v>2025</v>
      </c>
      <c r="N144" t="s">
        <v>616</v>
      </c>
      <c r="O144" t="s">
        <v>625</v>
      </c>
      <c r="P144">
        <v>0.10562203297299921</v>
      </c>
    </row>
    <row r="145" spans="1:16" x14ac:dyDescent="0.3">
      <c r="A145" t="s">
        <v>245</v>
      </c>
      <c r="B145" s="12">
        <v>45755</v>
      </c>
      <c r="C145" t="s">
        <v>143</v>
      </c>
      <c r="D145" t="s">
        <v>33</v>
      </c>
      <c r="E145" t="s">
        <v>140</v>
      </c>
      <c r="F145" t="s">
        <v>23</v>
      </c>
      <c r="G145" t="s">
        <v>48</v>
      </c>
      <c r="H145" t="s">
        <v>118</v>
      </c>
      <c r="I145">
        <v>2</v>
      </c>
      <c r="J145">
        <v>0.05</v>
      </c>
      <c r="K145">
        <v>17912.22</v>
      </c>
      <c r="L145">
        <v>3142.02</v>
      </c>
      <c r="M145">
        <v>2025</v>
      </c>
      <c r="N145" t="s">
        <v>616</v>
      </c>
      <c r="O145" t="s">
        <v>625</v>
      </c>
      <c r="P145">
        <v>0.17541209297340027</v>
      </c>
    </row>
    <row r="146" spans="1:16" x14ac:dyDescent="0.3">
      <c r="A146" t="s">
        <v>246</v>
      </c>
      <c r="B146" s="12">
        <v>45755</v>
      </c>
      <c r="C146" t="s">
        <v>95</v>
      </c>
      <c r="D146" t="s">
        <v>14</v>
      </c>
      <c r="E146" t="s">
        <v>54</v>
      </c>
      <c r="F146" t="s">
        <v>16</v>
      </c>
      <c r="G146" t="s">
        <v>17</v>
      </c>
      <c r="H146" t="s">
        <v>88</v>
      </c>
      <c r="I146">
        <v>4</v>
      </c>
      <c r="J146">
        <v>0.15</v>
      </c>
      <c r="K146">
        <v>23776.44</v>
      </c>
      <c r="L146">
        <v>2568.9899999999998</v>
      </c>
      <c r="M146">
        <v>2025</v>
      </c>
      <c r="N146" t="s">
        <v>616</v>
      </c>
      <c r="O146" t="s">
        <v>625</v>
      </c>
      <c r="P146">
        <v>0.10804771446019673</v>
      </c>
    </row>
    <row r="147" spans="1:16" x14ac:dyDescent="0.3">
      <c r="A147" t="s">
        <v>247</v>
      </c>
      <c r="B147" s="12">
        <v>45756</v>
      </c>
      <c r="C147" t="s">
        <v>51</v>
      </c>
      <c r="D147" t="s">
        <v>14</v>
      </c>
      <c r="E147" t="s">
        <v>114</v>
      </c>
      <c r="F147" t="s">
        <v>23</v>
      </c>
      <c r="G147" t="s">
        <v>35</v>
      </c>
      <c r="H147" t="s">
        <v>155</v>
      </c>
      <c r="I147">
        <v>6</v>
      </c>
      <c r="J147">
        <v>0</v>
      </c>
      <c r="K147">
        <v>266705.21999999997</v>
      </c>
      <c r="L147">
        <v>38698.28</v>
      </c>
      <c r="M147">
        <v>2025</v>
      </c>
      <c r="N147" t="s">
        <v>616</v>
      </c>
      <c r="O147" t="s">
        <v>625</v>
      </c>
      <c r="P147">
        <v>0.14509757251845315</v>
      </c>
    </row>
    <row r="148" spans="1:16" x14ac:dyDescent="0.3">
      <c r="A148" t="s">
        <v>248</v>
      </c>
      <c r="B148" s="12">
        <v>45757</v>
      </c>
      <c r="C148" t="s">
        <v>95</v>
      </c>
      <c r="D148" t="s">
        <v>33</v>
      </c>
      <c r="E148" t="s">
        <v>45</v>
      </c>
      <c r="F148" t="s">
        <v>16</v>
      </c>
      <c r="G148" t="s">
        <v>68</v>
      </c>
      <c r="H148" t="s">
        <v>69</v>
      </c>
      <c r="I148">
        <v>4</v>
      </c>
      <c r="J148">
        <v>0.05</v>
      </c>
      <c r="K148">
        <v>19232.2</v>
      </c>
      <c r="L148">
        <v>4253.8599999999997</v>
      </c>
      <c r="M148">
        <v>2025</v>
      </c>
      <c r="N148" t="s">
        <v>616</v>
      </c>
      <c r="O148" t="s">
        <v>625</v>
      </c>
      <c r="P148">
        <v>0.22118426389076651</v>
      </c>
    </row>
    <row r="149" spans="1:16" x14ac:dyDescent="0.3">
      <c r="A149" t="s">
        <v>249</v>
      </c>
      <c r="B149" s="12">
        <v>45758</v>
      </c>
      <c r="C149" t="s">
        <v>38</v>
      </c>
      <c r="D149" t="s">
        <v>39</v>
      </c>
      <c r="E149" t="s">
        <v>40</v>
      </c>
      <c r="F149" t="s">
        <v>23</v>
      </c>
      <c r="G149" t="s">
        <v>48</v>
      </c>
      <c r="H149" t="s">
        <v>49</v>
      </c>
      <c r="I149">
        <v>7</v>
      </c>
      <c r="J149">
        <v>0</v>
      </c>
      <c r="K149">
        <v>177938.18</v>
      </c>
      <c r="L149">
        <v>28632.84</v>
      </c>
      <c r="M149">
        <v>2025</v>
      </c>
      <c r="N149" t="s">
        <v>616</v>
      </c>
      <c r="O149" t="s">
        <v>625</v>
      </c>
      <c r="P149">
        <v>0.16091453784679602</v>
      </c>
    </row>
    <row r="150" spans="1:16" x14ac:dyDescent="0.3">
      <c r="A150" t="s">
        <v>250</v>
      </c>
      <c r="B150" s="12">
        <v>45758</v>
      </c>
      <c r="C150" t="s">
        <v>77</v>
      </c>
      <c r="D150" t="s">
        <v>14</v>
      </c>
      <c r="E150" t="s">
        <v>15</v>
      </c>
      <c r="F150" t="s">
        <v>23</v>
      </c>
      <c r="G150" t="s">
        <v>58</v>
      </c>
      <c r="H150" t="s">
        <v>90</v>
      </c>
      <c r="I150">
        <v>1</v>
      </c>
      <c r="J150">
        <v>0.05</v>
      </c>
      <c r="K150">
        <v>13925.63</v>
      </c>
      <c r="L150">
        <v>2060.37</v>
      </c>
      <c r="M150">
        <v>2025</v>
      </c>
      <c r="N150" t="s">
        <v>616</v>
      </c>
      <c r="O150" t="s">
        <v>625</v>
      </c>
      <c r="P150">
        <v>0.14795524511278843</v>
      </c>
    </row>
    <row r="151" spans="1:16" x14ac:dyDescent="0.3">
      <c r="A151" t="s">
        <v>251</v>
      </c>
      <c r="B151" s="12">
        <v>45760</v>
      </c>
      <c r="C151" t="s">
        <v>95</v>
      </c>
      <c r="D151" t="s">
        <v>33</v>
      </c>
      <c r="E151" t="s">
        <v>140</v>
      </c>
      <c r="F151" t="s">
        <v>16</v>
      </c>
      <c r="G151" t="s">
        <v>17</v>
      </c>
      <c r="H151" t="s">
        <v>153</v>
      </c>
      <c r="I151">
        <v>6</v>
      </c>
      <c r="J151">
        <v>0.05</v>
      </c>
      <c r="K151">
        <v>42160.32</v>
      </c>
      <c r="L151">
        <v>8373.0300000000007</v>
      </c>
      <c r="M151">
        <v>2025</v>
      </c>
      <c r="N151" t="s">
        <v>616</v>
      </c>
      <c r="O151" t="s">
        <v>625</v>
      </c>
      <c r="P151">
        <v>0.19859977343625476</v>
      </c>
    </row>
    <row r="152" spans="1:16" x14ac:dyDescent="0.3">
      <c r="A152" t="s">
        <v>252</v>
      </c>
      <c r="B152" s="12">
        <v>45760</v>
      </c>
      <c r="C152" t="s">
        <v>61</v>
      </c>
      <c r="D152" t="s">
        <v>21</v>
      </c>
      <c r="E152" t="s">
        <v>67</v>
      </c>
      <c r="F152" t="s">
        <v>16</v>
      </c>
      <c r="G152" t="s">
        <v>62</v>
      </c>
      <c r="H152" t="s">
        <v>167</v>
      </c>
      <c r="I152">
        <v>5</v>
      </c>
      <c r="J152">
        <v>0.1</v>
      </c>
      <c r="K152">
        <v>38714.699999999997</v>
      </c>
      <c r="L152">
        <v>2343.54</v>
      </c>
      <c r="M152">
        <v>2025</v>
      </c>
      <c r="N152" t="s">
        <v>616</v>
      </c>
      <c r="O152" t="s">
        <v>625</v>
      </c>
      <c r="P152">
        <v>6.0533595765949369E-2</v>
      </c>
    </row>
    <row r="153" spans="1:16" x14ac:dyDescent="0.3">
      <c r="A153" t="s">
        <v>253</v>
      </c>
      <c r="B153" s="12">
        <v>45761</v>
      </c>
      <c r="C153" t="s">
        <v>135</v>
      </c>
      <c r="D153" t="s">
        <v>33</v>
      </c>
      <c r="E153" t="s">
        <v>140</v>
      </c>
      <c r="F153" t="s">
        <v>23</v>
      </c>
      <c r="G153" t="s">
        <v>48</v>
      </c>
      <c r="H153" t="s">
        <v>124</v>
      </c>
      <c r="I153">
        <v>3</v>
      </c>
      <c r="J153">
        <v>0</v>
      </c>
      <c r="K153">
        <v>94517.4</v>
      </c>
      <c r="L153">
        <v>19573.95</v>
      </c>
      <c r="M153">
        <v>2025</v>
      </c>
      <c r="N153" t="s">
        <v>616</v>
      </c>
      <c r="O153" t="s">
        <v>625</v>
      </c>
      <c r="P153">
        <v>0.20709361450907454</v>
      </c>
    </row>
    <row r="154" spans="1:16" x14ac:dyDescent="0.3">
      <c r="A154" t="s">
        <v>254</v>
      </c>
      <c r="B154" s="12">
        <v>45761</v>
      </c>
      <c r="C154" t="s">
        <v>32</v>
      </c>
      <c r="D154" t="s">
        <v>33</v>
      </c>
      <c r="E154" t="s">
        <v>34</v>
      </c>
      <c r="F154" t="s">
        <v>28</v>
      </c>
      <c r="G154" t="s">
        <v>92</v>
      </c>
      <c r="H154" t="s">
        <v>93</v>
      </c>
      <c r="I154">
        <v>2</v>
      </c>
      <c r="J154">
        <v>0</v>
      </c>
      <c r="K154">
        <v>6644.1</v>
      </c>
      <c r="L154">
        <v>1158.49</v>
      </c>
      <c r="M154">
        <v>2025</v>
      </c>
      <c r="N154" t="s">
        <v>616</v>
      </c>
      <c r="O154" t="s">
        <v>625</v>
      </c>
      <c r="P154">
        <v>0.17436372119624929</v>
      </c>
    </row>
    <row r="155" spans="1:16" x14ac:dyDescent="0.3">
      <c r="A155" t="s">
        <v>255</v>
      </c>
      <c r="B155" s="12">
        <v>45762</v>
      </c>
      <c r="C155" t="s">
        <v>147</v>
      </c>
      <c r="D155" t="s">
        <v>39</v>
      </c>
      <c r="E155" t="s">
        <v>52</v>
      </c>
      <c r="F155" t="s">
        <v>28</v>
      </c>
      <c r="G155" t="s">
        <v>71</v>
      </c>
      <c r="H155" t="s">
        <v>121</v>
      </c>
      <c r="I155">
        <v>4</v>
      </c>
      <c r="J155">
        <v>0.05</v>
      </c>
      <c r="K155">
        <v>8459.48</v>
      </c>
      <c r="L155">
        <v>1759.93</v>
      </c>
      <c r="M155">
        <v>2025</v>
      </c>
      <c r="N155" t="s">
        <v>616</v>
      </c>
      <c r="O155" t="s">
        <v>625</v>
      </c>
      <c r="P155">
        <v>0.20804233829975366</v>
      </c>
    </row>
    <row r="156" spans="1:16" x14ac:dyDescent="0.3">
      <c r="A156" t="s">
        <v>256</v>
      </c>
      <c r="B156" s="12">
        <v>45763</v>
      </c>
      <c r="C156" t="s">
        <v>77</v>
      </c>
      <c r="D156" t="s">
        <v>14</v>
      </c>
      <c r="E156" t="s">
        <v>97</v>
      </c>
      <c r="F156" t="s">
        <v>28</v>
      </c>
      <c r="G156" t="s">
        <v>74</v>
      </c>
      <c r="H156" t="s">
        <v>159</v>
      </c>
      <c r="I156">
        <v>4</v>
      </c>
      <c r="J156">
        <v>0</v>
      </c>
      <c r="K156">
        <v>7738.92</v>
      </c>
      <c r="L156">
        <v>1177.1099999999999</v>
      </c>
      <c r="M156">
        <v>2025</v>
      </c>
      <c r="N156" t="s">
        <v>616</v>
      </c>
      <c r="O156" t="s">
        <v>625</v>
      </c>
      <c r="P156">
        <v>0.15210261897008884</v>
      </c>
    </row>
    <row r="157" spans="1:16" x14ac:dyDescent="0.3">
      <c r="A157" t="s">
        <v>257</v>
      </c>
      <c r="B157" s="12">
        <v>45763</v>
      </c>
      <c r="C157" t="s">
        <v>150</v>
      </c>
      <c r="D157" t="s">
        <v>21</v>
      </c>
      <c r="E157" t="s">
        <v>105</v>
      </c>
      <c r="F157" t="s">
        <v>28</v>
      </c>
      <c r="G157" t="s">
        <v>92</v>
      </c>
      <c r="H157" t="s">
        <v>204</v>
      </c>
      <c r="I157">
        <v>7</v>
      </c>
      <c r="J157">
        <v>0.2</v>
      </c>
      <c r="K157">
        <v>19154.169999999998</v>
      </c>
      <c r="L157">
        <v>3413.4</v>
      </c>
      <c r="M157">
        <v>2025</v>
      </c>
      <c r="N157" t="s">
        <v>616</v>
      </c>
      <c r="O157" t="s">
        <v>625</v>
      </c>
      <c r="P157">
        <v>0.17820662550243629</v>
      </c>
    </row>
    <row r="158" spans="1:16" x14ac:dyDescent="0.3">
      <c r="A158" t="s">
        <v>258</v>
      </c>
      <c r="B158" s="12">
        <v>45764</v>
      </c>
      <c r="C158" t="s">
        <v>13</v>
      </c>
      <c r="D158" t="s">
        <v>39</v>
      </c>
      <c r="E158" t="s">
        <v>128</v>
      </c>
      <c r="F158" t="s">
        <v>23</v>
      </c>
      <c r="G158" t="s">
        <v>24</v>
      </c>
      <c r="H158" t="s">
        <v>129</v>
      </c>
      <c r="I158">
        <v>7</v>
      </c>
      <c r="J158">
        <v>0.15</v>
      </c>
      <c r="K158">
        <v>98193.13</v>
      </c>
      <c r="L158">
        <v>17978.55</v>
      </c>
      <c r="M158">
        <v>2025</v>
      </c>
      <c r="N158" t="s">
        <v>616</v>
      </c>
      <c r="O158" t="s">
        <v>625</v>
      </c>
      <c r="P158">
        <v>0.1830937663357915</v>
      </c>
    </row>
    <row r="159" spans="1:16" x14ac:dyDescent="0.3">
      <c r="A159" t="s">
        <v>259</v>
      </c>
      <c r="B159" s="12">
        <v>45766</v>
      </c>
      <c r="C159" t="s">
        <v>95</v>
      </c>
      <c r="D159" t="s">
        <v>39</v>
      </c>
      <c r="E159" t="s">
        <v>128</v>
      </c>
      <c r="F159" t="s">
        <v>28</v>
      </c>
      <c r="G159" t="s">
        <v>29</v>
      </c>
      <c r="H159" t="s">
        <v>30</v>
      </c>
      <c r="I159">
        <v>7</v>
      </c>
      <c r="J159">
        <v>0.05</v>
      </c>
      <c r="K159">
        <v>24133.200000000001</v>
      </c>
      <c r="L159">
        <v>3681.34</v>
      </c>
      <c r="M159">
        <v>2025</v>
      </c>
      <c r="N159" t="s">
        <v>616</v>
      </c>
      <c r="O159" t="s">
        <v>625</v>
      </c>
      <c r="P159">
        <v>0.15254255548373197</v>
      </c>
    </row>
    <row r="160" spans="1:16" x14ac:dyDescent="0.3">
      <c r="A160" t="s">
        <v>260</v>
      </c>
      <c r="B160" s="12">
        <v>45767</v>
      </c>
      <c r="C160" t="s">
        <v>85</v>
      </c>
      <c r="D160" t="s">
        <v>21</v>
      </c>
      <c r="E160" t="s">
        <v>57</v>
      </c>
      <c r="F160" t="s">
        <v>23</v>
      </c>
      <c r="G160" t="s">
        <v>24</v>
      </c>
      <c r="H160" t="s">
        <v>129</v>
      </c>
      <c r="I160">
        <v>3</v>
      </c>
      <c r="J160">
        <v>0.05</v>
      </c>
      <c r="K160">
        <v>90266.76</v>
      </c>
      <c r="L160">
        <v>15799.82</v>
      </c>
      <c r="M160">
        <v>2025</v>
      </c>
      <c r="N160" t="s">
        <v>616</v>
      </c>
      <c r="O160" t="s">
        <v>625</v>
      </c>
      <c r="P160">
        <v>0.17503475254900033</v>
      </c>
    </row>
    <row r="161" spans="1:16" x14ac:dyDescent="0.3">
      <c r="A161" t="s">
        <v>261</v>
      </c>
      <c r="B161" s="12">
        <v>45767</v>
      </c>
      <c r="C161" t="s">
        <v>38</v>
      </c>
      <c r="D161" t="s">
        <v>14</v>
      </c>
      <c r="E161" t="s">
        <v>54</v>
      </c>
      <c r="F161" t="s">
        <v>28</v>
      </c>
      <c r="G161" t="s">
        <v>92</v>
      </c>
      <c r="H161" t="s">
        <v>204</v>
      </c>
      <c r="I161">
        <v>1</v>
      </c>
      <c r="J161">
        <v>0.2</v>
      </c>
      <c r="K161">
        <v>4946.24</v>
      </c>
      <c r="L161">
        <v>754.23</v>
      </c>
      <c r="M161">
        <v>2025</v>
      </c>
      <c r="N161" t="s">
        <v>616</v>
      </c>
      <c r="O161" t="s">
        <v>625</v>
      </c>
      <c r="P161">
        <v>0.15248552435789611</v>
      </c>
    </row>
    <row r="162" spans="1:16" x14ac:dyDescent="0.3">
      <c r="A162" t="s">
        <v>262</v>
      </c>
      <c r="B162" s="12">
        <v>45768</v>
      </c>
      <c r="C162" t="s">
        <v>56</v>
      </c>
      <c r="D162" t="s">
        <v>33</v>
      </c>
      <c r="E162" t="s">
        <v>34</v>
      </c>
      <c r="F162" t="s">
        <v>23</v>
      </c>
      <c r="G162" t="s">
        <v>24</v>
      </c>
      <c r="H162" t="s">
        <v>129</v>
      </c>
      <c r="I162">
        <v>4</v>
      </c>
      <c r="J162">
        <v>0.15</v>
      </c>
      <c r="K162">
        <v>119895.08</v>
      </c>
      <c r="L162">
        <v>14815.75</v>
      </c>
      <c r="M162">
        <v>2025</v>
      </c>
      <c r="N162" t="s">
        <v>616</v>
      </c>
      <c r="O162" t="s">
        <v>625</v>
      </c>
      <c r="P162">
        <v>0.12357262700020719</v>
      </c>
    </row>
    <row r="163" spans="1:16" x14ac:dyDescent="0.3">
      <c r="A163" t="s">
        <v>263</v>
      </c>
      <c r="B163" s="12">
        <v>45768</v>
      </c>
      <c r="C163" t="s">
        <v>111</v>
      </c>
      <c r="D163" t="s">
        <v>14</v>
      </c>
      <c r="E163" t="s">
        <v>15</v>
      </c>
      <c r="F163" t="s">
        <v>23</v>
      </c>
      <c r="G163" t="s">
        <v>24</v>
      </c>
      <c r="H163" t="s">
        <v>132</v>
      </c>
      <c r="I163">
        <v>1</v>
      </c>
      <c r="J163">
        <v>0.15</v>
      </c>
      <c r="K163">
        <v>45378.44</v>
      </c>
      <c r="L163">
        <v>1324.46</v>
      </c>
      <c r="M163">
        <v>2025</v>
      </c>
      <c r="N163" t="s">
        <v>616</v>
      </c>
      <c r="O163" t="s">
        <v>625</v>
      </c>
      <c r="P163">
        <v>2.918698835834815E-2</v>
      </c>
    </row>
    <row r="164" spans="1:16" x14ac:dyDescent="0.3">
      <c r="A164" t="s">
        <v>264</v>
      </c>
      <c r="B164" s="12">
        <v>45768</v>
      </c>
      <c r="C164" t="s">
        <v>13</v>
      </c>
      <c r="D164" t="s">
        <v>21</v>
      </c>
      <c r="E164" t="s">
        <v>105</v>
      </c>
      <c r="F164" t="s">
        <v>23</v>
      </c>
      <c r="G164" t="s">
        <v>58</v>
      </c>
      <c r="H164" t="s">
        <v>101</v>
      </c>
      <c r="I164">
        <v>7</v>
      </c>
      <c r="J164">
        <v>0.1</v>
      </c>
      <c r="K164">
        <v>49699.02</v>
      </c>
      <c r="L164">
        <v>3409.38</v>
      </c>
      <c r="M164">
        <v>2025</v>
      </c>
      <c r="N164" t="s">
        <v>616</v>
      </c>
      <c r="O164" t="s">
        <v>625</v>
      </c>
      <c r="P164">
        <v>6.860054785788533E-2</v>
      </c>
    </row>
    <row r="165" spans="1:16" x14ac:dyDescent="0.3">
      <c r="A165" t="s">
        <v>265</v>
      </c>
      <c r="B165" s="12">
        <v>45769</v>
      </c>
      <c r="C165" t="s">
        <v>109</v>
      </c>
      <c r="D165" t="s">
        <v>21</v>
      </c>
      <c r="E165" t="s">
        <v>57</v>
      </c>
      <c r="F165" t="s">
        <v>23</v>
      </c>
      <c r="G165" t="s">
        <v>48</v>
      </c>
      <c r="H165" t="s">
        <v>49</v>
      </c>
      <c r="I165">
        <v>1</v>
      </c>
      <c r="J165">
        <v>0.15</v>
      </c>
      <c r="K165">
        <v>25920.57</v>
      </c>
      <c r="L165">
        <v>3665.31</v>
      </c>
      <c r="M165">
        <v>2025</v>
      </c>
      <c r="N165" t="s">
        <v>616</v>
      </c>
      <c r="O165" t="s">
        <v>625</v>
      </c>
      <c r="P165">
        <v>0.1414054552041101</v>
      </c>
    </row>
    <row r="166" spans="1:16" x14ac:dyDescent="0.3">
      <c r="A166" t="s">
        <v>266</v>
      </c>
      <c r="B166" s="12">
        <v>45769</v>
      </c>
      <c r="C166" t="s">
        <v>85</v>
      </c>
      <c r="D166" t="s">
        <v>14</v>
      </c>
      <c r="E166" t="s">
        <v>15</v>
      </c>
      <c r="F166" t="s">
        <v>23</v>
      </c>
      <c r="G166" t="s">
        <v>58</v>
      </c>
      <c r="H166" t="s">
        <v>59</v>
      </c>
      <c r="I166">
        <v>1</v>
      </c>
      <c r="J166">
        <v>0.05</v>
      </c>
      <c r="K166">
        <v>28067.94</v>
      </c>
      <c r="L166">
        <v>5385.35</v>
      </c>
      <c r="M166">
        <v>2025</v>
      </c>
      <c r="N166" t="s">
        <v>616</v>
      </c>
      <c r="O166" t="s">
        <v>625</v>
      </c>
      <c r="P166">
        <v>0.19186837366760798</v>
      </c>
    </row>
    <row r="167" spans="1:16" x14ac:dyDescent="0.3">
      <c r="A167" t="s">
        <v>267</v>
      </c>
      <c r="B167" s="12">
        <v>45770</v>
      </c>
      <c r="C167" t="s">
        <v>38</v>
      </c>
      <c r="D167" t="s">
        <v>33</v>
      </c>
      <c r="E167" t="s">
        <v>86</v>
      </c>
      <c r="F167" t="s">
        <v>23</v>
      </c>
      <c r="G167" t="s">
        <v>24</v>
      </c>
      <c r="H167" t="s">
        <v>132</v>
      </c>
      <c r="I167">
        <v>5</v>
      </c>
      <c r="J167">
        <v>0.1</v>
      </c>
      <c r="K167">
        <v>175626.95</v>
      </c>
      <c r="L167">
        <v>16822.14</v>
      </c>
      <c r="M167">
        <v>2025</v>
      </c>
      <c r="N167" t="s">
        <v>616</v>
      </c>
      <c r="O167" t="s">
        <v>625</v>
      </c>
      <c r="P167">
        <v>9.5783363544148542E-2</v>
      </c>
    </row>
    <row r="168" spans="1:16" x14ac:dyDescent="0.3">
      <c r="A168" t="s">
        <v>268</v>
      </c>
      <c r="B168" s="12">
        <v>45770</v>
      </c>
      <c r="C168" t="s">
        <v>229</v>
      </c>
      <c r="D168" t="s">
        <v>21</v>
      </c>
      <c r="E168" t="s">
        <v>105</v>
      </c>
      <c r="F168" t="s">
        <v>23</v>
      </c>
      <c r="G168" t="s">
        <v>48</v>
      </c>
      <c r="H168" t="s">
        <v>118</v>
      </c>
      <c r="I168">
        <v>6</v>
      </c>
      <c r="J168">
        <v>0.15</v>
      </c>
      <c r="K168">
        <v>170005.8</v>
      </c>
      <c r="L168">
        <v>9933.06</v>
      </c>
      <c r="M168">
        <v>2025</v>
      </c>
      <c r="N168" t="s">
        <v>616</v>
      </c>
      <c r="O168" t="s">
        <v>625</v>
      </c>
      <c r="P168">
        <v>5.8427771287803125E-2</v>
      </c>
    </row>
    <row r="169" spans="1:16" x14ac:dyDescent="0.3">
      <c r="A169" t="s">
        <v>269</v>
      </c>
      <c r="B169" s="12">
        <v>45771</v>
      </c>
      <c r="C169" t="s">
        <v>38</v>
      </c>
      <c r="D169" t="s">
        <v>33</v>
      </c>
      <c r="E169" t="s">
        <v>34</v>
      </c>
      <c r="F169" t="s">
        <v>23</v>
      </c>
      <c r="G169" t="s">
        <v>35</v>
      </c>
      <c r="H169" t="s">
        <v>36</v>
      </c>
      <c r="I169">
        <v>4</v>
      </c>
      <c r="J169">
        <v>0.2</v>
      </c>
      <c r="K169">
        <v>50568.32</v>
      </c>
      <c r="L169">
        <v>6316.84</v>
      </c>
      <c r="M169">
        <v>2025</v>
      </c>
      <c r="N169" t="s">
        <v>616</v>
      </c>
      <c r="O169" t="s">
        <v>625</v>
      </c>
      <c r="P169">
        <v>0.12491694404718211</v>
      </c>
    </row>
    <row r="170" spans="1:16" x14ac:dyDescent="0.3">
      <c r="A170" t="s">
        <v>270</v>
      </c>
      <c r="B170" s="12">
        <v>45772</v>
      </c>
      <c r="C170" t="s">
        <v>66</v>
      </c>
      <c r="D170" t="s">
        <v>14</v>
      </c>
      <c r="E170" t="s">
        <v>15</v>
      </c>
      <c r="F170" t="s">
        <v>28</v>
      </c>
      <c r="G170" t="s">
        <v>29</v>
      </c>
      <c r="H170" t="s">
        <v>98</v>
      </c>
      <c r="I170">
        <v>2</v>
      </c>
      <c r="J170">
        <v>0.15</v>
      </c>
      <c r="K170">
        <v>5288.4</v>
      </c>
      <c r="L170">
        <v>425.03</v>
      </c>
      <c r="M170">
        <v>2025</v>
      </c>
      <c r="N170" t="s">
        <v>616</v>
      </c>
      <c r="O170" t="s">
        <v>625</v>
      </c>
      <c r="P170">
        <v>8.0370244308297409E-2</v>
      </c>
    </row>
    <row r="171" spans="1:16" x14ac:dyDescent="0.3">
      <c r="A171" t="s">
        <v>271</v>
      </c>
      <c r="B171" s="12">
        <v>45772</v>
      </c>
      <c r="C171" t="s">
        <v>27</v>
      </c>
      <c r="D171" t="s">
        <v>21</v>
      </c>
      <c r="E171" t="s">
        <v>67</v>
      </c>
      <c r="F171" t="s">
        <v>23</v>
      </c>
      <c r="G171" t="s">
        <v>48</v>
      </c>
      <c r="H171" t="s">
        <v>118</v>
      </c>
      <c r="I171">
        <v>7</v>
      </c>
      <c r="J171">
        <v>0.2</v>
      </c>
      <c r="K171">
        <v>46295.97</v>
      </c>
      <c r="L171">
        <v>3204.48</v>
      </c>
      <c r="M171">
        <v>2025</v>
      </c>
      <c r="N171" t="s">
        <v>616</v>
      </c>
      <c r="O171" t="s">
        <v>625</v>
      </c>
      <c r="P171">
        <v>6.921725584321918E-2</v>
      </c>
    </row>
    <row r="172" spans="1:16" x14ac:dyDescent="0.3">
      <c r="A172" t="s">
        <v>272</v>
      </c>
      <c r="B172" s="12">
        <v>45773</v>
      </c>
      <c r="C172" t="s">
        <v>85</v>
      </c>
      <c r="D172" t="s">
        <v>33</v>
      </c>
      <c r="E172" t="s">
        <v>140</v>
      </c>
      <c r="F172" t="s">
        <v>16</v>
      </c>
      <c r="G172" t="s">
        <v>68</v>
      </c>
      <c r="H172" t="s">
        <v>69</v>
      </c>
      <c r="I172">
        <v>1</v>
      </c>
      <c r="J172">
        <v>0.1</v>
      </c>
      <c r="K172">
        <v>4004.98</v>
      </c>
      <c r="L172">
        <v>464.42</v>
      </c>
      <c r="M172">
        <v>2025</v>
      </c>
      <c r="N172" t="s">
        <v>616</v>
      </c>
      <c r="O172" t="s">
        <v>625</v>
      </c>
      <c r="P172">
        <v>0.115960629016874</v>
      </c>
    </row>
    <row r="173" spans="1:16" x14ac:dyDescent="0.3">
      <c r="A173" t="s">
        <v>273</v>
      </c>
      <c r="B173" s="12">
        <v>45773</v>
      </c>
      <c r="C173" t="s">
        <v>100</v>
      </c>
      <c r="D173" t="s">
        <v>39</v>
      </c>
      <c r="E173" t="s">
        <v>52</v>
      </c>
      <c r="F173" t="s">
        <v>28</v>
      </c>
      <c r="G173" t="s">
        <v>74</v>
      </c>
      <c r="H173" t="s">
        <v>80</v>
      </c>
      <c r="I173">
        <v>1</v>
      </c>
      <c r="J173">
        <v>0.15</v>
      </c>
      <c r="K173">
        <v>891.98</v>
      </c>
      <c r="L173">
        <v>112.58</v>
      </c>
      <c r="M173">
        <v>2025</v>
      </c>
      <c r="N173" t="s">
        <v>616</v>
      </c>
      <c r="O173" t="s">
        <v>627</v>
      </c>
      <c r="P173">
        <v>0.12621359223300971</v>
      </c>
    </row>
    <row r="174" spans="1:16" x14ac:dyDescent="0.3">
      <c r="A174" t="s">
        <v>274</v>
      </c>
      <c r="B174" s="12">
        <v>45773</v>
      </c>
      <c r="C174" t="s">
        <v>85</v>
      </c>
      <c r="D174" t="s">
        <v>14</v>
      </c>
      <c r="E174" t="s">
        <v>114</v>
      </c>
      <c r="F174" t="s">
        <v>23</v>
      </c>
      <c r="G174" t="s">
        <v>58</v>
      </c>
      <c r="H174" t="s">
        <v>59</v>
      </c>
      <c r="I174">
        <v>5</v>
      </c>
      <c r="J174">
        <v>0.1</v>
      </c>
      <c r="K174">
        <v>66806.05</v>
      </c>
      <c r="L174">
        <v>9750.1</v>
      </c>
      <c r="M174">
        <v>2025</v>
      </c>
      <c r="N174" t="s">
        <v>616</v>
      </c>
      <c r="O174" t="s">
        <v>625</v>
      </c>
      <c r="P174">
        <v>0.14594636264230559</v>
      </c>
    </row>
    <row r="175" spans="1:16" x14ac:dyDescent="0.3">
      <c r="A175" t="s">
        <v>275</v>
      </c>
      <c r="B175" s="12">
        <v>45773</v>
      </c>
      <c r="C175" t="s">
        <v>109</v>
      </c>
      <c r="D175" t="s">
        <v>33</v>
      </c>
      <c r="E175" t="s">
        <v>86</v>
      </c>
      <c r="F175" t="s">
        <v>28</v>
      </c>
      <c r="G175" t="s">
        <v>29</v>
      </c>
      <c r="H175" t="s">
        <v>30</v>
      </c>
      <c r="I175">
        <v>2</v>
      </c>
      <c r="J175">
        <v>0</v>
      </c>
      <c r="K175">
        <v>8430.2000000000007</v>
      </c>
      <c r="L175">
        <v>730.21</v>
      </c>
      <c r="M175">
        <v>2025</v>
      </c>
      <c r="N175" t="s">
        <v>616</v>
      </c>
      <c r="O175" t="s">
        <v>625</v>
      </c>
      <c r="P175">
        <v>8.6618348319138339E-2</v>
      </c>
    </row>
    <row r="176" spans="1:16" x14ac:dyDescent="0.3">
      <c r="A176" t="s">
        <v>276</v>
      </c>
      <c r="B176" s="12">
        <v>45774</v>
      </c>
      <c r="C176" t="s">
        <v>95</v>
      </c>
      <c r="D176" t="s">
        <v>14</v>
      </c>
      <c r="E176" t="s">
        <v>15</v>
      </c>
      <c r="F176" t="s">
        <v>16</v>
      </c>
      <c r="G176" t="s">
        <v>62</v>
      </c>
      <c r="H176" t="s">
        <v>167</v>
      </c>
      <c r="I176">
        <v>3</v>
      </c>
      <c r="J176">
        <v>0.15</v>
      </c>
      <c r="K176">
        <v>13694.4</v>
      </c>
      <c r="L176">
        <v>465.02</v>
      </c>
      <c r="M176">
        <v>2025</v>
      </c>
      <c r="N176" t="s">
        <v>616</v>
      </c>
      <c r="O176" t="s">
        <v>625</v>
      </c>
      <c r="P176">
        <v>3.3956945904895432E-2</v>
      </c>
    </row>
    <row r="177" spans="1:16" x14ac:dyDescent="0.3">
      <c r="A177" t="s">
        <v>277</v>
      </c>
      <c r="B177" s="12">
        <v>45774</v>
      </c>
      <c r="C177" t="s">
        <v>95</v>
      </c>
      <c r="D177" t="s">
        <v>21</v>
      </c>
      <c r="E177" t="s">
        <v>57</v>
      </c>
      <c r="F177" t="s">
        <v>23</v>
      </c>
      <c r="G177" t="s">
        <v>24</v>
      </c>
      <c r="H177" t="s">
        <v>25</v>
      </c>
      <c r="I177">
        <v>4</v>
      </c>
      <c r="J177">
        <v>0.05</v>
      </c>
      <c r="K177">
        <v>175089.68</v>
      </c>
      <c r="L177">
        <v>34545.64</v>
      </c>
      <c r="M177">
        <v>2025</v>
      </c>
      <c r="N177" t="s">
        <v>616</v>
      </c>
      <c r="O177" t="s">
        <v>625</v>
      </c>
      <c r="P177">
        <v>0.1973025480428087</v>
      </c>
    </row>
    <row r="178" spans="1:16" x14ac:dyDescent="0.3">
      <c r="A178" t="s">
        <v>278</v>
      </c>
      <c r="B178" s="12">
        <v>45774</v>
      </c>
      <c r="C178" t="s">
        <v>111</v>
      </c>
      <c r="D178" t="s">
        <v>39</v>
      </c>
      <c r="E178" t="s">
        <v>52</v>
      </c>
      <c r="F178" t="s">
        <v>16</v>
      </c>
      <c r="G178" t="s">
        <v>62</v>
      </c>
      <c r="H178" t="s">
        <v>63</v>
      </c>
      <c r="I178">
        <v>2</v>
      </c>
      <c r="J178">
        <v>0.2</v>
      </c>
      <c r="K178">
        <v>1279.56</v>
      </c>
      <c r="L178">
        <v>22.18</v>
      </c>
      <c r="M178">
        <v>2025</v>
      </c>
      <c r="N178" t="s">
        <v>616</v>
      </c>
      <c r="O178" t="s">
        <v>625</v>
      </c>
      <c r="P178">
        <v>1.7334083591234489E-2</v>
      </c>
    </row>
    <row r="179" spans="1:16" x14ac:dyDescent="0.3">
      <c r="A179" t="s">
        <v>279</v>
      </c>
      <c r="B179" s="12">
        <v>45775</v>
      </c>
      <c r="C179" t="s">
        <v>85</v>
      </c>
      <c r="D179" t="s">
        <v>14</v>
      </c>
      <c r="E179" t="s">
        <v>114</v>
      </c>
      <c r="F179" t="s">
        <v>28</v>
      </c>
      <c r="G179" t="s">
        <v>92</v>
      </c>
      <c r="H179" t="s">
        <v>93</v>
      </c>
      <c r="I179">
        <v>1</v>
      </c>
      <c r="J179">
        <v>0.15</v>
      </c>
      <c r="K179">
        <v>2164.12</v>
      </c>
      <c r="L179">
        <v>242.05</v>
      </c>
      <c r="M179">
        <v>2025</v>
      </c>
      <c r="N179" t="s">
        <v>616</v>
      </c>
      <c r="O179" t="s">
        <v>625</v>
      </c>
      <c r="P179">
        <v>0.11184684767942629</v>
      </c>
    </row>
    <row r="180" spans="1:16" x14ac:dyDescent="0.3">
      <c r="A180" t="s">
        <v>280</v>
      </c>
      <c r="B180" s="12">
        <v>45775</v>
      </c>
      <c r="C180" t="s">
        <v>150</v>
      </c>
      <c r="D180" t="s">
        <v>39</v>
      </c>
      <c r="E180" t="s">
        <v>40</v>
      </c>
      <c r="F180" t="s">
        <v>16</v>
      </c>
      <c r="G180" t="s">
        <v>41</v>
      </c>
      <c r="H180" t="s">
        <v>177</v>
      </c>
      <c r="I180">
        <v>6</v>
      </c>
      <c r="J180">
        <v>0.1</v>
      </c>
      <c r="K180">
        <v>69230.52</v>
      </c>
      <c r="L180">
        <v>9669.3799999999992</v>
      </c>
      <c r="M180">
        <v>2025</v>
      </c>
      <c r="N180" t="s">
        <v>616</v>
      </c>
      <c r="O180" t="s">
        <v>625</v>
      </c>
      <c r="P180">
        <v>0.13966932503179233</v>
      </c>
    </row>
    <row r="181" spans="1:16" x14ac:dyDescent="0.3">
      <c r="A181" t="s">
        <v>281</v>
      </c>
      <c r="B181" s="12">
        <v>45777</v>
      </c>
      <c r="C181" t="s">
        <v>111</v>
      </c>
      <c r="D181" t="s">
        <v>39</v>
      </c>
      <c r="E181" t="s">
        <v>47</v>
      </c>
      <c r="F181" t="s">
        <v>16</v>
      </c>
      <c r="G181" t="s">
        <v>41</v>
      </c>
      <c r="H181" t="s">
        <v>42</v>
      </c>
      <c r="I181">
        <v>5</v>
      </c>
      <c r="J181">
        <v>0</v>
      </c>
      <c r="K181">
        <v>33590.15</v>
      </c>
      <c r="L181">
        <v>4068.5</v>
      </c>
      <c r="M181">
        <v>2025</v>
      </c>
      <c r="N181" t="s">
        <v>616</v>
      </c>
      <c r="O181" t="s">
        <v>625</v>
      </c>
      <c r="P181">
        <v>0.12112181696122226</v>
      </c>
    </row>
    <row r="182" spans="1:16" x14ac:dyDescent="0.3">
      <c r="A182" t="s">
        <v>282</v>
      </c>
      <c r="B182" s="12">
        <v>45777</v>
      </c>
      <c r="C182" t="s">
        <v>147</v>
      </c>
      <c r="D182" t="s">
        <v>33</v>
      </c>
      <c r="E182" t="s">
        <v>140</v>
      </c>
      <c r="F182" t="s">
        <v>23</v>
      </c>
      <c r="G182" t="s">
        <v>48</v>
      </c>
      <c r="H182" t="s">
        <v>124</v>
      </c>
      <c r="I182">
        <v>6</v>
      </c>
      <c r="J182">
        <v>0.1</v>
      </c>
      <c r="K182">
        <v>256977.78</v>
      </c>
      <c r="L182">
        <v>19551.490000000002</v>
      </c>
      <c r="M182">
        <v>2025</v>
      </c>
      <c r="N182" t="s">
        <v>616</v>
      </c>
      <c r="O182" t="s">
        <v>625</v>
      </c>
      <c r="P182">
        <v>7.608241459631257E-2</v>
      </c>
    </row>
    <row r="183" spans="1:16" x14ac:dyDescent="0.3">
      <c r="A183" t="s">
        <v>283</v>
      </c>
      <c r="B183" s="12">
        <v>45777</v>
      </c>
      <c r="C183" t="s">
        <v>51</v>
      </c>
      <c r="D183" t="s">
        <v>39</v>
      </c>
      <c r="E183" t="s">
        <v>47</v>
      </c>
      <c r="F183" t="s">
        <v>23</v>
      </c>
      <c r="G183" t="s">
        <v>24</v>
      </c>
      <c r="H183" t="s">
        <v>129</v>
      </c>
      <c r="I183">
        <v>4</v>
      </c>
      <c r="J183">
        <v>0.15</v>
      </c>
      <c r="K183">
        <v>173277.76</v>
      </c>
      <c r="L183">
        <v>20669.259999999998</v>
      </c>
      <c r="M183">
        <v>2025</v>
      </c>
      <c r="N183" t="s">
        <v>616</v>
      </c>
      <c r="O183" t="s">
        <v>625</v>
      </c>
      <c r="P183">
        <v>0.11928397504676883</v>
      </c>
    </row>
    <row r="184" spans="1:16" x14ac:dyDescent="0.3">
      <c r="A184" t="s">
        <v>284</v>
      </c>
      <c r="B184" s="12">
        <v>45777</v>
      </c>
      <c r="C184" t="s">
        <v>82</v>
      </c>
      <c r="D184" t="s">
        <v>14</v>
      </c>
      <c r="E184" t="s">
        <v>54</v>
      </c>
      <c r="F184" t="s">
        <v>16</v>
      </c>
      <c r="G184" t="s">
        <v>62</v>
      </c>
      <c r="H184" t="s">
        <v>63</v>
      </c>
      <c r="I184">
        <v>1</v>
      </c>
      <c r="J184">
        <v>0</v>
      </c>
      <c r="K184">
        <v>5848.14</v>
      </c>
      <c r="L184">
        <v>950.12</v>
      </c>
      <c r="M184">
        <v>2025</v>
      </c>
      <c r="N184" t="s">
        <v>616</v>
      </c>
      <c r="O184" t="s">
        <v>625</v>
      </c>
      <c r="P184">
        <v>0.16246533085733242</v>
      </c>
    </row>
    <row r="185" spans="1:16" x14ac:dyDescent="0.3">
      <c r="A185" t="s">
        <v>285</v>
      </c>
      <c r="B185" s="12">
        <v>45778</v>
      </c>
      <c r="C185" t="s">
        <v>143</v>
      </c>
      <c r="D185" t="s">
        <v>14</v>
      </c>
      <c r="E185" t="s">
        <v>97</v>
      </c>
      <c r="F185" t="s">
        <v>16</v>
      </c>
      <c r="G185" t="s">
        <v>62</v>
      </c>
      <c r="H185" t="s">
        <v>167</v>
      </c>
      <c r="I185">
        <v>3</v>
      </c>
      <c r="J185">
        <v>0.1</v>
      </c>
      <c r="K185">
        <v>10828.56</v>
      </c>
      <c r="L185">
        <v>2082.4699999999998</v>
      </c>
      <c r="M185">
        <v>2025</v>
      </c>
      <c r="N185" t="s">
        <v>617</v>
      </c>
      <c r="O185" t="s">
        <v>625</v>
      </c>
      <c r="P185">
        <v>0.19231273595011708</v>
      </c>
    </row>
    <row r="186" spans="1:16" x14ac:dyDescent="0.3">
      <c r="A186" t="s">
        <v>286</v>
      </c>
      <c r="B186" s="12">
        <v>45779</v>
      </c>
      <c r="C186" t="s">
        <v>109</v>
      </c>
      <c r="D186" t="s">
        <v>39</v>
      </c>
      <c r="E186" t="s">
        <v>128</v>
      </c>
      <c r="F186" t="s">
        <v>16</v>
      </c>
      <c r="G186" t="s">
        <v>17</v>
      </c>
      <c r="H186" t="s">
        <v>18</v>
      </c>
      <c r="I186">
        <v>7</v>
      </c>
      <c r="J186">
        <v>0</v>
      </c>
      <c r="K186">
        <v>71644.37</v>
      </c>
      <c r="L186">
        <v>12357.42</v>
      </c>
      <c r="M186">
        <v>2025</v>
      </c>
      <c r="N186" t="s">
        <v>617</v>
      </c>
      <c r="O186" t="s">
        <v>625</v>
      </c>
      <c r="P186">
        <v>0.17248277847931387</v>
      </c>
    </row>
    <row r="187" spans="1:16" x14ac:dyDescent="0.3">
      <c r="A187" t="s">
        <v>287</v>
      </c>
      <c r="B187" s="12">
        <v>45779</v>
      </c>
      <c r="C187" t="s">
        <v>135</v>
      </c>
      <c r="D187" t="s">
        <v>33</v>
      </c>
      <c r="E187" t="s">
        <v>140</v>
      </c>
      <c r="F187" t="s">
        <v>23</v>
      </c>
      <c r="G187" t="s">
        <v>35</v>
      </c>
      <c r="H187" t="s">
        <v>36</v>
      </c>
      <c r="I187">
        <v>2</v>
      </c>
      <c r="J187">
        <v>0.1</v>
      </c>
      <c r="K187">
        <v>17962.28</v>
      </c>
      <c r="L187">
        <v>1371.3</v>
      </c>
      <c r="M187">
        <v>2025</v>
      </c>
      <c r="N187" t="s">
        <v>617</v>
      </c>
      <c r="O187" t="s">
        <v>625</v>
      </c>
      <c r="P187">
        <v>7.6343314991192651E-2</v>
      </c>
    </row>
    <row r="188" spans="1:16" x14ac:dyDescent="0.3">
      <c r="A188" t="s">
        <v>288</v>
      </c>
      <c r="B188" s="12">
        <v>45781</v>
      </c>
      <c r="C188" t="s">
        <v>100</v>
      </c>
      <c r="D188" t="s">
        <v>39</v>
      </c>
      <c r="E188" t="s">
        <v>40</v>
      </c>
      <c r="F188" t="s">
        <v>23</v>
      </c>
      <c r="G188" t="s">
        <v>58</v>
      </c>
      <c r="H188" t="s">
        <v>59</v>
      </c>
      <c r="I188">
        <v>7</v>
      </c>
      <c r="J188">
        <v>0.2</v>
      </c>
      <c r="K188">
        <v>202552.84</v>
      </c>
      <c r="L188">
        <v>8377.7800000000007</v>
      </c>
      <c r="M188">
        <v>2025</v>
      </c>
      <c r="N188" t="s">
        <v>617</v>
      </c>
      <c r="O188" t="s">
        <v>625</v>
      </c>
      <c r="P188">
        <v>4.136096042889352E-2</v>
      </c>
    </row>
    <row r="189" spans="1:16" x14ac:dyDescent="0.3">
      <c r="A189" t="s">
        <v>289</v>
      </c>
      <c r="B189" s="12">
        <v>45782</v>
      </c>
      <c r="C189" t="s">
        <v>51</v>
      </c>
      <c r="D189" t="s">
        <v>39</v>
      </c>
      <c r="E189" t="s">
        <v>128</v>
      </c>
      <c r="F189" t="s">
        <v>28</v>
      </c>
      <c r="G189" t="s">
        <v>29</v>
      </c>
      <c r="H189" t="s">
        <v>98</v>
      </c>
      <c r="I189">
        <v>3</v>
      </c>
      <c r="J189">
        <v>0.2</v>
      </c>
      <c r="K189">
        <v>9457.6200000000008</v>
      </c>
      <c r="L189">
        <v>1273.27</v>
      </c>
      <c r="M189">
        <v>2025</v>
      </c>
      <c r="N189" t="s">
        <v>617</v>
      </c>
      <c r="O189" t="s">
        <v>625</v>
      </c>
      <c r="P189">
        <v>0.13462900814369788</v>
      </c>
    </row>
    <row r="190" spans="1:16" x14ac:dyDescent="0.3">
      <c r="A190" t="s">
        <v>290</v>
      </c>
      <c r="B190" s="12">
        <v>45782</v>
      </c>
      <c r="C190" t="s">
        <v>138</v>
      </c>
      <c r="D190" t="s">
        <v>33</v>
      </c>
      <c r="E190" t="s">
        <v>86</v>
      </c>
      <c r="F190" t="s">
        <v>16</v>
      </c>
      <c r="G190" t="s">
        <v>62</v>
      </c>
      <c r="H190" t="s">
        <v>167</v>
      </c>
      <c r="I190">
        <v>6</v>
      </c>
      <c r="J190">
        <v>0.15</v>
      </c>
      <c r="K190">
        <v>23050.560000000001</v>
      </c>
      <c r="L190">
        <v>2028.81</v>
      </c>
      <c r="M190">
        <v>2025</v>
      </c>
      <c r="N190" t="s">
        <v>617</v>
      </c>
      <c r="O190" t="s">
        <v>625</v>
      </c>
      <c r="P190">
        <v>8.8015649077506142E-2</v>
      </c>
    </row>
    <row r="191" spans="1:16" x14ac:dyDescent="0.3">
      <c r="A191" t="s">
        <v>291</v>
      </c>
      <c r="B191" s="12">
        <v>45783</v>
      </c>
      <c r="C191" t="s">
        <v>95</v>
      </c>
      <c r="D191" t="s">
        <v>21</v>
      </c>
      <c r="E191" t="s">
        <v>105</v>
      </c>
      <c r="F191" t="s">
        <v>16</v>
      </c>
      <c r="G191" t="s">
        <v>17</v>
      </c>
      <c r="H191" t="s">
        <v>88</v>
      </c>
      <c r="I191">
        <v>5</v>
      </c>
      <c r="J191">
        <v>0.15</v>
      </c>
      <c r="K191">
        <v>30643.55</v>
      </c>
      <c r="L191">
        <v>1263.9000000000001</v>
      </c>
      <c r="M191">
        <v>2025</v>
      </c>
      <c r="N191" t="s">
        <v>617</v>
      </c>
      <c r="O191" t="s">
        <v>625</v>
      </c>
      <c r="P191">
        <v>4.1245221261896878E-2</v>
      </c>
    </row>
    <row r="192" spans="1:16" x14ac:dyDescent="0.3">
      <c r="A192" t="s">
        <v>292</v>
      </c>
      <c r="B192" s="12">
        <v>45784</v>
      </c>
      <c r="C192" t="s">
        <v>100</v>
      </c>
      <c r="D192" t="s">
        <v>39</v>
      </c>
      <c r="E192" t="s">
        <v>128</v>
      </c>
      <c r="F192" t="s">
        <v>28</v>
      </c>
      <c r="G192" t="s">
        <v>74</v>
      </c>
      <c r="H192" t="s">
        <v>75</v>
      </c>
      <c r="I192">
        <v>1</v>
      </c>
      <c r="J192">
        <v>0</v>
      </c>
      <c r="K192">
        <v>3768.36</v>
      </c>
      <c r="L192">
        <v>301.56</v>
      </c>
      <c r="M192">
        <v>2025</v>
      </c>
      <c r="N192" t="s">
        <v>617</v>
      </c>
      <c r="O192" t="s">
        <v>625</v>
      </c>
      <c r="P192">
        <v>8.002420150940992E-2</v>
      </c>
    </row>
    <row r="193" spans="1:16" x14ac:dyDescent="0.3">
      <c r="A193" t="s">
        <v>293</v>
      </c>
      <c r="B193" s="12">
        <v>45784</v>
      </c>
      <c r="C193" t="s">
        <v>135</v>
      </c>
      <c r="D193" t="s">
        <v>14</v>
      </c>
      <c r="E193" t="s">
        <v>114</v>
      </c>
      <c r="F193" t="s">
        <v>16</v>
      </c>
      <c r="G193" t="s">
        <v>41</v>
      </c>
      <c r="H193" t="s">
        <v>177</v>
      </c>
      <c r="I193">
        <v>5</v>
      </c>
      <c r="J193">
        <v>0.15</v>
      </c>
      <c r="K193">
        <v>25188.1</v>
      </c>
      <c r="L193">
        <v>3817.92</v>
      </c>
      <c r="M193">
        <v>2025</v>
      </c>
      <c r="N193" t="s">
        <v>617</v>
      </c>
      <c r="O193" t="s">
        <v>625</v>
      </c>
      <c r="P193">
        <v>0.15157633962069392</v>
      </c>
    </row>
    <row r="194" spans="1:16" x14ac:dyDescent="0.3">
      <c r="A194" t="s">
        <v>294</v>
      </c>
      <c r="B194" s="12">
        <v>45785</v>
      </c>
      <c r="C194" t="s">
        <v>104</v>
      </c>
      <c r="D194" t="s">
        <v>14</v>
      </c>
      <c r="E194" t="s">
        <v>15</v>
      </c>
      <c r="F194" t="s">
        <v>28</v>
      </c>
      <c r="G194" t="s">
        <v>71</v>
      </c>
      <c r="H194" t="s">
        <v>72</v>
      </c>
      <c r="I194">
        <v>1</v>
      </c>
      <c r="J194">
        <v>0.15</v>
      </c>
      <c r="K194">
        <v>555.85</v>
      </c>
      <c r="L194">
        <v>83.26</v>
      </c>
      <c r="M194">
        <v>2025</v>
      </c>
      <c r="N194" t="s">
        <v>617</v>
      </c>
      <c r="O194" t="s">
        <v>627</v>
      </c>
      <c r="P194">
        <v>0.14978861203562113</v>
      </c>
    </row>
    <row r="195" spans="1:16" x14ac:dyDescent="0.3">
      <c r="A195" t="s">
        <v>295</v>
      </c>
      <c r="B195" s="12">
        <v>45785</v>
      </c>
      <c r="C195" t="s">
        <v>27</v>
      </c>
      <c r="D195" t="s">
        <v>33</v>
      </c>
      <c r="E195" t="s">
        <v>140</v>
      </c>
      <c r="F195" t="s">
        <v>28</v>
      </c>
      <c r="G195" t="s">
        <v>92</v>
      </c>
      <c r="H195" t="s">
        <v>93</v>
      </c>
      <c r="I195">
        <v>7</v>
      </c>
      <c r="J195">
        <v>0.1</v>
      </c>
      <c r="K195">
        <v>31035.759999999998</v>
      </c>
      <c r="L195">
        <v>4634.03</v>
      </c>
      <c r="M195">
        <v>2025</v>
      </c>
      <c r="N195" t="s">
        <v>617</v>
      </c>
      <c r="O195" t="s">
        <v>625</v>
      </c>
      <c r="P195">
        <v>0.14931259940146463</v>
      </c>
    </row>
    <row r="196" spans="1:16" x14ac:dyDescent="0.3">
      <c r="A196" t="s">
        <v>296</v>
      </c>
      <c r="B196" s="12">
        <v>45787</v>
      </c>
      <c r="C196" t="s">
        <v>109</v>
      </c>
      <c r="D196" t="s">
        <v>14</v>
      </c>
      <c r="E196" t="s">
        <v>97</v>
      </c>
      <c r="F196" t="s">
        <v>23</v>
      </c>
      <c r="G196" t="s">
        <v>48</v>
      </c>
      <c r="H196" t="s">
        <v>118</v>
      </c>
      <c r="I196">
        <v>4</v>
      </c>
      <c r="J196">
        <v>0</v>
      </c>
      <c r="K196">
        <v>133449.96</v>
      </c>
      <c r="L196">
        <v>33259.96</v>
      </c>
      <c r="M196">
        <v>2025</v>
      </c>
      <c r="N196" t="s">
        <v>617</v>
      </c>
      <c r="O196" t="s">
        <v>625</v>
      </c>
      <c r="P196">
        <v>0.24923169703460385</v>
      </c>
    </row>
    <row r="197" spans="1:16" x14ac:dyDescent="0.3">
      <c r="A197" t="s">
        <v>297</v>
      </c>
      <c r="B197" s="12">
        <v>45789</v>
      </c>
      <c r="C197" t="s">
        <v>111</v>
      </c>
      <c r="D197" t="s">
        <v>39</v>
      </c>
      <c r="E197" t="s">
        <v>52</v>
      </c>
      <c r="F197" t="s">
        <v>23</v>
      </c>
      <c r="G197" t="s">
        <v>48</v>
      </c>
      <c r="H197" t="s">
        <v>118</v>
      </c>
      <c r="I197">
        <v>3</v>
      </c>
      <c r="J197">
        <v>0.05</v>
      </c>
      <c r="K197">
        <v>121638.06</v>
      </c>
      <c r="L197">
        <v>25755.82</v>
      </c>
      <c r="M197">
        <v>2025</v>
      </c>
      <c r="N197" t="s">
        <v>617</v>
      </c>
      <c r="O197" t="s">
        <v>625</v>
      </c>
      <c r="P197">
        <v>0.21174145658028418</v>
      </c>
    </row>
    <row r="198" spans="1:16" x14ac:dyDescent="0.3">
      <c r="A198" t="s">
        <v>298</v>
      </c>
      <c r="B198" s="12">
        <v>45790</v>
      </c>
      <c r="C198" t="s">
        <v>82</v>
      </c>
      <c r="D198" t="s">
        <v>21</v>
      </c>
      <c r="E198" t="s">
        <v>67</v>
      </c>
      <c r="F198" t="s">
        <v>28</v>
      </c>
      <c r="G198" t="s">
        <v>92</v>
      </c>
      <c r="H198" t="s">
        <v>204</v>
      </c>
      <c r="I198">
        <v>4</v>
      </c>
      <c r="J198">
        <v>0.15</v>
      </c>
      <c r="K198">
        <v>11071.84</v>
      </c>
      <c r="L198">
        <v>1766.82</v>
      </c>
      <c r="M198">
        <v>2025</v>
      </c>
      <c r="N198" t="s">
        <v>617</v>
      </c>
      <c r="O198" t="s">
        <v>625</v>
      </c>
      <c r="P198">
        <v>0.15957781181808986</v>
      </c>
    </row>
    <row r="199" spans="1:16" x14ac:dyDescent="0.3">
      <c r="A199" t="s">
        <v>299</v>
      </c>
      <c r="B199" s="12">
        <v>45791</v>
      </c>
      <c r="C199" t="s">
        <v>56</v>
      </c>
      <c r="D199" t="s">
        <v>33</v>
      </c>
      <c r="E199" t="s">
        <v>34</v>
      </c>
      <c r="F199" t="s">
        <v>16</v>
      </c>
      <c r="G199" t="s">
        <v>68</v>
      </c>
      <c r="H199" t="s">
        <v>83</v>
      </c>
      <c r="I199">
        <v>7</v>
      </c>
      <c r="J199">
        <v>0.1</v>
      </c>
      <c r="K199">
        <v>40691.49</v>
      </c>
      <c r="L199">
        <v>2891.93</v>
      </c>
      <c r="M199">
        <v>2025</v>
      </c>
      <c r="N199" t="s">
        <v>617</v>
      </c>
      <c r="O199" t="s">
        <v>625</v>
      </c>
      <c r="P199">
        <v>7.1069651172763648E-2</v>
      </c>
    </row>
    <row r="200" spans="1:16" x14ac:dyDescent="0.3">
      <c r="A200" t="s">
        <v>300</v>
      </c>
      <c r="B200" s="12">
        <v>45791</v>
      </c>
      <c r="C200" t="s">
        <v>66</v>
      </c>
      <c r="D200" t="s">
        <v>33</v>
      </c>
      <c r="E200" t="s">
        <v>86</v>
      </c>
      <c r="F200" t="s">
        <v>23</v>
      </c>
      <c r="G200" t="s">
        <v>58</v>
      </c>
      <c r="H200" t="s">
        <v>101</v>
      </c>
      <c r="I200">
        <v>2</v>
      </c>
      <c r="J200">
        <v>0</v>
      </c>
      <c r="K200">
        <v>82948</v>
      </c>
      <c r="L200">
        <v>7879.59</v>
      </c>
      <c r="M200">
        <v>2025</v>
      </c>
      <c r="N200" t="s">
        <v>617</v>
      </c>
      <c r="O200" t="s">
        <v>625</v>
      </c>
      <c r="P200">
        <v>9.4994333799488836E-2</v>
      </c>
    </row>
    <row r="201" spans="1:16" x14ac:dyDescent="0.3">
      <c r="A201" t="s">
        <v>301</v>
      </c>
      <c r="B201" s="12">
        <v>45792</v>
      </c>
      <c r="C201" t="s">
        <v>32</v>
      </c>
      <c r="D201" t="s">
        <v>14</v>
      </c>
      <c r="E201" t="s">
        <v>15</v>
      </c>
      <c r="F201" t="s">
        <v>28</v>
      </c>
      <c r="G201" t="s">
        <v>71</v>
      </c>
      <c r="H201" t="s">
        <v>121</v>
      </c>
      <c r="I201">
        <v>1</v>
      </c>
      <c r="J201">
        <v>0.2</v>
      </c>
      <c r="K201">
        <v>1774.73</v>
      </c>
      <c r="L201">
        <v>241.15</v>
      </c>
      <c r="M201">
        <v>2025</v>
      </c>
      <c r="N201" t="s">
        <v>617</v>
      </c>
      <c r="O201" t="s">
        <v>625</v>
      </c>
      <c r="P201">
        <v>0.1358798239732241</v>
      </c>
    </row>
    <row r="202" spans="1:16" x14ac:dyDescent="0.3">
      <c r="A202" t="s">
        <v>302</v>
      </c>
      <c r="B202" s="12">
        <v>45794</v>
      </c>
      <c r="C202" t="s">
        <v>150</v>
      </c>
      <c r="D202" t="s">
        <v>14</v>
      </c>
      <c r="E202" t="s">
        <v>97</v>
      </c>
      <c r="F202" t="s">
        <v>28</v>
      </c>
      <c r="G202" t="s">
        <v>74</v>
      </c>
      <c r="H202" t="s">
        <v>75</v>
      </c>
      <c r="I202">
        <v>4</v>
      </c>
      <c r="J202">
        <v>0.2</v>
      </c>
      <c r="K202">
        <v>5749.8</v>
      </c>
      <c r="L202">
        <v>494.15</v>
      </c>
      <c r="M202">
        <v>2025</v>
      </c>
      <c r="N202" t="s">
        <v>617</v>
      </c>
      <c r="O202" t="s">
        <v>625</v>
      </c>
      <c r="P202">
        <v>8.5942119725903501E-2</v>
      </c>
    </row>
    <row r="203" spans="1:16" x14ac:dyDescent="0.3">
      <c r="A203" t="s">
        <v>303</v>
      </c>
      <c r="B203" s="12">
        <v>45795</v>
      </c>
      <c r="C203" t="s">
        <v>51</v>
      </c>
      <c r="D203" t="s">
        <v>33</v>
      </c>
      <c r="E203" t="s">
        <v>45</v>
      </c>
      <c r="F203" t="s">
        <v>28</v>
      </c>
      <c r="G203" t="s">
        <v>29</v>
      </c>
      <c r="H203" t="s">
        <v>98</v>
      </c>
      <c r="I203">
        <v>3</v>
      </c>
      <c r="J203">
        <v>0</v>
      </c>
      <c r="K203">
        <v>3062.43</v>
      </c>
      <c r="L203">
        <v>549.38</v>
      </c>
      <c r="M203">
        <v>2025</v>
      </c>
      <c r="N203" t="s">
        <v>617</v>
      </c>
      <c r="O203" t="s">
        <v>625</v>
      </c>
      <c r="P203">
        <v>0.17939348817768896</v>
      </c>
    </row>
    <row r="204" spans="1:16" x14ac:dyDescent="0.3">
      <c r="A204" t="s">
        <v>304</v>
      </c>
      <c r="B204" s="12">
        <v>45796</v>
      </c>
      <c r="C204" t="s">
        <v>82</v>
      </c>
      <c r="D204" t="s">
        <v>39</v>
      </c>
      <c r="E204" t="s">
        <v>128</v>
      </c>
      <c r="F204" t="s">
        <v>16</v>
      </c>
      <c r="G204" t="s">
        <v>17</v>
      </c>
      <c r="H204" t="s">
        <v>18</v>
      </c>
      <c r="I204">
        <v>1</v>
      </c>
      <c r="J204">
        <v>0.05</v>
      </c>
      <c r="K204">
        <v>4320.3599999999997</v>
      </c>
      <c r="L204">
        <v>760.55</v>
      </c>
      <c r="M204">
        <v>2025</v>
      </c>
      <c r="N204" t="s">
        <v>617</v>
      </c>
      <c r="O204" t="s">
        <v>625</v>
      </c>
      <c r="P204">
        <v>0.17603857085983576</v>
      </c>
    </row>
    <row r="205" spans="1:16" x14ac:dyDescent="0.3">
      <c r="A205" t="s">
        <v>305</v>
      </c>
      <c r="B205" s="12">
        <v>45796</v>
      </c>
      <c r="C205" t="s">
        <v>66</v>
      </c>
      <c r="D205" t="s">
        <v>14</v>
      </c>
      <c r="E205" t="s">
        <v>97</v>
      </c>
      <c r="F205" t="s">
        <v>23</v>
      </c>
      <c r="G205" t="s">
        <v>58</v>
      </c>
      <c r="H205" t="s">
        <v>59</v>
      </c>
      <c r="I205">
        <v>3</v>
      </c>
      <c r="J205">
        <v>0.1</v>
      </c>
      <c r="K205">
        <v>117880.53</v>
      </c>
      <c r="L205">
        <v>22945.86</v>
      </c>
      <c r="M205">
        <v>2025</v>
      </c>
      <c r="N205" t="s">
        <v>617</v>
      </c>
      <c r="O205" t="s">
        <v>625</v>
      </c>
      <c r="P205">
        <v>0.19465351911804266</v>
      </c>
    </row>
    <row r="206" spans="1:16" x14ac:dyDescent="0.3">
      <c r="A206" t="s">
        <v>306</v>
      </c>
      <c r="B206" s="12">
        <v>45797</v>
      </c>
      <c r="C206" t="s">
        <v>143</v>
      </c>
      <c r="D206" t="s">
        <v>39</v>
      </c>
      <c r="E206" t="s">
        <v>128</v>
      </c>
      <c r="F206" t="s">
        <v>16</v>
      </c>
      <c r="G206" t="s">
        <v>62</v>
      </c>
      <c r="H206" t="s">
        <v>167</v>
      </c>
      <c r="I206">
        <v>5</v>
      </c>
      <c r="J206">
        <v>0</v>
      </c>
      <c r="K206">
        <v>8916.6</v>
      </c>
      <c r="L206">
        <v>1000.03</v>
      </c>
      <c r="M206">
        <v>2025</v>
      </c>
      <c r="N206" t="s">
        <v>617</v>
      </c>
      <c r="O206" t="s">
        <v>625</v>
      </c>
      <c r="P206">
        <v>0.11215373572886525</v>
      </c>
    </row>
    <row r="207" spans="1:16" x14ac:dyDescent="0.3">
      <c r="A207" t="s">
        <v>307</v>
      </c>
      <c r="B207" s="12">
        <v>45800</v>
      </c>
      <c r="C207" t="s">
        <v>32</v>
      </c>
      <c r="D207" t="s">
        <v>39</v>
      </c>
      <c r="E207" t="s">
        <v>47</v>
      </c>
      <c r="F207" t="s">
        <v>16</v>
      </c>
      <c r="G207" t="s">
        <v>62</v>
      </c>
      <c r="H207" t="s">
        <v>63</v>
      </c>
      <c r="I207">
        <v>4</v>
      </c>
      <c r="J207">
        <v>0.1</v>
      </c>
      <c r="K207">
        <v>11484.56</v>
      </c>
      <c r="L207">
        <v>969.65</v>
      </c>
      <c r="M207">
        <v>2025</v>
      </c>
      <c r="N207" t="s">
        <v>617</v>
      </c>
      <c r="O207" t="s">
        <v>625</v>
      </c>
      <c r="P207">
        <v>8.443074876181586E-2</v>
      </c>
    </row>
    <row r="208" spans="1:16" x14ac:dyDescent="0.3">
      <c r="A208" t="s">
        <v>308</v>
      </c>
      <c r="B208" s="12">
        <v>45802</v>
      </c>
      <c r="C208" t="s">
        <v>138</v>
      </c>
      <c r="D208" t="s">
        <v>14</v>
      </c>
      <c r="E208" t="s">
        <v>54</v>
      </c>
      <c r="F208" t="s">
        <v>23</v>
      </c>
      <c r="G208" t="s">
        <v>48</v>
      </c>
      <c r="H208" t="s">
        <v>49</v>
      </c>
      <c r="I208">
        <v>3</v>
      </c>
      <c r="J208">
        <v>0.1</v>
      </c>
      <c r="K208">
        <v>144429.78</v>
      </c>
      <c r="L208">
        <v>15213.17</v>
      </c>
      <c r="M208">
        <v>2025</v>
      </c>
      <c r="N208" t="s">
        <v>617</v>
      </c>
      <c r="O208" t="s">
        <v>625</v>
      </c>
      <c r="P208">
        <v>0.1053326398475439</v>
      </c>
    </row>
    <row r="209" spans="1:16" x14ac:dyDescent="0.3">
      <c r="A209" t="s">
        <v>309</v>
      </c>
      <c r="B209" s="12">
        <v>45802</v>
      </c>
      <c r="C209" t="s">
        <v>27</v>
      </c>
      <c r="D209" t="s">
        <v>14</v>
      </c>
      <c r="E209" t="s">
        <v>97</v>
      </c>
      <c r="F209" t="s">
        <v>28</v>
      </c>
      <c r="G209" t="s">
        <v>74</v>
      </c>
      <c r="H209" t="s">
        <v>159</v>
      </c>
      <c r="I209">
        <v>1</v>
      </c>
      <c r="J209">
        <v>0.2</v>
      </c>
      <c r="K209">
        <v>2114.91</v>
      </c>
      <c r="L209">
        <v>267.33</v>
      </c>
      <c r="M209">
        <v>2025</v>
      </c>
      <c r="N209" t="s">
        <v>617</v>
      </c>
      <c r="O209" t="s">
        <v>625</v>
      </c>
      <c r="P209">
        <v>0.12640254195213982</v>
      </c>
    </row>
    <row r="210" spans="1:16" x14ac:dyDescent="0.3">
      <c r="A210" t="s">
        <v>310</v>
      </c>
      <c r="B210" s="12">
        <v>45804</v>
      </c>
      <c r="C210" t="s">
        <v>13</v>
      </c>
      <c r="D210" t="s">
        <v>39</v>
      </c>
      <c r="E210" t="s">
        <v>52</v>
      </c>
      <c r="F210" t="s">
        <v>28</v>
      </c>
      <c r="G210" t="s">
        <v>74</v>
      </c>
      <c r="H210" t="s">
        <v>75</v>
      </c>
      <c r="I210">
        <v>5</v>
      </c>
      <c r="J210">
        <v>0</v>
      </c>
      <c r="K210">
        <v>24607.45</v>
      </c>
      <c r="L210">
        <v>3310.35</v>
      </c>
      <c r="M210">
        <v>2025</v>
      </c>
      <c r="N210" t="s">
        <v>617</v>
      </c>
      <c r="O210" t="s">
        <v>625</v>
      </c>
      <c r="P210">
        <v>0.13452633247248291</v>
      </c>
    </row>
    <row r="211" spans="1:16" x14ac:dyDescent="0.3">
      <c r="A211" t="s">
        <v>311</v>
      </c>
      <c r="B211" s="12">
        <v>45804</v>
      </c>
      <c r="C211" t="s">
        <v>150</v>
      </c>
      <c r="D211" t="s">
        <v>21</v>
      </c>
      <c r="E211" t="s">
        <v>57</v>
      </c>
      <c r="F211" t="s">
        <v>23</v>
      </c>
      <c r="G211" t="s">
        <v>48</v>
      </c>
      <c r="H211" t="s">
        <v>49</v>
      </c>
      <c r="I211">
        <v>4</v>
      </c>
      <c r="J211">
        <v>0</v>
      </c>
      <c r="K211">
        <v>111358.08</v>
      </c>
      <c r="L211">
        <v>10252.879999999999</v>
      </c>
      <c r="M211">
        <v>2025</v>
      </c>
      <c r="N211" t="s">
        <v>617</v>
      </c>
      <c r="O211" t="s">
        <v>625</v>
      </c>
      <c r="P211">
        <v>9.2071271343758795E-2</v>
      </c>
    </row>
    <row r="212" spans="1:16" x14ac:dyDescent="0.3">
      <c r="A212" t="s">
        <v>312</v>
      </c>
      <c r="B212" s="12">
        <v>45804</v>
      </c>
      <c r="C212" t="s">
        <v>82</v>
      </c>
      <c r="D212" t="s">
        <v>39</v>
      </c>
      <c r="E212" t="s">
        <v>40</v>
      </c>
      <c r="F212" t="s">
        <v>16</v>
      </c>
      <c r="G212" t="s">
        <v>17</v>
      </c>
      <c r="H212" t="s">
        <v>153</v>
      </c>
      <c r="I212">
        <v>6</v>
      </c>
      <c r="J212">
        <v>0.2</v>
      </c>
      <c r="K212">
        <v>23400.18</v>
      </c>
      <c r="L212">
        <v>3753.98</v>
      </c>
      <c r="M212">
        <v>2025</v>
      </c>
      <c r="N212" t="s">
        <v>617</v>
      </c>
      <c r="O212" t="s">
        <v>625</v>
      </c>
      <c r="P212">
        <v>0.16042526168602123</v>
      </c>
    </row>
    <row r="213" spans="1:16" x14ac:dyDescent="0.3">
      <c r="A213" t="s">
        <v>313</v>
      </c>
      <c r="B213" s="12">
        <v>45806</v>
      </c>
      <c r="C213" t="s">
        <v>66</v>
      </c>
      <c r="D213" t="s">
        <v>21</v>
      </c>
      <c r="E213" t="s">
        <v>105</v>
      </c>
      <c r="F213" t="s">
        <v>16</v>
      </c>
      <c r="G213" t="s">
        <v>68</v>
      </c>
      <c r="H213" t="s">
        <v>83</v>
      </c>
      <c r="I213">
        <v>4</v>
      </c>
      <c r="J213">
        <v>0.05</v>
      </c>
      <c r="K213">
        <v>23819.48</v>
      </c>
      <c r="L213">
        <v>3925.92</v>
      </c>
      <c r="M213">
        <v>2025</v>
      </c>
      <c r="N213" t="s">
        <v>617</v>
      </c>
      <c r="O213" t="s">
        <v>625</v>
      </c>
      <c r="P213">
        <v>0.16481971898630868</v>
      </c>
    </row>
    <row r="214" spans="1:16" x14ac:dyDescent="0.3">
      <c r="A214" t="s">
        <v>314</v>
      </c>
      <c r="B214" s="12">
        <v>45806</v>
      </c>
      <c r="C214" t="s">
        <v>150</v>
      </c>
      <c r="D214" t="s">
        <v>33</v>
      </c>
      <c r="E214" t="s">
        <v>140</v>
      </c>
      <c r="F214" t="s">
        <v>28</v>
      </c>
      <c r="G214" t="s">
        <v>71</v>
      </c>
      <c r="H214" t="s">
        <v>72</v>
      </c>
      <c r="I214">
        <v>1</v>
      </c>
      <c r="J214">
        <v>0.05</v>
      </c>
      <c r="K214">
        <v>3746.82</v>
      </c>
      <c r="L214">
        <v>745.56</v>
      </c>
      <c r="M214">
        <v>2025</v>
      </c>
      <c r="N214" t="s">
        <v>617</v>
      </c>
      <c r="O214" t="s">
        <v>625</v>
      </c>
      <c r="P214">
        <v>0.19898473905872177</v>
      </c>
    </row>
    <row r="215" spans="1:16" x14ac:dyDescent="0.3">
      <c r="A215" t="s">
        <v>315</v>
      </c>
      <c r="B215" s="12">
        <v>45807</v>
      </c>
      <c r="C215" t="s">
        <v>229</v>
      </c>
      <c r="D215" t="s">
        <v>14</v>
      </c>
      <c r="E215" t="s">
        <v>97</v>
      </c>
      <c r="F215" t="s">
        <v>23</v>
      </c>
      <c r="G215" t="s">
        <v>58</v>
      </c>
      <c r="H215" t="s">
        <v>101</v>
      </c>
      <c r="I215">
        <v>5</v>
      </c>
      <c r="J215">
        <v>0</v>
      </c>
      <c r="K215">
        <v>130732.75</v>
      </c>
      <c r="L215">
        <v>31817.99</v>
      </c>
      <c r="M215">
        <v>2025</v>
      </c>
      <c r="N215" t="s">
        <v>617</v>
      </c>
      <c r="O215" t="s">
        <v>625</v>
      </c>
      <c r="P215">
        <v>0.24338193757876278</v>
      </c>
    </row>
    <row r="216" spans="1:16" x14ac:dyDescent="0.3">
      <c r="A216" t="s">
        <v>316</v>
      </c>
      <c r="B216" s="12">
        <v>45809</v>
      </c>
      <c r="C216" t="s">
        <v>109</v>
      </c>
      <c r="D216" t="s">
        <v>14</v>
      </c>
      <c r="E216" t="s">
        <v>54</v>
      </c>
      <c r="F216" t="s">
        <v>23</v>
      </c>
      <c r="G216" t="s">
        <v>58</v>
      </c>
      <c r="H216" t="s">
        <v>78</v>
      </c>
      <c r="I216">
        <v>6</v>
      </c>
      <c r="J216">
        <v>0.15</v>
      </c>
      <c r="K216">
        <v>170663.04000000001</v>
      </c>
      <c r="L216">
        <v>17139.52</v>
      </c>
      <c r="M216">
        <v>2025</v>
      </c>
      <c r="N216" t="s">
        <v>618</v>
      </c>
      <c r="O216" t="s">
        <v>625</v>
      </c>
      <c r="P216">
        <v>0.10042900911644372</v>
      </c>
    </row>
    <row r="217" spans="1:16" x14ac:dyDescent="0.3">
      <c r="A217" t="s">
        <v>317</v>
      </c>
      <c r="B217" s="12">
        <v>45809</v>
      </c>
      <c r="C217" t="s">
        <v>32</v>
      </c>
      <c r="D217" t="s">
        <v>21</v>
      </c>
      <c r="E217" t="s">
        <v>57</v>
      </c>
      <c r="F217" t="s">
        <v>23</v>
      </c>
      <c r="G217" t="s">
        <v>48</v>
      </c>
      <c r="H217" t="s">
        <v>49</v>
      </c>
      <c r="I217">
        <v>6</v>
      </c>
      <c r="J217">
        <v>0.1</v>
      </c>
      <c r="K217">
        <v>287438.64</v>
      </c>
      <c r="L217">
        <v>61692.82</v>
      </c>
      <c r="M217">
        <v>2025</v>
      </c>
      <c r="N217" t="s">
        <v>618</v>
      </c>
      <c r="O217" t="s">
        <v>625</v>
      </c>
      <c r="P217">
        <v>0.21462952927970991</v>
      </c>
    </row>
    <row r="218" spans="1:16" x14ac:dyDescent="0.3">
      <c r="A218" t="s">
        <v>318</v>
      </c>
      <c r="B218" s="12">
        <v>45809</v>
      </c>
      <c r="C218" t="s">
        <v>85</v>
      </c>
      <c r="D218" t="s">
        <v>14</v>
      </c>
      <c r="E218" t="s">
        <v>114</v>
      </c>
      <c r="F218" t="s">
        <v>23</v>
      </c>
      <c r="G218" t="s">
        <v>48</v>
      </c>
      <c r="H218" t="s">
        <v>124</v>
      </c>
      <c r="I218">
        <v>4</v>
      </c>
      <c r="J218">
        <v>0.2</v>
      </c>
      <c r="K218">
        <v>157667.72</v>
      </c>
      <c r="L218">
        <v>22714.33</v>
      </c>
      <c r="M218">
        <v>2025</v>
      </c>
      <c r="N218" t="s">
        <v>618</v>
      </c>
      <c r="O218" t="s">
        <v>625</v>
      </c>
      <c r="P218">
        <v>0.14406455550952346</v>
      </c>
    </row>
    <row r="219" spans="1:16" x14ac:dyDescent="0.3">
      <c r="A219" t="s">
        <v>319</v>
      </c>
      <c r="B219" s="12">
        <v>45809</v>
      </c>
      <c r="C219" t="s">
        <v>38</v>
      </c>
      <c r="D219" t="s">
        <v>14</v>
      </c>
      <c r="E219" t="s">
        <v>114</v>
      </c>
      <c r="F219" t="s">
        <v>28</v>
      </c>
      <c r="G219" t="s">
        <v>71</v>
      </c>
      <c r="H219" t="s">
        <v>72</v>
      </c>
      <c r="I219">
        <v>6</v>
      </c>
      <c r="J219">
        <v>0</v>
      </c>
      <c r="K219">
        <v>22137.599999999999</v>
      </c>
      <c r="L219">
        <v>2786.79</v>
      </c>
      <c r="M219">
        <v>2025</v>
      </c>
      <c r="N219" t="s">
        <v>618</v>
      </c>
      <c r="O219" t="s">
        <v>625</v>
      </c>
      <c r="P219">
        <v>0.12588491977450131</v>
      </c>
    </row>
    <row r="220" spans="1:16" x14ac:dyDescent="0.3">
      <c r="A220" t="s">
        <v>320</v>
      </c>
      <c r="B220" s="12">
        <v>45810</v>
      </c>
      <c r="C220" t="s">
        <v>147</v>
      </c>
      <c r="D220" t="s">
        <v>21</v>
      </c>
      <c r="E220" t="s">
        <v>22</v>
      </c>
      <c r="F220" t="s">
        <v>16</v>
      </c>
      <c r="G220" t="s">
        <v>62</v>
      </c>
      <c r="H220" t="s">
        <v>167</v>
      </c>
      <c r="I220">
        <v>5</v>
      </c>
      <c r="J220">
        <v>0</v>
      </c>
      <c r="K220">
        <v>8394.65</v>
      </c>
      <c r="L220">
        <v>1682.65</v>
      </c>
      <c r="M220">
        <v>2025</v>
      </c>
      <c r="N220" t="s">
        <v>618</v>
      </c>
      <c r="O220" t="s">
        <v>625</v>
      </c>
      <c r="P220">
        <v>0.20044313938043876</v>
      </c>
    </row>
    <row r="221" spans="1:16" x14ac:dyDescent="0.3">
      <c r="A221" t="s">
        <v>321</v>
      </c>
      <c r="B221" s="12">
        <v>45811</v>
      </c>
      <c r="C221" t="s">
        <v>95</v>
      </c>
      <c r="D221" t="s">
        <v>14</v>
      </c>
      <c r="E221" t="s">
        <v>15</v>
      </c>
      <c r="F221" t="s">
        <v>23</v>
      </c>
      <c r="G221" t="s">
        <v>35</v>
      </c>
      <c r="H221" t="s">
        <v>155</v>
      </c>
      <c r="I221">
        <v>6</v>
      </c>
      <c r="J221">
        <v>0.1</v>
      </c>
      <c r="K221">
        <v>232788.36</v>
      </c>
      <c r="L221">
        <v>22655.46</v>
      </c>
      <c r="M221">
        <v>2025</v>
      </c>
      <c r="N221" t="s">
        <v>618</v>
      </c>
      <c r="O221" t="s">
        <v>625</v>
      </c>
      <c r="P221">
        <v>9.7322134147944508E-2</v>
      </c>
    </row>
    <row r="222" spans="1:16" x14ac:dyDescent="0.3">
      <c r="A222" t="s">
        <v>322</v>
      </c>
      <c r="B222" s="12">
        <v>45811</v>
      </c>
      <c r="C222" t="s">
        <v>104</v>
      </c>
      <c r="D222" t="s">
        <v>33</v>
      </c>
      <c r="E222" t="s">
        <v>140</v>
      </c>
      <c r="F222" t="s">
        <v>28</v>
      </c>
      <c r="G222" t="s">
        <v>74</v>
      </c>
      <c r="H222" t="s">
        <v>80</v>
      </c>
      <c r="I222">
        <v>4</v>
      </c>
      <c r="J222">
        <v>0.1</v>
      </c>
      <c r="K222">
        <v>5786.2</v>
      </c>
      <c r="L222">
        <v>1097.6400000000001</v>
      </c>
      <c r="M222">
        <v>2025</v>
      </c>
      <c r="N222" t="s">
        <v>618</v>
      </c>
      <c r="O222" t="s">
        <v>625</v>
      </c>
      <c r="P222">
        <v>0.18969963015450558</v>
      </c>
    </row>
    <row r="223" spans="1:16" x14ac:dyDescent="0.3">
      <c r="A223" t="s">
        <v>323</v>
      </c>
      <c r="B223" s="12">
        <v>45813</v>
      </c>
      <c r="C223" t="s">
        <v>51</v>
      </c>
      <c r="D223" t="s">
        <v>14</v>
      </c>
      <c r="E223" t="s">
        <v>114</v>
      </c>
      <c r="F223" t="s">
        <v>28</v>
      </c>
      <c r="G223" t="s">
        <v>71</v>
      </c>
      <c r="H223" t="s">
        <v>72</v>
      </c>
      <c r="I223">
        <v>6</v>
      </c>
      <c r="J223">
        <v>0.15</v>
      </c>
      <c r="K223">
        <v>3801.48</v>
      </c>
      <c r="L223">
        <v>719.4</v>
      </c>
      <c r="M223">
        <v>2025</v>
      </c>
      <c r="N223" t="s">
        <v>618</v>
      </c>
      <c r="O223" t="s">
        <v>625</v>
      </c>
      <c r="P223">
        <v>0.18924208466176332</v>
      </c>
    </row>
    <row r="224" spans="1:16" x14ac:dyDescent="0.3">
      <c r="A224" t="s">
        <v>324</v>
      </c>
      <c r="B224" s="12">
        <v>45813</v>
      </c>
      <c r="C224" t="s">
        <v>32</v>
      </c>
      <c r="D224" t="s">
        <v>33</v>
      </c>
      <c r="E224" t="s">
        <v>34</v>
      </c>
      <c r="F224" t="s">
        <v>23</v>
      </c>
      <c r="G224" t="s">
        <v>24</v>
      </c>
      <c r="H224" t="s">
        <v>132</v>
      </c>
      <c r="I224">
        <v>2</v>
      </c>
      <c r="J224">
        <v>0.05</v>
      </c>
      <c r="K224">
        <v>61656.84</v>
      </c>
      <c r="L224">
        <v>8045.22</v>
      </c>
      <c r="M224">
        <v>2025</v>
      </c>
      <c r="N224" t="s">
        <v>618</v>
      </c>
      <c r="O224" t="s">
        <v>625</v>
      </c>
      <c r="P224">
        <v>0.13048381980004167</v>
      </c>
    </row>
    <row r="225" spans="1:16" x14ac:dyDescent="0.3">
      <c r="A225" t="s">
        <v>325</v>
      </c>
      <c r="B225" s="12">
        <v>45814</v>
      </c>
      <c r="C225" t="s">
        <v>143</v>
      </c>
      <c r="D225" t="s">
        <v>14</v>
      </c>
      <c r="E225" t="s">
        <v>15</v>
      </c>
      <c r="F225" t="s">
        <v>16</v>
      </c>
      <c r="G225" t="s">
        <v>41</v>
      </c>
      <c r="H225" t="s">
        <v>177</v>
      </c>
      <c r="I225">
        <v>4</v>
      </c>
      <c r="J225">
        <v>0.1</v>
      </c>
      <c r="K225">
        <v>36107.199999999997</v>
      </c>
      <c r="L225">
        <v>6465.41</v>
      </c>
      <c r="M225">
        <v>2025</v>
      </c>
      <c r="N225" t="s">
        <v>618</v>
      </c>
      <c r="O225" t="s">
        <v>625</v>
      </c>
      <c r="P225">
        <v>0.1790615168165906</v>
      </c>
    </row>
    <row r="226" spans="1:16" x14ac:dyDescent="0.3">
      <c r="A226" t="s">
        <v>326</v>
      </c>
      <c r="B226" s="12">
        <v>45814</v>
      </c>
      <c r="C226" t="s">
        <v>20</v>
      </c>
      <c r="D226" t="s">
        <v>14</v>
      </c>
      <c r="E226" t="s">
        <v>97</v>
      </c>
      <c r="F226" t="s">
        <v>23</v>
      </c>
      <c r="G226" t="s">
        <v>35</v>
      </c>
      <c r="H226" t="s">
        <v>155</v>
      </c>
      <c r="I226">
        <v>4</v>
      </c>
      <c r="J226">
        <v>0.15</v>
      </c>
      <c r="K226">
        <v>136320.72</v>
      </c>
      <c r="L226">
        <v>6164.18</v>
      </c>
      <c r="M226">
        <v>2025</v>
      </c>
      <c r="N226" t="s">
        <v>618</v>
      </c>
      <c r="O226" t="s">
        <v>625</v>
      </c>
      <c r="P226">
        <v>4.5218217744155111E-2</v>
      </c>
    </row>
    <row r="227" spans="1:16" x14ac:dyDescent="0.3">
      <c r="A227" t="s">
        <v>327</v>
      </c>
      <c r="B227" s="12">
        <v>45815</v>
      </c>
      <c r="C227" t="s">
        <v>77</v>
      </c>
      <c r="D227" t="s">
        <v>39</v>
      </c>
      <c r="E227" t="s">
        <v>40</v>
      </c>
      <c r="F227" t="s">
        <v>28</v>
      </c>
      <c r="G227" t="s">
        <v>29</v>
      </c>
      <c r="H227" t="s">
        <v>98</v>
      </c>
      <c r="I227">
        <v>5</v>
      </c>
      <c r="J227">
        <v>0.1</v>
      </c>
      <c r="K227">
        <v>9754.2999999999993</v>
      </c>
      <c r="L227">
        <v>547.9</v>
      </c>
      <c r="M227">
        <v>2025</v>
      </c>
      <c r="N227" t="s">
        <v>618</v>
      </c>
      <c r="O227" t="s">
        <v>625</v>
      </c>
      <c r="P227">
        <v>5.6170099340803546E-2</v>
      </c>
    </row>
    <row r="228" spans="1:16" x14ac:dyDescent="0.3">
      <c r="A228" t="s">
        <v>328</v>
      </c>
      <c r="B228" s="12">
        <v>45815</v>
      </c>
      <c r="C228" t="s">
        <v>20</v>
      </c>
      <c r="D228" t="s">
        <v>14</v>
      </c>
      <c r="E228" t="s">
        <v>54</v>
      </c>
      <c r="F228" t="s">
        <v>28</v>
      </c>
      <c r="G228" t="s">
        <v>74</v>
      </c>
      <c r="H228" t="s">
        <v>75</v>
      </c>
      <c r="I228">
        <v>1</v>
      </c>
      <c r="J228">
        <v>0.1</v>
      </c>
      <c r="K228">
        <v>2054.2199999999998</v>
      </c>
      <c r="L228">
        <v>245.74</v>
      </c>
      <c r="M228">
        <v>2025</v>
      </c>
      <c r="N228" t="s">
        <v>618</v>
      </c>
      <c r="O228" t="s">
        <v>625</v>
      </c>
      <c r="P228">
        <v>0.11962691435191948</v>
      </c>
    </row>
    <row r="229" spans="1:16" x14ac:dyDescent="0.3">
      <c r="A229" t="s">
        <v>329</v>
      </c>
      <c r="B229" s="12">
        <v>45817</v>
      </c>
      <c r="C229" t="s">
        <v>82</v>
      </c>
      <c r="D229" t="s">
        <v>33</v>
      </c>
      <c r="E229" t="s">
        <v>45</v>
      </c>
      <c r="F229" t="s">
        <v>23</v>
      </c>
      <c r="G229" t="s">
        <v>58</v>
      </c>
      <c r="H229" t="s">
        <v>101</v>
      </c>
      <c r="I229">
        <v>3</v>
      </c>
      <c r="J229">
        <v>0.2</v>
      </c>
      <c r="K229">
        <v>144597.03</v>
      </c>
      <c r="L229">
        <v>2730.55</v>
      </c>
      <c r="M229">
        <v>2025</v>
      </c>
      <c r="N229" t="s">
        <v>618</v>
      </c>
      <c r="O229" t="s">
        <v>625</v>
      </c>
      <c r="P229">
        <v>1.8883859509424228E-2</v>
      </c>
    </row>
    <row r="230" spans="1:16" x14ac:dyDescent="0.3">
      <c r="A230" t="s">
        <v>330</v>
      </c>
      <c r="B230" s="12">
        <v>45817</v>
      </c>
      <c r="C230" t="s">
        <v>100</v>
      </c>
      <c r="D230" t="s">
        <v>33</v>
      </c>
      <c r="E230" t="s">
        <v>45</v>
      </c>
      <c r="F230" t="s">
        <v>28</v>
      </c>
      <c r="G230" t="s">
        <v>71</v>
      </c>
      <c r="H230" t="s">
        <v>72</v>
      </c>
      <c r="I230">
        <v>1</v>
      </c>
      <c r="J230">
        <v>0.2</v>
      </c>
      <c r="K230">
        <v>3070.12</v>
      </c>
      <c r="L230">
        <v>238.43</v>
      </c>
      <c r="M230">
        <v>2025</v>
      </c>
      <c r="N230" t="s">
        <v>618</v>
      </c>
      <c r="O230" t="s">
        <v>625</v>
      </c>
      <c r="P230">
        <v>7.7661459486925599E-2</v>
      </c>
    </row>
    <row r="231" spans="1:16" x14ac:dyDescent="0.3">
      <c r="A231" t="s">
        <v>331</v>
      </c>
      <c r="B231" s="12">
        <v>45818</v>
      </c>
      <c r="C231" t="s">
        <v>61</v>
      </c>
      <c r="D231" t="s">
        <v>39</v>
      </c>
      <c r="E231" t="s">
        <v>52</v>
      </c>
      <c r="F231" t="s">
        <v>23</v>
      </c>
      <c r="G231" t="s">
        <v>35</v>
      </c>
      <c r="H231" t="s">
        <v>36</v>
      </c>
      <c r="I231">
        <v>2</v>
      </c>
      <c r="J231">
        <v>0.05</v>
      </c>
      <c r="K231">
        <v>33723.800000000003</v>
      </c>
      <c r="L231">
        <v>5170.57</v>
      </c>
      <c r="M231">
        <v>2025</v>
      </c>
      <c r="N231" t="s">
        <v>618</v>
      </c>
      <c r="O231" t="s">
        <v>625</v>
      </c>
      <c r="P231">
        <v>0.15332109667356583</v>
      </c>
    </row>
    <row r="232" spans="1:16" x14ac:dyDescent="0.3">
      <c r="A232" t="s">
        <v>332</v>
      </c>
      <c r="B232" s="12">
        <v>45818</v>
      </c>
      <c r="C232" t="s">
        <v>229</v>
      </c>
      <c r="D232" t="s">
        <v>33</v>
      </c>
      <c r="E232" t="s">
        <v>45</v>
      </c>
      <c r="F232" t="s">
        <v>23</v>
      </c>
      <c r="G232" t="s">
        <v>24</v>
      </c>
      <c r="H232" t="s">
        <v>129</v>
      </c>
      <c r="I232">
        <v>5</v>
      </c>
      <c r="J232">
        <v>0.05</v>
      </c>
      <c r="K232">
        <v>59427.95</v>
      </c>
      <c r="L232">
        <v>4611.78</v>
      </c>
      <c r="M232">
        <v>2025</v>
      </c>
      <c r="N232" t="s">
        <v>618</v>
      </c>
      <c r="O232" t="s">
        <v>625</v>
      </c>
      <c r="P232">
        <v>7.7602878780102622E-2</v>
      </c>
    </row>
    <row r="233" spans="1:16" x14ac:dyDescent="0.3">
      <c r="A233" t="s">
        <v>333</v>
      </c>
      <c r="B233" s="12">
        <v>45819</v>
      </c>
      <c r="C233" t="s">
        <v>143</v>
      </c>
      <c r="D233" t="s">
        <v>33</v>
      </c>
      <c r="E233" t="s">
        <v>45</v>
      </c>
      <c r="F233" t="s">
        <v>28</v>
      </c>
      <c r="G233" t="s">
        <v>74</v>
      </c>
      <c r="H233" t="s">
        <v>75</v>
      </c>
      <c r="I233">
        <v>7</v>
      </c>
      <c r="J233">
        <v>0.05</v>
      </c>
      <c r="K233">
        <v>34277.32</v>
      </c>
      <c r="L233">
        <v>7194.43</v>
      </c>
      <c r="M233">
        <v>2025</v>
      </c>
      <c r="N233" t="s">
        <v>618</v>
      </c>
      <c r="O233" t="s">
        <v>625</v>
      </c>
      <c r="P233">
        <v>0.2098889294728993</v>
      </c>
    </row>
    <row r="234" spans="1:16" x14ac:dyDescent="0.3">
      <c r="A234" t="s">
        <v>334</v>
      </c>
      <c r="B234" s="12">
        <v>45819</v>
      </c>
      <c r="C234" t="s">
        <v>109</v>
      </c>
      <c r="D234" t="s">
        <v>21</v>
      </c>
      <c r="E234" t="s">
        <v>67</v>
      </c>
      <c r="F234" t="s">
        <v>23</v>
      </c>
      <c r="G234" t="s">
        <v>48</v>
      </c>
      <c r="H234" t="s">
        <v>118</v>
      </c>
      <c r="I234">
        <v>1</v>
      </c>
      <c r="J234">
        <v>0</v>
      </c>
      <c r="K234">
        <v>25708.29</v>
      </c>
      <c r="L234">
        <v>2069.4299999999998</v>
      </c>
      <c r="M234">
        <v>2025</v>
      </c>
      <c r="N234" t="s">
        <v>618</v>
      </c>
      <c r="O234" t="s">
        <v>625</v>
      </c>
      <c r="P234">
        <v>8.0496602457806404E-2</v>
      </c>
    </row>
    <row r="235" spans="1:16" x14ac:dyDescent="0.3">
      <c r="A235" t="s">
        <v>335</v>
      </c>
      <c r="B235" s="12">
        <v>45820</v>
      </c>
      <c r="C235" t="s">
        <v>111</v>
      </c>
      <c r="D235" t="s">
        <v>33</v>
      </c>
      <c r="E235" t="s">
        <v>45</v>
      </c>
      <c r="F235" t="s">
        <v>28</v>
      </c>
      <c r="G235" t="s">
        <v>71</v>
      </c>
      <c r="H235" t="s">
        <v>72</v>
      </c>
      <c r="I235">
        <v>5</v>
      </c>
      <c r="J235">
        <v>0</v>
      </c>
      <c r="K235">
        <v>23376.85</v>
      </c>
      <c r="L235">
        <v>3542.28</v>
      </c>
      <c r="M235">
        <v>2025</v>
      </c>
      <c r="N235" t="s">
        <v>618</v>
      </c>
      <c r="O235" t="s">
        <v>625</v>
      </c>
      <c r="P235">
        <v>0.15152939767333923</v>
      </c>
    </row>
    <row r="236" spans="1:16" x14ac:dyDescent="0.3">
      <c r="A236" t="s">
        <v>336</v>
      </c>
      <c r="B236" s="12">
        <v>45821</v>
      </c>
      <c r="C236" t="s">
        <v>32</v>
      </c>
      <c r="D236" t="s">
        <v>33</v>
      </c>
      <c r="E236" t="s">
        <v>86</v>
      </c>
      <c r="F236" t="s">
        <v>16</v>
      </c>
      <c r="G236" t="s">
        <v>17</v>
      </c>
      <c r="H236" t="s">
        <v>88</v>
      </c>
      <c r="I236">
        <v>1</v>
      </c>
      <c r="J236">
        <v>0.1</v>
      </c>
      <c r="K236">
        <v>4218.7700000000004</v>
      </c>
      <c r="L236">
        <v>436.24</v>
      </c>
      <c r="M236">
        <v>2025</v>
      </c>
      <c r="N236" t="s">
        <v>618</v>
      </c>
      <c r="O236" t="s">
        <v>625</v>
      </c>
      <c r="P236">
        <v>0.10340454682288913</v>
      </c>
    </row>
    <row r="237" spans="1:16" x14ac:dyDescent="0.3">
      <c r="A237" t="s">
        <v>337</v>
      </c>
      <c r="B237" s="12">
        <v>45822</v>
      </c>
      <c r="C237" t="s">
        <v>138</v>
      </c>
      <c r="D237" t="s">
        <v>14</v>
      </c>
      <c r="E237" t="s">
        <v>15</v>
      </c>
      <c r="F237" t="s">
        <v>23</v>
      </c>
      <c r="G237" t="s">
        <v>48</v>
      </c>
      <c r="H237" t="s">
        <v>124</v>
      </c>
      <c r="I237">
        <v>5</v>
      </c>
      <c r="J237">
        <v>0.2</v>
      </c>
      <c r="K237">
        <v>40404.1</v>
      </c>
      <c r="L237">
        <v>3670.42</v>
      </c>
      <c r="M237">
        <v>2025</v>
      </c>
      <c r="N237" t="s">
        <v>618</v>
      </c>
      <c r="O237" t="s">
        <v>625</v>
      </c>
      <c r="P237">
        <v>9.0842761006927522E-2</v>
      </c>
    </row>
    <row r="238" spans="1:16" x14ac:dyDescent="0.3">
      <c r="A238" t="s">
        <v>338</v>
      </c>
      <c r="B238" s="12">
        <v>45822</v>
      </c>
      <c r="C238" t="s">
        <v>13</v>
      </c>
      <c r="D238" t="s">
        <v>21</v>
      </c>
      <c r="E238" t="s">
        <v>67</v>
      </c>
      <c r="F238" t="s">
        <v>23</v>
      </c>
      <c r="G238" t="s">
        <v>48</v>
      </c>
      <c r="H238" t="s">
        <v>49</v>
      </c>
      <c r="I238">
        <v>6</v>
      </c>
      <c r="J238">
        <v>0.2</v>
      </c>
      <c r="K238">
        <v>249739.8</v>
      </c>
      <c r="L238">
        <v>2964.23</v>
      </c>
      <c r="M238">
        <v>2025</v>
      </c>
      <c r="N238" t="s">
        <v>618</v>
      </c>
      <c r="O238" t="s">
        <v>625</v>
      </c>
      <c r="P238">
        <v>1.1869273539900329E-2</v>
      </c>
    </row>
    <row r="239" spans="1:16" x14ac:dyDescent="0.3">
      <c r="A239" t="s">
        <v>339</v>
      </c>
      <c r="B239" s="12">
        <v>45823</v>
      </c>
      <c r="C239" t="s">
        <v>38</v>
      </c>
      <c r="D239" t="s">
        <v>33</v>
      </c>
      <c r="E239" t="s">
        <v>45</v>
      </c>
      <c r="F239" t="s">
        <v>16</v>
      </c>
      <c r="G239" t="s">
        <v>62</v>
      </c>
      <c r="H239" t="s">
        <v>180</v>
      </c>
      <c r="I239">
        <v>2</v>
      </c>
      <c r="J239">
        <v>0.1</v>
      </c>
      <c r="K239">
        <v>14883.66</v>
      </c>
      <c r="L239">
        <v>861.01</v>
      </c>
      <c r="M239">
        <v>2025</v>
      </c>
      <c r="N239" t="s">
        <v>618</v>
      </c>
      <c r="O239" t="s">
        <v>625</v>
      </c>
      <c r="P239">
        <v>5.7849346195760987E-2</v>
      </c>
    </row>
    <row r="240" spans="1:16" x14ac:dyDescent="0.3">
      <c r="A240" t="s">
        <v>340</v>
      </c>
      <c r="B240" s="12">
        <v>45825</v>
      </c>
      <c r="C240" t="s">
        <v>95</v>
      </c>
      <c r="D240" t="s">
        <v>33</v>
      </c>
      <c r="E240" t="s">
        <v>45</v>
      </c>
      <c r="F240" t="s">
        <v>23</v>
      </c>
      <c r="G240" t="s">
        <v>48</v>
      </c>
      <c r="H240" t="s">
        <v>49</v>
      </c>
      <c r="I240">
        <v>4</v>
      </c>
      <c r="J240">
        <v>0.2</v>
      </c>
      <c r="K240">
        <v>53313.279999999999</v>
      </c>
      <c r="L240">
        <v>557.70000000000005</v>
      </c>
      <c r="M240">
        <v>2025</v>
      </c>
      <c r="N240" t="s">
        <v>618</v>
      </c>
      <c r="O240" t="s">
        <v>625</v>
      </c>
      <c r="P240">
        <v>1.046080826390723E-2</v>
      </c>
    </row>
    <row r="241" spans="1:16" x14ac:dyDescent="0.3">
      <c r="A241" t="s">
        <v>341</v>
      </c>
      <c r="B241" s="12">
        <v>45825</v>
      </c>
      <c r="C241" t="s">
        <v>95</v>
      </c>
      <c r="D241" t="s">
        <v>33</v>
      </c>
      <c r="E241" t="s">
        <v>45</v>
      </c>
      <c r="F241" t="s">
        <v>28</v>
      </c>
      <c r="G241" t="s">
        <v>29</v>
      </c>
      <c r="H241" t="s">
        <v>30</v>
      </c>
      <c r="I241">
        <v>4</v>
      </c>
      <c r="J241">
        <v>0.2</v>
      </c>
      <c r="K241">
        <v>12808.72</v>
      </c>
      <c r="L241">
        <v>509.96</v>
      </c>
      <c r="M241">
        <v>2025</v>
      </c>
      <c r="N241" t="s">
        <v>618</v>
      </c>
      <c r="O241" t="s">
        <v>625</v>
      </c>
      <c r="P241">
        <v>3.9813502051727262E-2</v>
      </c>
    </row>
    <row r="242" spans="1:16" x14ac:dyDescent="0.3">
      <c r="A242" t="s">
        <v>342</v>
      </c>
      <c r="B242" s="12">
        <v>45827</v>
      </c>
      <c r="C242" t="s">
        <v>38</v>
      </c>
      <c r="D242" t="s">
        <v>39</v>
      </c>
      <c r="E242" t="s">
        <v>40</v>
      </c>
      <c r="F242" t="s">
        <v>28</v>
      </c>
      <c r="G242" t="s">
        <v>29</v>
      </c>
      <c r="H242" t="s">
        <v>98</v>
      </c>
      <c r="I242">
        <v>5</v>
      </c>
      <c r="J242">
        <v>0.2</v>
      </c>
      <c r="K242">
        <v>13943.55</v>
      </c>
      <c r="L242">
        <v>1231.67</v>
      </c>
      <c r="M242">
        <v>2025</v>
      </c>
      <c r="N242" t="s">
        <v>618</v>
      </c>
      <c r="O242" t="s">
        <v>625</v>
      </c>
      <c r="P242">
        <v>8.8332598226420117E-2</v>
      </c>
    </row>
    <row r="243" spans="1:16" x14ac:dyDescent="0.3">
      <c r="A243" t="s">
        <v>343</v>
      </c>
      <c r="B243" s="12">
        <v>45827</v>
      </c>
      <c r="C243" t="s">
        <v>95</v>
      </c>
      <c r="D243" t="s">
        <v>21</v>
      </c>
      <c r="E243" t="s">
        <v>67</v>
      </c>
      <c r="F243" t="s">
        <v>16</v>
      </c>
      <c r="G243" t="s">
        <v>41</v>
      </c>
      <c r="H243" t="s">
        <v>177</v>
      </c>
      <c r="I243">
        <v>6</v>
      </c>
      <c r="J243">
        <v>0.2</v>
      </c>
      <c r="K243">
        <v>3016.38</v>
      </c>
      <c r="L243">
        <v>301.39</v>
      </c>
      <c r="M243">
        <v>2025</v>
      </c>
      <c r="N243" t="s">
        <v>618</v>
      </c>
      <c r="O243" t="s">
        <v>625</v>
      </c>
      <c r="P243">
        <v>9.991778224229042E-2</v>
      </c>
    </row>
    <row r="244" spans="1:16" x14ac:dyDescent="0.3">
      <c r="A244" t="s">
        <v>344</v>
      </c>
      <c r="B244" s="12">
        <v>45830</v>
      </c>
      <c r="C244" t="s">
        <v>61</v>
      </c>
      <c r="D244" t="s">
        <v>39</v>
      </c>
      <c r="E244" t="s">
        <v>47</v>
      </c>
      <c r="F244" t="s">
        <v>23</v>
      </c>
      <c r="G244" t="s">
        <v>35</v>
      </c>
      <c r="H244" t="s">
        <v>155</v>
      </c>
      <c r="I244">
        <v>4</v>
      </c>
      <c r="J244">
        <v>0.1</v>
      </c>
      <c r="K244">
        <v>60052.56</v>
      </c>
      <c r="L244">
        <v>12450.34</v>
      </c>
      <c r="M244">
        <v>2025</v>
      </c>
      <c r="N244" t="s">
        <v>618</v>
      </c>
      <c r="O244" t="s">
        <v>625</v>
      </c>
      <c r="P244">
        <v>0.20732405079816749</v>
      </c>
    </row>
    <row r="245" spans="1:16" x14ac:dyDescent="0.3">
      <c r="A245" t="s">
        <v>345</v>
      </c>
      <c r="B245" s="12">
        <v>45830</v>
      </c>
      <c r="C245" t="s">
        <v>44</v>
      </c>
      <c r="D245" t="s">
        <v>39</v>
      </c>
      <c r="E245" t="s">
        <v>40</v>
      </c>
      <c r="F245" t="s">
        <v>16</v>
      </c>
      <c r="G245" t="s">
        <v>17</v>
      </c>
      <c r="H245" t="s">
        <v>153</v>
      </c>
      <c r="I245">
        <v>5</v>
      </c>
      <c r="J245">
        <v>0.1</v>
      </c>
      <c r="K245">
        <v>34934.25</v>
      </c>
      <c r="L245">
        <v>4040.24</v>
      </c>
      <c r="M245">
        <v>2025</v>
      </c>
      <c r="N245" t="s">
        <v>618</v>
      </c>
      <c r="O245" t="s">
        <v>625</v>
      </c>
      <c r="P245">
        <v>0.1156526904112726</v>
      </c>
    </row>
    <row r="246" spans="1:16" x14ac:dyDescent="0.3">
      <c r="A246" t="s">
        <v>346</v>
      </c>
      <c r="B246" s="12">
        <v>45831</v>
      </c>
      <c r="C246" t="s">
        <v>32</v>
      </c>
      <c r="D246" t="s">
        <v>39</v>
      </c>
      <c r="E246" t="s">
        <v>40</v>
      </c>
      <c r="F246" t="s">
        <v>23</v>
      </c>
      <c r="G246" t="s">
        <v>58</v>
      </c>
      <c r="H246" t="s">
        <v>90</v>
      </c>
      <c r="I246">
        <v>2</v>
      </c>
      <c r="J246">
        <v>0.1</v>
      </c>
      <c r="K246">
        <v>52139.32</v>
      </c>
      <c r="L246">
        <v>6968.23</v>
      </c>
      <c r="M246">
        <v>2025</v>
      </c>
      <c r="N246" t="s">
        <v>618</v>
      </c>
      <c r="O246" t="s">
        <v>625</v>
      </c>
      <c r="P246">
        <v>0.13364635365401772</v>
      </c>
    </row>
    <row r="247" spans="1:16" x14ac:dyDescent="0.3">
      <c r="A247" t="s">
        <v>347</v>
      </c>
      <c r="B247" s="12">
        <v>45832</v>
      </c>
      <c r="C247" t="s">
        <v>51</v>
      </c>
      <c r="D247" t="s">
        <v>14</v>
      </c>
      <c r="E247" t="s">
        <v>114</v>
      </c>
      <c r="F247" t="s">
        <v>28</v>
      </c>
      <c r="G247" t="s">
        <v>29</v>
      </c>
      <c r="H247" t="s">
        <v>98</v>
      </c>
      <c r="I247">
        <v>4</v>
      </c>
      <c r="J247">
        <v>0.15</v>
      </c>
      <c r="K247">
        <v>13092.44</v>
      </c>
      <c r="L247">
        <v>2047.72</v>
      </c>
      <c r="M247">
        <v>2025</v>
      </c>
      <c r="N247" t="s">
        <v>618</v>
      </c>
      <c r="O247" t="s">
        <v>625</v>
      </c>
      <c r="P247">
        <v>0.15640476488721736</v>
      </c>
    </row>
    <row r="248" spans="1:16" x14ac:dyDescent="0.3">
      <c r="A248" t="s">
        <v>348</v>
      </c>
      <c r="B248" s="12">
        <v>45833</v>
      </c>
      <c r="C248" t="s">
        <v>38</v>
      </c>
      <c r="D248" t="s">
        <v>39</v>
      </c>
      <c r="E248" t="s">
        <v>128</v>
      </c>
      <c r="F248" t="s">
        <v>28</v>
      </c>
      <c r="G248" t="s">
        <v>92</v>
      </c>
      <c r="H248" t="s">
        <v>204</v>
      </c>
      <c r="I248">
        <v>1</v>
      </c>
      <c r="J248">
        <v>0.1</v>
      </c>
      <c r="K248">
        <v>4223.09</v>
      </c>
      <c r="L248">
        <v>795.78</v>
      </c>
      <c r="M248">
        <v>2025</v>
      </c>
      <c r="N248" t="s">
        <v>618</v>
      </c>
      <c r="O248" t="s">
        <v>625</v>
      </c>
      <c r="P248">
        <v>0.1884354820759207</v>
      </c>
    </row>
    <row r="249" spans="1:16" x14ac:dyDescent="0.3">
      <c r="A249" t="s">
        <v>349</v>
      </c>
      <c r="B249" s="12">
        <v>45833</v>
      </c>
      <c r="C249" t="s">
        <v>100</v>
      </c>
      <c r="D249" t="s">
        <v>39</v>
      </c>
      <c r="E249" t="s">
        <v>52</v>
      </c>
      <c r="F249" t="s">
        <v>23</v>
      </c>
      <c r="G249" t="s">
        <v>35</v>
      </c>
      <c r="H249" t="s">
        <v>36</v>
      </c>
      <c r="I249">
        <v>5</v>
      </c>
      <c r="J249">
        <v>0.1</v>
      </c>
      <c r="K249">
        <v>112319.55</v>
      </c>
      <c r="L249">
        <v>21903.52</v>
      </c>
      <c r="M249">
        <v>2025</v>
      </c>
      <c r="N249" t="s">
        <v>618</v>
      </c>
      <c r="O249" t="s">
        <v>625</v>
      </c>
      <c r="P249">
        <v>0.19501075280305166</v>
      </c>
    </row>
    <row r="250" spans="1:16" x14ac:dyDescent="0.3">
      <c r="A250" t="s">
        <v>350</v>
      </c>
      <c r="B250" s="12">
        <v>45833</v>
      </c>
      <c r="C250" t="s">
        <v>44</v>
      </c>
      <c r="D250" t="s">
        <v>33</v>
      </c>
      <c r="E250" t="s">
        <v>140</v>
      </c>
      <c r="F250" t="s">
        <v>23</v>
      </c>
      <c r="G250" t="s">
        <v>24</v>
      </c>
      <c r="H250" t="s">
        <v>25</v>
      </c>
      <c r="I250">
        <v>4</v>
      </c>
      <c r="J250">
        <v>0.15</v>
      </c>
      <c r="K250">
        <v>113346.68</v>
      </c>
      <c r="L250">
        <v>6341.88</v>
      </c>
      <c r="M250">
        <v>2025</v>
      </c>
      <c r="N250" t="s">
        <v>618</v>
      </c>
      <c r="O250" t="s">
        <v>625</v>
      </c>
      <c r="P250">
        <v>5.595117563214027E-2</v>
      </c>
    </row>
    <row r="251" spans="1:16" x14ac:dyDescent="0.3">
      <c r="A251" t="s">
        <v>351</v>
      </c>
      <c r="B251" s="12">
        <v>45833</v>
      </c>
      <c r="C251" t="s">
        <v>109</v>
      </c>
      <c r="D251" t="s">
        <v>21</v>
      </c>
      <c r="E251" t="s">
        <v>67</v>
      </c>
      <c r="F251" t="s">
        <v>28</v>
      </c>
      <c r="G251" t="s">
        <v>74</v>
      </c>
      <c r="H251" t="s">
        <v>159</v>
      </c>
      <c r="I251">
        <v>1</v>
      </c>
      <c r="J251">
        <v>0.05</v>
      </c>
      <c r="K251">
        <v>2256.2800000000002</v>
      </c>
      <c r="L251">
        <v>211.84</v>
      </c>
      <c r="M251">
        <v>2025</v>
      </c>
      <c r="N251" t="s">
        <v>618</v>
      </c>
      <c r="O251" t="s">
        <v>625</v>
      </c>
      <c r="P251">
        <v>9.3889056322796816E-2</v>
      </c>
    </row>
    <row r="252" spans="1:16" x14ac:dyDescent="0.3">
      <c r="A252" t="s">
        <v>352</v>
      </c>
      <c r="B252" s="12">
        <v>45834</v>
      </c>
      <c r="C252" t="s">
        <v>85</v>
      </c>
      <c r="D252" t="s">
        <v>21</v>
      </c>
      <c r="E252" t="s">
        <v>105</v>
      </c>
      <c r="F252" t="s">
        <v>23</v>
      </c>
      <c r="G252" t="s">
        <v>35</v>
      </c>
      <c r="H252" t="s">
        <v>36</v>
      </c>
      <c r="I252">
        <v>5</v>
      </c>
      <c r="J252">
        <v>0</v>
      </c>
      <c r="K252">
        <v>5354.45</v>
      </c>
      <c r="L252">
        <v>627.76</v>
      </c>
      <c r="M252">
        <v>2025</v>
      </c>
      <c r="N252" t="s">
        <v>618</v>
      </c>
      <c r="O252" t="s">
        <v>625</v>
      </c>
      <c r="P252">
        <v>0.11724079970865355</v>
      </c>
    </row>
    <row r="253" spans="1:16" x14ac:dyDescent="0.3">
      <c r="A253" t="s">
        <v>353</v>
      </c>
      <c r="B253" s="12">
        <v>45834</v>
      </c>
      <c r="C253" t="s">
        <v>85</v>
      </c>
      <c r="D253" t="s">
        <v>21</v>
      </c>
      <c r="E253" t="s">
        <v>105</v>
      </c>
      <c r="F253" t="s">
        <v>23</v>
      </c>
      <c r="G253" t="s">
        <v>58</v>
      </c>
      <c r="H253" t="s">
        <v>101</v>
      </c>
      <c r="I253">
        <v>1</v>
      </c>
      <c r="J253">
        <v>0.1</v>
      </c>
      <c r="K253">
        <v>23859.7</v>
      </c>
      <c r="L253">
        <v>1616.61</v>
      </c>
      <c r="M253">
        <v>2025</v>
      </c>
      <c r="N253" t="s">
        <v>618</v>
      </c>
      <c r="O253" t="s">
        <v>625</v>
      </c>
      <c r="P253">
        <v>6.7754833463958053E-2</v>
      </c>
    </row>
    <row r="254" spans="1:16" x14ac:dyDescent="0.3">
      <c r="A254" t="s">
        <v>354</v>
      </c>
      <c r="B254" s="12">
        <v>45835</v>
      </c>
      <c r="C254" t="s">
        <v>229</v>
      </c>
      <c r="D254" t="s">
        <v>14</v>
      </c>
      <c r="E254" t="s">
        <v>15</v>
      </c>
      <c r="F254" t="s">
        <v>23</v>
      </c>
      <c r="G254" t="s">
        <v>58</v>
      </c>
      <c r="H254" t="s">
        <v>59</v>
      </c>
      <c r="I254">
        <v>6</v>
      </c>
      <c r="J254">
        <v>0.1</v>
      </c>
      <c r="K254">
        <v>298918.32</v>
      </c>
      <c r="L254">
        <v>54908.79</v>
      </c>
      <c r="M254">
        <v>2025</v>
      </c>
      <c r="N254" t="s">
        <v>618</v>
      </c>
      <c r="O254" t="s">
        <v>625</v>
      </c>
      <c r="P254">
        <v>0.18369161849966237</v>
      </c>
    </row>
    <row r="255" spans="1:16" x14ac:dyDescent="0.3">
      <c r="A255" t="s">
        <v>355</v>
      </c>
      <c r="B255" s="12">
        <v>45836</v>
      </c>
      <c r="C255" t="s">
        <v>100</v>
      </c>
      <c r="D255" t="s">
        <v>14</v>
      </c>
      <c r="E255" t="s">
        <v>15</v>
      </c>
      <c r="F255" t="s">
        <v>23</v>
      </c>
      <c r="G255" t="s">
        <v>24</v>
      </c>
      <c r="H255" t="s">
        <v>129</v>
      </c>
      <c r="I255">
        <v>5</v>
      </c>
      <c r="J255">
        <v>0</v>
      </c>
      <c r="K255">
        <v>157981.15</v>
      </c>
      <c r="L255">
        <v>38452.99</v>
      </c>
      <c r="M255">
        <v>2025</v>
      </c>
      <c r="N255" t="s">
        <v>618</v>
      </c>
      <c r="O255" t="s">
        <v>625</v>
      </c>
      <c r="P255">
        <v>0.24340239326020857</v>
      </c>
    </row>
    <row r="256" spans="1:16" x14ac:dyDescent="0.3">
      <c r="A256" t="s">
        <v>356</v>
      </c>
      <c r="B256" s="12">
        <v>45837</v>
      </c>
      <c r="C256" t="s">
        <v>143</v>
      </c>
      <c r="D256" t="s">
        <v>14</v>
      </c>
      <c r="E256" t="s">
        <v>15</v>
      </c>
      <c r="F256" t="s">
        <v>28</v>
      </c>
      <c r="G256" t="s">
        <v>92</v>
      </c>
      <c r="H256" t="s">
        <v>204</v>
      </c>
      <c r="I256">
        <v>1</v>
      </c>
      <c r="J256">
        <v>0</v>
      </c>
      <c r="K256">
        <v>2247.08</v>
      </c>
      <c r="L256">
        <v>483.84</v>
      </c>
      <c r="M256">
        <v>2025</v>
      </c>
      <c r="N256" t="s">
        <v>618</v>
      </c>
      <c r="O256" t="s">
        <v>625</v>
      </c>
      <c r="P256">
        <v>0.21531943678017693</v>
      </c>
    </row>
    <row r="257" spans="1:16" x14ac:dyDescent="0.3">
      <c r="A257" t="s">
        <v>357</v>
      </c>
      <c r="B257" s="12">
        <v>45838</v>
      </c>
      <c r="C257" t="s">
        <v>82</v>
      </c>
      <c r="D257" t="s">
        <v>39</v>
      </c>
      <c r="E257" t="s">
        <v>40</v>
      </c>
      <c r="F257" t="s">
        <v>23</v>
      </c>
      <c r="G257" t="s">
        <v>58</v>
      </c>
      <c r="H257" t="s">
        <v>59</v>
      </c>
      <c r="I257">
        <v>2</v>
      </c>
      <c r="J257">
        <v>0.2</v>
      </c>
      <c r="K257">
        <v>46709.66</v>
      </c>
      <c r="L257">
        <v>3222.99</v>
      </c>
      <c r="M257">
        <v>2025</v>
      </c>
      <c r="N257" t="s">
        <v>618</v>
      </c>
      <c r="O257" t="s">
        <v>625</v>
      </c>
      <c r="P257">
        <v>6.9000502251568507E-2</v>
      </c>
    </row>
    <row r="258" spans="1:16" x14ac:dyDescent="0.3">
      <c r="A258" t="s">
        <v>358</v>
      </c>
      <c r="B258" s="12">
        <v>45838</v>
      </c>
      <c r="C258" t="s">
        <v>109</v>
      </c>
      <c r="D258" t="s">
        <v>33</v>
      </c>
      <c r="E258" t="s">
        <v>45</v>
      </c>
      <c r="F258" t="s">
        <v>28</v>
      </c>
      <c r="G258" t="s">
        <v>74</v>
      </c>
      <c r="H258" t="s">
        <v>159</v>
      </c>
      <c r="I258">
        <v>7</v>
      </c>
      <c r="J258">
        <v>0.1</v>
      </c>
      <c r="K258">
        <v>4995.0600000000004</v>
      </c>
      <c r="L258">
        <v>250.27</v>
      </c>
      <c r="M258">
        <v>2025</v>
      </c>
      <c r="N258" t="s">
        <v>618</v>
      </c>
      <c r="O258" t="s">
        <v>625</v>
      </c>
      <c r="P258">
        <v>5.0103502260233107E-2</v>
      </c>
    </row>
    <row r="259" spans="1:16" x14ac:dyDescent="0.3">
      <c r="A259" t="s">
        <v>359</v>
      </c>
      <c r="B259" s="12">
        <v>45838</v>
      </c>
      <c r="C259" t="s">
        <v>61</v>
      </c>
      <c r="D259" t="s">
        <v>33</v>
      </c>
      <c r="E259" t="s">
        <v>45</v>
      </c>
      <c r="F259" t="s">
        <v>28</v>
      </c>
      <c r="G259" t="s">
        <v>71</v>
      </c>
      <c r="H259" t="s">
        <v>72</v>
      </c>
      <c r="I259">
        <v>2</v>
      </c>
      <c r="J259">
        <v>0.05</v>
      </c>
      <c r="K259">
        <v>764.08</v>
      </c>
      <c r="L259">
        <v>105.11</v>
      </c>
      <c r="M259">
        <v>2025</v>
      </c>
      <c r="N259" t="s">
        <v>618</v>
      </c>
      <c r="O259" t="s">
        <v>627</v>
      </c>
      <c r="P259">
        <v>0.13756412941053292</v>
      </c>
    </row>
    <row r="260" spans="1:16" x14ac:dyDescent="0.3">
      <c r="A260" t="s">
        <v>360</v>
      </c>
      <c r="B260" s="12">
        <v>45839</v>
      </c>
      <c r="C260" t="s">
        <v>135</v>
      </c>
      <c r="D260" t="s">
        <v>39</v>
      </c>
      <c r="E260" t="s">
        <v>128</v>
      </c>
      <c r="F260" t="s">
        <v>23</v>
      </c>
      <c r="G260" t="s">
        <v>58</v>
      </c>
      <c r="H260" t="s">
        <v>101</v>
      </c>
      <c r="I260">
        <v>3</v>
      </c>
      <c r="J260">
        <v>0.15</v>
      </c>
      <c r="K260">
        <v>106699.23</v>
      </c>
      <c r="L260">
        <v>11354.99</v>
      </c>
      <c r="M260">
        <v>2025</v>
      </c>
      <c r="N260" t="s">
        <v>619</v>
      </c>
      <c r="O260" t="s">
        <v>625</v>
      </c>
      <c r="P260">
        <v>0.10642054305359093</v>
      </c>
    </row>
    <row r="261" spans="1:16" x14ac:dyDescent="0.3">
      <c r="A261" t="s">
        <v>361</v>
      </c>
      <c r="B261" s="12">
        <v>45840</v>
      </c>
      <c r="C261" t="s">
        <v>77</v>
      </c>
      <c r="D261" t="s">
        <v>14</v>
      </c>
      <c r="E261" t="s">
        <v>114</v>
      </c>
      <c r="F261" t="s">
        <v>23</v>
      </c>
      <c r="G261" t="s">
        <v>35</v>
      </c>
      <c r="H261" t="s">
        <v>36</v>
      </c>
      <c r="I261">
        <v>7</v>
      </c>
      <c r="J261">
        <v>0.15</v>
      </c>
      <c r="K261">
        <v>86829.33</v>
      </c>
      <c r="L261">
        <v>3310.99</v>
      </c>
      <c r="M261">
        <v>2025</v>
      </c>
      <c r="N261" t="s">
        <v>619</v>
      </c>
      <c r="O261" t="s">
        <v>625</v>
      </c>
      <c r="P261">
        <v>3.8132161102705731E-2</v>
      </c>
    </row>
    <row r="262" spans="1:16" x14ac:dyDescent="0.3">
      <c r="A262" t="s">
        <v>362</v>
      </c>
      <c r="B262" s="12">
        <v>45841</v>
      </c>
      <c r="C262" t="s">
        <v>44</v>
      </c>
      <c r="D262" t="s">
        <v>21</v>
      </c>
      <c r="E262" t="s">
        <v>105</v>
      </c>
      <c r="F262" t="s">
        <v>23</v>
      </c>
      <c r="G262" t="s">
        <v>24</v>
      </c>
      <c r="H262" t="s">
        <v>129</v>
      </c>
      <c r="I262">
        <v>1</v>
      </c>
      <c r="J262">
        <v>0.15</v>
      </c>
      <c r="K262">
        <v>43952.86</v>
      </c>
      <c r="L262">
        <v>8453.6</v>
      </c>
      <c r="M262">
        <v>2025</v>
      </c>
      <c r="N262" t="s">
        <v>619</v>
      </c>
      <c r="O262" t="s">
        <v>625</v>
      </c>
      <c r="P262">
        <v>0.19233333166487915</v>
      </c>
    </row>
    <row r="263" spans="1:16" x14ac:dyDescent="0.3">
      <c r="A263" t="s">
        <v>363</v>
      </c>
      <c r="B263" s="12">
        <v>45842</v>
      </c>
      <c r="C263" t="s">
        <v>138</v>
      </c>
      <c r="D263" t="s">
        <v>39</v>
      </c>
      <c r="E263" t="s">
        <v>128</v>
      </c>
      <c r="F263" t="s">
        <v>28</v>
      </c>
      <c r="G263" t="s">
        <v>29</v>
      </c>
      <c r="H263" t="s">
        <v>30</v>
      </c>
      <c r="I263">
        <v>7</v>
      </c>
      <c r="J263">
        <v>0.1</v>
      </c>
      <c r="K263">
        <v>9419.9</v>
      </c>
      <c r="L263">
        <v>1206.73</v>
      </c>
      <c r="M263">
        <v>2025</v>
      </c>
      <c r="N263" t="s">
        <v>619</v>
      </c>
      <c r="O263" t="s">
        <v>625</v>
      </c>
      <c r="P263">
        <v>0.12810433231775284</v>
      </c>
    </row>
    <row r="264" spans="1:16" x14ac:dyDescent="0.3">
      <c r="A264" t="s">
        <v>364</v>
      </c>
      <c r="B264" s="12">
        <v>45844</v>
      </c>
      <c r="C264" t="s">
        <v>82</v>
      </c>
      <c r="D264" t="s">
        <v>21</v>
      </c>
      <c r="E264" t="s">
        <v>67</v>
      </c>
      <c r="F264" t="s">
        <v>23</v>
      </c>
      <c r="G264" t="s">
        <v>35</v>
      </c>
      <c r="H264" t="s">
        <v>36</v>
      </c>
      <c r="I264">
        <v>7</v>
      </c>
      <c r="J264">
        <v>0.2</v>
      </c>
      <c r="K264">
        <v>315890.96000000002</v>
      </c>
      <c r="L264">
        <v>47484.94</v>
      </c>
      <c r="M264">
        <v>2025</v>
      </c>
      <c r="N264" t="s">
        <v>619</v>
      </c>
      <c r="O264" t="s">
        <v>625</v>
      </c>
      <c r="P264">
        <v>0.15032066761264709</v>
      </c>
    </row>
    <row r="265" spans="1:16" x14ac:dyDescent="0.3">
      <c r="A265" t="s">
        <v>365</v>
      </c>
      <c r="B265" s="12">
        <v>45844</v>
      </c>
      <c r="C265" t="s">
        <v>150</v>
      </c>
      <c r="D265" t="s">
        <v>21</v>
      </c>
      <c r="E265" t="s">
        <v>67</v>
      </c>
      <c r="F265" t="s">
        <v>16</v>
      </c>
      <c r="G265" t="s">
        <v>17</v>
      </c>
      <c r="H265" t="s">
        <v>153</v>
      </c>
      <c r="I265">
        <v>6</v>
      </c>
      <c r="J265">
        <v>0.2</v>
      </c>
      <c r="K265">
        <v>28373.64</v>
      </c>
      <c r="L265">
        <v>1564.78</v>
      </c>
      <c r="M265">
        <v>2025</v>
      </c>
      <c r="N265" t="s">
        <v>619</v>
      </c>
      <c r="O265" t="s">
        <v>625</v>
      </c>
      <c r="P265">
        <v>5.5149074986501553E-2</v>
      </c>
    </row>
    <row r="266" spans="1:16" x14ac:dyDescent="0.3">
      <c r="A266" t="s">
        <v>366</v>
      </c>
      <c r="B266" s="12">
        <v>45844</v>
      </c>
      <c r="C266" t="s">
        <v>85</v>
      </c>
      <c r="D266" t="s">
        <v>21</v>
      </c>
      <c r="E266" t="s">
        <v>67</v>
      </c>
      <c r="F266" t="s">
        <v>16</v>
      </c>
      <c r="G266" t="s">
        <v>68</v>
      </c>
      <c r="H266" t="s">
        <v>175</v>
      </c>
      <c r="I266">
        <v>7</v>
      </c>
      <c r="J266">
        <v>0.15</v>
      </c>
      <c r="K266">
        <v>4018</v>
      </c>
      <c r="L266">
        <v>630.01</v>
      </c>
      <c r="M266">
        <v>2025</v>
      </c>
      <c r="N266" t="s">
        <v>619</v>
      </c>
      <c r="O266" t="s">
        <v>625</v>
      </c>
      <c r="P266">
        <v>0.15679691388750622</v>
      </c>
    </row>
    <row r="267" spans="1:16" x14ac:dyDescent="0.3">
      <c r="A267" t="s">
        <v>367</v>
      </c>
      <c r="B267" s="12">
        <v>45845</v>
      </c>
      <c r="C267" t="s">
        <v>229</v>
      </c>
      <c r="D267" t="s">
        <v>39</v>
      </c>
      <c r="E267" t="s">
        <v>52</v>
      </c>
      <c r="F267" t="s">
        <v>16</v>
      </c>
      <c r="G267" t="s">
        <v>62</v>
      </c>
      <c r="H267" t="s">
        <v>63</v>
      </c>
      <c r="I267">
        <v>2</v>
      </c>
      <c r="J267">
        <v>0.2</v>
      </c>
      <c r="K267">
        <v>21944.36</v>
      </c>
      <c r="L267">
        <v>1494.61</v>
      </c>
      <c r="M267">
        <v>2025</v>
      </c>
      <c r="N267" t="s">
        <v>619</v>
      </c>
      <c r="O267" t="s">
        <v>625</v>
      </c>
      <c r="P267">
        <v>6.8109072217189287E-2</v>
      </c>
    </row>
    <row r="268" spans="1:16" x14ac:dyDescent="0.3">
      <c r="A268" t="s">
        <v>368</v>
      </c>
      <c r="B268" s="12">
        <v>45845</v>
      </c>
      <c r="C268" t="s">
        <v>85</v>
      </c>
      <c r="D268" t="s">
        <v>33</v>
      </c>
      <c r="E268" t="s">
        <v>86</v>
      </c>
      <c r="F268" t="s">
        <v>23</v>
      </c>
      <c r="G268" t="s">
        <v>58</v>
      </c>
      <c r="H268" t="s">
        <v>78</v>
      </c>
      <c r="I268">
        <v>2</v>
      </c>
      <c r="J268">
        <v>0.1</v>
      </c>
      <c r="K268">
        <v>88683.839999999997</v>
      </c>
      <c r="L268">
        <v>9114.81</v>
      </c>
      <c r="M268">
        <v>2025</v>
      </c>
      <c r="N268" t="s">
        <v>619</v>
      </c>
      <c r="O268" t="s">
        <v>625</v>
      </c>
      <c r="P268">
        <v>0.10277870241072105</v>
      </c>
    </row>
    <row r="269" spans="1:16" x14ac:dyDescent="0.3">
      <c r="A269" t="s">
        <v>369</v>
      </c>
      <c r="B269" s="12">
        <v>45845</v>
      </c>
      <c r="C269" t="s">
        <v>82</v>
      </c>
      <c r="D269" t="s">
        <v>33</v>
      </c>
      <c r="E269" t="s">
        <v>140</v>
      </c>
      <c r="F269" t="s">
        <v>23</v>
      </c>
      <c r="G269" t="s">
        <v>58</v>
      </c>
      <c r="H269" t="s">
        <v>59</v>
      </c>
      <c r="I269">
        <v>5</v>
      </c>
      <c r="J269">
        <v>0.1</v>
      </c>
      <c r="K269">
        <v>195841.95</v>
      </c>
      <c r="L269">
        <v>34149.89</v>
      </c>
      <c r="M269">
        <v>2025</v>
      </c>
      <c r="N269" t="s">
        <v>619</v>
      </c>
      <c r="O269" t="s">
        <v>625</v>
      </c>
      <c r="P269">
        <v>0.17437474453251714</v>
      </c>
    </row>
    <row r="270" spans="1:16" x14ac:dyDescent="0.3">
      <c r="A270" t="s">
        <v>370</v>
      </c>
      <c r="B270" s="12">
        <v>45845</v>
      </c>
      <c r="C270" t="s">
        <v>135</v>
      </c>
      <c r="D270" t="s">
        <v>33</v>
      </c>
      <c r="E270" t="s">
        <v>140</v>
      </c>
      <c r="F270" t="s">
        <v>23</v>
      </c>
      <c r="G270" t="s">
        <v>24</v>
      </c>
      <c r="H270" t="s">
        <v>129</v>
      </c>
      <c r="I270">
        <v>7</v>
      </c>
      <c r="J270">
        <v>0.15</v>
      </c>
      <c r="K270">
        <v>144315.99</v>
      </c>
      <c r="L270">
        <v>17527.55</v>
      </c>
      <c r="M270">
        <v>2025</v>
      </c>
      <c r="N270" t="s">
        <v>619</v>
      </c>
      <c r="O270" t="s">
        <v>625</v>
      </c>
      <c r="P270">
        <v>0.12145258470665656</v>
      </c>
    </row>
    <row r="271" spans="1:16" x14ac:dyDescent="0.3">
      <c r="A271" t="s">
        <v>371</v>
      </c>
      <c r="B271" s="12">
        <v>45845</v>
      </c>
      <c r="C271" t="s">
        <v>100</v>
      </c>
      <c r="D271" t="s">
        <v>21</v>
      </c>
      <c r="E271" t="s">
        <v>57</v>
      </c>
      <c r="F271" t="s">
        <v>28</v>
      </c>
      <c r="G271" t="s">
        <v>74</v>
      </c>
      <c r="H271" t="s">
        <v>80</v>
      </c>
      <c r="I271">
        <v>7</v>
      </c>
      <c r="J271">
        <v>0.2</v>
      </c>
      <c r="K271">
        <v>17827.18</v>
      </c>
      <c r="L271">
        <v>1657.95</v>
      </c>
      <c r="M271">
        <v>2025</v>
      </c>
      <c r="N271" t="s">
        <v>619</v>
      </c>
      <c r="O271" t="s">
        <v>625</v>
      </c>
      <c r="P271">
        <v>9.3001248655143434E-2</v>
      </c>
    </row>
    <row r="272" spans="1:16" x14ac:dyDescent="0.3">
      <c r="A272" t="s">
        <v>372</v>
      </c>
      <c r="B272" s="12">
        <v>45846</v>
      </c>
      <c r="C272" t="s">
        <v>27</v>
      </c>
      <c r="D272" t="s">
        <v>21</v>
      </c>
      <c r="E272" t="s">
        <v>22</v>
      </c>
      <c r="F272" t="s">
        <v>16</v>
      </c>
      <c r="G272" t="s">
        <v>17</v>
      </c>
      <c r="H272" t="s">
        <v>18</v>
      </c>
      <c r="I272">
        <v>4</v>
      </c>
      <c r="J272">
        <v>0.1</v>
      </c>
      <c r="K272">
        <v>44237.56</v>
      </c>
      <c r="L272">
        <v>7703.04</v>
      </c>
      <c r="M272">
        <v>2025</v>
      </c>
      <c r="N272" t="s">
        <v>619</v>
      </c>
      <c r="O272" t="s">
        <v>625</v>
      </c>
      <c r="P272">
        <v>0.17412895286268049</v>
      </c>
    </row>
    <row r="273" spans="1:16" x14ac:dyDescent="0.3">
      <c r="A273" t="s">
        <v>373</v>
      </c>
      <c r="B273" s="12">
        <v>45846</v>
      </c>
      <c r="C273" t="s">
        <v>109</v>
      </c>
      <c r="D273" t="s">
        <v>14</v>
      </c>
      <c r="E273" t="s">
        <v>15</v>
      </c>
      <c r="F273" t="s">
        <v>28</v>
      </c>
      <c r="G273" t="s">
        <v>29</v>
      </c>
      <c r="H273" t="s">
        <v>98</v>
      </c>
      <c r="I273">
        <v>4</v>
      </c>
      <c r="J273">
        <v>0.2</v>
      </c>
      <c r="K273">
        <v>11356.04</v>
      </c>
      <c r="L273">
        <v>1691.05</v>
      </c>
      <c r="M273">
        <v>2025</v>
      </c>
      <c r="N273" t="s">
        <v>619</v>
      </c>
      <c r="O273" t="s">
        <v>625</v>
      </c>
      <c r="P273">
        <v>0.14891194465676413</v>
      </c>
    </row>
    <row r="274" spans="1:16" x14ac:dyDescent="0.3">
      <c r="A274" t="s">
        <v>374</v>
      </c>
      <c r="B274" s="12">
        <v>45846</v>
      </c>
      <c r="C274" t="s">
        <v>147</v>
      </c>
      <c r="D274" t="s">
        <v>39</v>
      </c>
      <c r="E274" t="s">
        <v>52</v>
      </c>
      <c r="F274" t="s">
        <v>28</v>
      </c>
      <c r="G274" t="s">
        <v>71</v>
      </c>
      <c r="H274" t="s">
        <v>121</v>
      </c>
      <c r="I274">
        <v>7</v>
      </c>
      <c r="J274">
        <v>0.1</v>
      </c>
      <c r="K274">
        <v>15992.06</v>
      </c>
      <c r="L274">
        <v>1968.18</v>
      </c>
      <c r="M274">
        <v>2025</v>
      </c>
      <c r="N274" t="s">
        <v>619</v>
      </c>
      <c r="O274" t="s">
        <v>625</v>
      </c>
      <c r="P274">
        <v>0.12307232464110315</v>
      </c>
    </row>
    <row r="275" spans="1:16" x14ac:dyDescent="0.3">
      <c r="A275" t="s">
        <v>375</v>
      </c>
      <c r="B275" s="12">
        <v>45846</v>
      </c>
      <c r="C275" t="s">
        <v>56</v>
      </c>
      <c r="D275" t="s">
        <v>33</v>
      </c>
      <c r="E275" t="s">
        <v>34</v>
      </c>
      <c r="F275" t="s">
        <v>23</v>
      </c>
      <c r="G275" t="s">
        <v>35</v>
      </c>
      <c r="H275" t="s">
        <v>155</v>
      </c>
      <c r="I275">
        <v>1</v>
      </c>
      <c r="J275">
        <v>0.2</v>
      </c>
      <c r="K275">
        <v>15540.12</v>
      </c>
      <c r="L275">
        <v>1205.04</v>
      </c>
      <c r="M275">
        <v>2025</v>
      </c>
      <c r="N275" t="s">
        <v>619</v>
      </c>
      <c r="O275" t="s">
        <v>625</v>
      </c>
      <c r="P275">
        <v>7.7543802750557903E-2</v>
      </c>
    </row>
    <row r="276" spans="1:16" x14ac:dyDescent="0.3">
      <c r="A276" t="s">
        <v>376</v>
      </c>
      <c r="B276" s="12">
        <v>45847</v>
      </c>
      <c r="C276" t="s">
        <v>143</v>
      </c>
      <c r="D276" t="s">
        <v>21</v>
      </c>
      <c r="E276" t="s">
        <v>67</v>
      </c>
      <c r="F276" t="s">
        <v>28</v>
      </c>
      <c r="G276" t="s">
        <v>74</v>
      </c>
      <c r="H276" t="s">
        <v>75</v>
      </c>
      <c r="I276">
        <v>5</v>
      </c>
      <c r="J276">
        <v>0.05</v>
      </c>
      <c r="K276">
        <v>10792.9</v>
      </c>
      <c r="L276">
        <v>1312.96</v>
      </c>
      <c r="M276">
        <v>2025</v>
      </c>
      <c r="N276" t="s">
        <v>619</v>
      </c>
      <c r="O276" t="s">
        <v>625</v>
      </c>
      <c r="P276">
        <v>0.12165034420776623</v>
      </c>
    </row>
    <row r="277" spans="1:16" x14ac:dyDescent="0.3">
      <c r="A277" t="s">
        <v>377</v>
      </c>
      <c r="B277" s="12">
        <v>45848</v>
      </c>
      <c r="C277" t="s">
        <v>66</v>
      </c>
      <c r="D277" t="s">
        <v>14</v>
      </c>
      <c r="E277" t="s">
        <v>97</v>
      </c>
      <c r="F277" t="s">
        <v>28</v>
      </c>
      <c r="G277" t="s">
        <v>29</v>
      </c>
      <c r="H277" t="s">
        <v>98</v>
      </c>
      <c r="I277">
        <v>5</v>
      </c>
      <c r="J277">
        <v>0.05</v>
      </c>
      <c r="K277">
        <v>22961.4</v>
      </c>
      <c r="L277">
        <v>3002.11</v>
      </c>
      <c r="M277">
        <v>2025</v>
      </c>
      <c r="N277" t="s">
        <v>619</v>
      </c>
      <c r="O277" t="s">
        <v>625</v>
      </c>
      <c r="P277">
        <v>0.13074594754675237</v>
      </c>
    </row>
    <row r="278" spans="1:16" x14ac:dyDescent="0.3">
      <c r="A278" t="s">
        <v>378</v>
      </c>
      <c r="B278" s="12">
        <v>45848</v>
      </c>
      <c r="C278" t="s">
        <v>104</v>
      </c>
      <c r="D278" t="s">
        <v>39</v>
      </c>
      <c r="E278" t="s">
        <v>128</v>
      </c>
      <c r="F278" t="s">
        <v>23</v>
      </c>
      <c r="G278" t="s">
        <v>35</v>
      </c>
      <c r="H278" t="s">
        <v>155</v>
      </c>
      <c r="I278">
        <v>3</v>
      </c>
      <c r="J278">
        <v>0.05</v>
      </c>
      <c r="K278">
        <v>67795.56</v>
      </c>
      <c r="L278">
        <v>11722.97</v>
      </c>
      <c r="M278">
        <v>2025</v>
      </c>
      <c r="N278" t="s">
        <v>619</v>
      </c>
      <c r="O278" t="s">
        <v>625</v>
      </c>
      <c r="P278">
        <v>0.17291648597636777</v>
      </c>
    </row>
    <row r="279" spans="1:16" x14ac:dyDescent="0.3">
      <c r="A279" t="s">
        <v>379</v>
      </c>
      <c r="B279" s="12">
        <v>45848</v>
      </c>
      <c r="C279" t="s">
        <v>147</v>
      </c>
      <c r="D279" t="s">
        <v>33</v>
      </c>
      <c r="E279" t="s">
        <v>45</v>
      </c>
      <c r="F279" t="s">
        <v>28</v>
      </c>
      <c r="G279" t="s">
        <v>92</v>
      </c>
      <c r="H279" t="s">
        <v>93</v>
      </c>
      <c r="I279">
        <v>7</v>
      </c>
      <c r="J279">
        <v>0.1</v>
      </c>
      <c r="K279">
        <v>9908.7099999999991</v>
      </c>
      <c r="L279">
        <v>731.4</v>
      </c>
      <c r="M279">
        <v>2025</v>
      </c>
      <c r="N279" t="s">
        <v>619</v>
      </c>
      <c r="O279" t="s">
        <v>625</v>
      </c>
      <c r="P279">
        <v>7.3813846605663105E-2</v>
      </c>
    </row>
    <row r="280" spans="1:16" x14ac:dyDescent="0.3">
      <c r="A280" t="s">
        <v>380</v>
      </c>
      <c r="B280" s="12">
        <v>45849</v>
      </c>
      <c r="C280" t="s">
        <v>32</v>
      </c>
      <c r="D280" t="s">
        <v>33</v>
      </c>
      <c r="E280" t="s">
        <v>34</v>
      </c>
      <c r="F280" t="s">
        <v>28</v>
      </c>
      <c r="G280" t="s">
        <v>74</v>
      </c>
      <c r="H280" t="s">
        <v>159</v>
      </c>
      <c r="I280">
        <v>2</v>
      </c>
      <c r="J280">
        <v>0.15</v>
      </c>
      <c r="K280">
        <v>5693.68</v>
      </c>
      <c r="L280">
        <v>167.04</v>
      </c>
      <c r="M280">
        <v>2025</v>
      </c>
      <c r="N280" t="s">
        <v>619</v>
      </c>
      <c r="O280" t="s">
        <v>625</v>
      </c>
      <c r="P280">
        <v>2.9337792078234108E-2</v>
      </c>
    </row>
    <row r="281" spans="1:16" x14ac:dyDescent="0.3">
      <c r="A281" t="s">
        <v>381</v>
      </c>
      <c r="B281" s="12">
        <v>45850</v>
      </c>
      <c r="C281" t="s">
        <v>104</v>
      </c>
      <c r="D281" t="s">
        <v>33</v>
      </c>
      <c r="E281" t="s">
        <v>140</v>
      </c>
      <c r="F281" t="s">
        <v>28</v>
      </c>
      <c r="G281" t="s">
        <v>71</v>
      </c>
      <c r="H281" t="s">
        <v>72</v>
      </c>
      <c r="I281">
        <v>3</v>
      </c>
      <c r="J281">
        <v>0.2</v>
      </c>
      <c r="K281">
        <v>7389.3</v>
      </c>
      <c r="L281">
        <v>1281.73</v>
      </c>
      <c r="M281">
        <v>2025</v>
      </c>
      <c r="N281" t="s">
        <v>619</v>
      </c>
      <c r="O281" t="s">
        <v>625</v>
      </c>
      <c r="P281">
        <v>0.17345756702258672</v>
      </c>
    </row>
    <row r="282" spans="1:16" x14ac:dyDescent="0.3">
      <c r="A282" t="s">
        <v>382</v>
      </c>
      <c r="B282" s="12">
        <v>45851</v>
      </c>
      <c r="C282" t="s">
        <v>56</v>
      </c>
      <c r="D282" t="s">
        <v>39</v>
      </c>
      <c r="E282" t="s">
        <v>52</v>
      </c>
      <c r="F282" t="s">
        <v>28</v>
      </c>
      <c r="G282" t="s">
        <v>71</v>
      </c>
      <c r="H282" t="s">
        <v>121</v>
      </c>
      <c r="I282">
        <v>7</v>
      </c>
      <c r="J282">
        <v>0.1</v>
      </c>
      <c r="K282">
        <v>25201.4</v>
      </c>
      <c r="L282">
        <v>4576.53</v>
      </c>
      <c r="M282">
        <v>2025</v>
      </c>
      <c r="N282" t="s">
        <v>619</v>
      </c>
      <c r="O282" t="s">
        <v>625</v>
      </c>
      <c r="P282">
        <v>0.18159824454196988</v>
      </c>
    </row>
    <row r="283" spans="1:16" x14ac:dyDescent="0.3">
      <c r="A283" t="s">
        <v>383</v>
      </c>
      <c r="B283" s="12">
        <v>45852</v>
      </c>
      <c r="C283" t="s">
        <v>77</v>
      </c>
      <c r="D283" t="s">
        <v>33</v>
      </c>
      <c r="E283" t="s">
        <v>34</v>
      </c>
      <c r="F283" t="s">
        <v>16</v>
      </c>
      <c r="G283" t="s">
        <v>17</v>
      </c>
      <c r="H283" t="s">
        <v>18</v>
      </c>
      <c r="I283">
        <v>1</v>
      </c>
      <c r="J283">
        <v>0.1</v>
      </c>
      <c r="K283">
        <v>6739.21</v>
      </c>
      <c r="L283">
        <v>724.54</v>
      </c>
      <c r="M283">
        <v>2025</v>
      </c>
      <c r="N283" t="s">
        <v>619</v>
      </c>
      <c r="O283" t="s">
        <v>625</v>
      </c>
      <c r="P283">
        <v>0.10751111777196436</v>
      </c>
    </row>
    <row r="284" spans="1:16" x14ac:dyDescent="0.3">
      <c r="A284" t="s">
        <v>384</v>
      </c>
      <c r="B284" s="12">
        <v>45852</v>
      </c>
      <c r="C284" t="s">
        <v>32</v>
      </c>
      <c r="D284" t="s">
        <v>14</v>
      </c>
      <c r="E284" t="s">
        <v>54</v>
      </c>
      <c r="F284" t="s">
        <v>16</v>
      </c>
      <c r="G284" t="s">
        <v>62</v>
      </c>
      <c r="H284" t="s">
        <v>63</v>
      </c>
      <c r="I284">
        <v>3</v>
      </c>
      <c r="J284">
        <v>0.05</v>
      </c>
      <c r="K284">
        <v>24530.73</v>
      </c>
      <c r="L284">
        <v>4043.38</v>
      </c>
      <c r="M284">
        <v>2025</v>
      </c>
      <c r="N284" t="s">
        <v>619</v>
      </c>
      <c r="O284" t="s">
        <v>625</v>
      </c>
      <c r="P284">
        <v>0.1648291754872358</v>
      </c>
    </row>
    <row r="285" spans="1:16" x14ac:dyDescent="0.3">
      <c r="A285" t="s">
        <v>385</v>
      </c>
      <c r="B285" s="12">
        <v>45854</v>
      </c>
      <c r="C285" t="s">
        <v>20</v>
      </c>
      <c r="D285" t="s">
        <v>39</v>
      </c>
      <c r="E285" t="s">
        <v>52</v>
      </c>
      <c r="F285" t="s">
        <v>23</v>
      </c>
      <c r="G285" t="s">
        <v>58</v>
      </c>
      <c r="H285" t="s">
        <v>59</v>
      </c>
      <c r="I285">
        <v>3</v>
      </c>
      <c r="J285">
        <v>0.05</v>
      </c>
      <c r="K285">
        <v>32475.93</v>
      </c>
      <c r="L285">
        <v>2548.91</v>
      </c>
      <c r="M285">
        <v>2025</v>
      </c>
      <c r="N285" t="s">
        <v>619</v>
      </c>
      <c r="O285" t="s">
        <v>625</v>
      </c>
      <c r="P285">
        <v>7.8486128033900801E-2</v>
      </c>
    </row>
    <row r="286" spans="1:16" x14ac:dyDescent="0.3">
      <c r="A286" t="s">
        <v>386</v>
      </c>
      <c r="B286" s="12">
        <v>45854</v>
      </c>
      <c r="C286" t="s">
        <v>104</v>
      </c>
      <c r="D286" t="s">
        <v>33</v>
      </c>
      <c r="E286" t="s">
        <v>34</v>
      </c>
      <c r="F286" t="s">
        <v>16</v>
      </c>
      <c r="G286" t="s">
        <v>62</v>
      </c>
      <c r="H286" t="s">
        <v>63</v>
      </c>
      <c r="I286">
        <v>6</v>
      </c>
      <c r="J286">
        <v>0.2</v>
      </c>
      <c r="K286">
        <v>66008.460000000006</v>
      </c>
      <c r="L286">
        <v>8808.2000000000007</v>
      </c>
      <c r="M286">
        <v>2025</v>
      </c>
      <c r="N286" t="s">
        <v>619</v>
      </c>
      <c r="O286" t="s">
        <v>625</v>
      </c>
      <c r="P286">
        <v>0.13344047111536914</v>
      </c>
    </row>
    <row r="287" spans="1:16" x14ac:dyDescent="0.3">
      <c r="A287" t="s">
        <v>387</v>
      </c>
      <c r="B287" s="12">
        <v>45855</v>
      </c>
      <c r="C287" t="s">
        <v>229</v>
      </c>
      <c r="D287" t="s">
        <v>21</v>
      </c>
      <c r="E287" t="s">
        <v>22</v>
      </c>
      <c r="F287" t="s">
        <v>28</v>
      </c>
      <c r="G287" t="s">
        <v>29</v>
      </c>
      <c r="H287" t="s">
        <v>98</v>
      </c>
      <c r="I287">
        <v>2</v>
      </c>
      <c r="J287">
        <v>0</v>
      </c>
      <c r="K287">
        <v>3454.68</v>
      </c>
      <c r="L287">
        <v>696.15</v>
      </c>
      <c r="M287">
        <v>2025</v>
      </c>
      <c r="N287" t="s">
        <v>619</v>
      </c>
      <c r="O287" t="s">
        <v>625</v>
      </c>
      <c r="P287">
        <v>0.20150925700788497</v>
      </c>
    </row>
    <row r="288" spans="1:16" x14ac:dyDescent="0.3">
      <c r="A288" t="s">
        <v>388</v>
      </c>
      <c r="B288" s="12">
        <v>45856</v>
      </c>
      <c r="C288" t="s">
        <v>150</v>
      </c>
      <c r="D288" t="s">
        <v>14</v>
      </c>
      <c r="E288" t="s">
        <v>15</v>
      </c>
      <c r="F288" t="s">
        <v>28</v>
      </c>
      <c r="G288" t="s">
        <v>92</v>
      </c>
      <c r="H288" t="s">
        <v>93</v>
      </c>
      <c r="I288">
        <v>7</v>
      </c>
      <c r="J288">
        <v>0.2</v>
      </c>
      <c r="K288">
        <v>33163.480000000003</v>
      </c>
      <c r="L288">
        <v>2696.4</v>
      </c>
      <c r="M288">
        <v>2025</v>
      </c>
      <c r="N288" t="s">
        <v>619</v>
      </c>
      <c r="O288" t="s">
        <v>625</v>
      </c>
      <c r="P288">
        <v>8.1306304404724708E-2</v>
      </c>
    </row>
    <row r="289" spans="1:16" x14ac:dyDescent="0.3">
      <c r="A289" t="s">
        <v>389</v>
      </c>
      <c r="B289" s="12">
        <v>45857</v>
      </c>
      <c r="C289" t="s">
        <v>13</v>
      </c>
      <c r="D289" t="s">
        <v>33</v>
      </c>
      <c r="E289" t="s">
        <v>140</v>
      </c>
      <c r="F289" t="s">
        <v>23</v>
      </c>
      <c r="G289" t="s">
        <v>48</v>
      </c>
      <c r="H289" t="s">
        <v>118</v>
      </c>
      <c r="I289">
        <v>2</v>
      </c>
      <c r="J289">
        <v>0.1</v>
      </c>
      <c r="K289">
        <v>49759.42</v>
      </c>
      <c r="L289">
        <v>10593.96</v>
      </c>
      <c r="M289">
        <v>2025</v>
      </c>
      <c r="N289" t="s">
        <v>619</v>
      </c>
      <c r="O289" t="s">
        <v>625</v>
      </c>
      <c r="P289">
        <v>0.21290360699541916</v>
      </c>
    </row>
    <row r="290" spans="1:16" x14ac:dyDescent="0.3">
      <c r="A290" t="s">
        <v>390</v>
      </c>
      <c r="B290" s="12">
        <v>45857</v>
      </c>
      <c r="C290" t="s">
        <v>109</v>
      </c>
      <c r="D290" t="s">
        <v>21</v>
      </c>
      <c r="E290" t="s">
        <v>67</v>
      </c>
      <c r="F290" t="s">
        <v>16</v>
      </c>
      <c r="G290" t="s">
        <v>17</v>
      </c>
      <c r="H290" t="s">
        <v>153</v>
      </c>
      <c r="I290">
        <v>6</v>
      </c>
      <c r="J290">
        <v>0.1</v>
      </c>
      <c r="K290">
        <v>12867.06</v>
      </c>
      <c r="L290">
        <v>2632.76</v>
      </c>
      <c r="M290">
        <v>2025</v>
      </c>
      <c r="N290" t="s">
        <v>619</v>
      </c>
      <c r="O290" t="s">
        <v>625</v>
      </c>
      <c r="P290">
        <v>0.20461239785934007</v>
      </c>
    </row>
    <row r="291" spans="1:16" x14ac:dyDescent="0.3">
      <c r="A291" t="s">
        <v>391</v>
      </c>
      <c r="B291" s="12">
        <v>45859</v>
      </c>
      <c r="C291" t="s">
        <v>95</v>
      </c>
      <c r="D291" t="s">
        <v>14</v>
      </c>
      <c r="E291" t="s">
        <v>97</v>
      </c>
      <c r="F291" t="s">
        <v>23</v>
      </c>
      <c r="G291" t="s">
        <v>58</v>
      </c>
      <c r="H291" t="s">
        <v>101</v>
      </c>
      <c r="I291">
        <v>7</v>
      </c>
      <c r="J291">
        <v>0</v>
      </c>
      <c r="K291">
        <v>183860.18</v>
      </c>
      <c r="L291">
        <v>44471.68</v>
      </c>
      <c r="M291">
        <v>2025</v>
      </c>
      <c r="N291" t="s">
        <v>619</v>
      </c>
      <c r="O291" t="s">
        <v>625</v>
      </c>
      <c r="P291">
        <v>0.24187771381492176</v>
      </c>
    </row>
    <row r="292" spans="1:16" x14ac:dyDescent="0.3">
      <c r="A292" t="s">
        <v>392</v>
      </c>
      <c r="B292" s="12">
        <v>45859</v>
      </c>
      <c r="C292" t="s">
        <v>77</v>
      </c>
      <c r="D292" t="s">
        <v>33</v>
      </c>
      <c r="E292" t="s">
        <v>140</v>
      </c>
      <c r="F292" t="s">
        <v>16</v>
      </c>
      <c r="G292" t="s">
        <v>68</v>
      </c>
      <c r="H292" t="s">
        <v>69</v>
      </c>
      <c r="I292">
        <v>2</v>
      </c>
      <c r="J292">
        <v>0.2</v>
      </c>
      <c r="K292">
        <v>23325.56</v>
      </c>
      <c r="L292">
        <v>4115.16</v>
      </c>
      <c r="M292">
        <v>2025</v>
      </c>
      <c r="N292" t="s">
        <v>619</v>
      </c>
      <c r="O292" t="s">
        <v>625</v>
      </c>
      <c r="P292">
        <v>0.17642277398699108</v>
      </c>
    </row>
    <row r="293" spans="1:16" x14ac:dyDescent="0.3">
      <c r="A293" t="s">
        <v>393</v>
      </c>
      <c r="B293" s="12">
        <v>45859</v>
      </c>
      <c r="C293" t="s">
        <v>229</v>
      </c>
      <c r="D293" t="s">
        <v>33</v>
      </c>
      <c r="E293" t="s">
        <v>140</v>
      </c>
      <c r="F293" t="s">
        <v>28</v>
      </c>
      <c r="G293" t="s">
        <v>71</v>
      </c>
      <c r="H293" t="s">
        <v>72</v>
      </c>
      <c r="I293">
        <v>4</v>
      </c>
      <c r="J293">
        <v>0.1</v>
      </c>
      <c r="K293">
        <v>531.52</v>
      </c>
      <c r="L293">
        <v>60.93</v>
      </c>
      <c r="M293">
        <v>2025</v>
      </c>
      <c r="N293" t="s">
        <v>619</v>
      </c>
      <c r="O293" t="s">
        <v>627</v>
      </c>
      <c r="P293">
        <v>0.11463350391330523</v>
      </c>
    </row>
    <row r="294" spans="1:16" x14ac:dyDescent="0.3">
      <c r="A294" t="s">
        <v>394</v>
      </c>
      <c r="B294" s="12">
        <v>45860</v>
      </c>
      <c r="C294" t="s">
        <v>147</v>
      </c>
      <c r="D294" t="s">
        <v>14</v>
      </c>
      <c r="E294" t="s">
        <v>97</v>
      </c>
      <c r="F294" t="s">
        <v>23</v>
      </c>
      <c r="G294" t="s">
        <v>24</v>
      </c>
      <c r="H294" t="s">
        <v>25</v>
      </c>
      <c r="I294">
        <v>3</v>
      </c>
      <c r="J294">
        <v>0</v>
      </c>
      <c r="K294">
        <v>35809.47</v>
      </c>
      <c r="L294">
        <v>3157.83</v>
      </c>
      <c r="M294">
        <v>2025</v>
      </c>
      <c r="N294" t="s">
        <v>619</v>
      </c>
      <c r="O294" t="s">
        <v>625</v>
      </c>
      <c r="P294">
        <v>8.8184214957663432E-2</v>
      </c>
    </row>
    <row r="295" spans="1:16" x14ac:dyDescent="0.3">
      <c r="A295" t="s">
        <v>395</v>
      </c>
      <c r="B295" s="12">
        <v>45860</v>
      </c>
      <c r="C295" t="s">
        <v>100</v>
      </c>
      <c r="D295" t="s">
        <v>33</v>
      </c>
      <c r="E295" t="s">
        <v>86</v>
      </c>
      <c r="F295" t="s">
        <v>28</v>
      </c>
      <c r="G295" t="s">
        <v>92</v>
      </c>
      <c r="H295" t="s">
        <v>93</v>
      </c>
      <c r="I295">
        <v>5</v>
      </c>
      <c r="J295">
        <v>0.05</v>
      </c>
      <c r="K295">
        <v>17032.25</v>
      </c>
      <c r="L295">
        <v>1383.2</v>
      </c>
      <c r="M295">
        <v>2025</v>
      </c>
      <c r="N295" t="s">
        <v>619</v>
      </c>
      <c r="O295" t="s">
        <v>625</v>
      </c>
      <c r="P295">
        <v>8.1210644512615782E-2</v>
      </c>
    </row>
    <row r="296" spans="1:16" x14ac:dyDescent="0.3">
      <c r="A296" t="s">
        <v>396</v>
      </c>
      <c r="B296" s="12">
        <v>45860</v>
      </c>
      <c r="C296" t="s">
        <v>13</v>
      </c>
      <c r="D296" t="s">
        <v>33</v>
      </c>
      <c r="E296" t="s">
        <v>86</v>
      </c>
      <c r="F296" t="s">
        <v>28</v>
      </c>
      <c r="G296" t="s">
        <v>71</v>
      </c>
      <c r="H296" t="s">
        <v>72</v>
      </c>
      <c r="I296">
        <v>3</v>
      </c>
      <c r="J296">
        <v>0.1</v>
      </c>
      <c r="K296">
        <v>8786.01</v>
      </c>
      <c r="L296">
        <v>1731.34</v>
      </c>
      <c r="M296">
        <v>2025</v>
      </c>
      <c r="N296" t="s">
        <v>619</v>
      </c>
      <c r="O296" t="s">
        <v>625</v>
      </c>
      <c r="P296">
        <v>0.19705645679893374</v>
      </c>
    </row>
    <row r="297" spans="1:16" x14ac:dyDescent="0.3">
      <c r="A297" t="s">
        <v>397</v>
      </c>
      <c r="B297" s="12">
        <v>45860</v>
      </c>
      <c r="C297" t="s">
        <v>56</v>
      </c>
      <c r="D297" t="s">
        <v>21</v>
      </c>
      <c r="E297" t="s">
        <v>105</v>
      </c>
      <c r="F297" t="s">
        <v>28</v>
      </c>
      <c r="G297" t="s">
        <v>29</v>
      </c>
      <c r="H297" t="s">
        <v>30</v>
      </c>
      <c r="I297">
        <v>2</v>
      </c>
      <c r="J297">
        <v>0.15</v>
      </c>
      <c r="K297">
        <v>2943.8</v>
      </c>
      <c r="L297">
        <v>183.58</v>
      </c>
      <c r="M297">
        <v>2025</v>
      </c>
      <c r="N297" t="s">
        <v>619</v>
      </c>
      <c r="O297" t="s">
        <v>625</v>
      </c>
      <c r="P297">
        <v>6.2361573476459001E-2</v>
      </c>
    </row>
    <row r="298" spans="1:16" x14ac:dyDescent="0.3">
      <c r="A298" t="s">
        <v>398</v>
      </c>
      <c r="B298" s="12">
        <v>45863</v>
      </c>
      <c r="C298" t="s">
        <v>51</v>
      </c>
      <c r="D298" t="s">
        <v>33</v>
      </c>
      <c r="E298" t="s">
        <v>45</v>
      </c>
      <c r="F298" t="s">
        <v>23</v>
      </c>
      <c r="G298" t="s">
        <v>24</v>
      </c>
      <c r="H298" t="s">
        <v>132</v>
      </c>
      <c r="I298">
        <v>2</v>
      </c>
      <c r="J298">
        <v>0.05</v>
      </c>
      <c r="K298">
        <v>40702.1</v>
      </c>
      <c r="L298">
        <v>9221.8799999999992</v>
      </c>
      <c r="M298">
        <v>2025</v>
      </c>
      <c r="N298" t="s">
        <v>619</v>
      </c>
      <c r="O298" t="s">
        <v>625</v>
      </c>
      <c r="P298">
        <v>0.22657012783124211</v>
      </c>
    </row>
    <row r="299" spans="1:16" x14ac:dyDescent="0.3">
      <c r="A299" t="s">
        <v>399</v>
      </c>
      <c r="B299" s="12">
        <v>45866</v>
      </c>
      <c r="C299" t="s">
        <v>32</v>
      </c>
      <c r="D299" t="s">
        <v>14</v>
      </c>
      <c r="E299" t="s">
        <v>97</v>
      </c>
      <c r="F299" t="s">
        <v>23</v>
      </c>
      <c r="G299" t="s">
        <v>35</v>
      </c>
      <c r="H299" t="s">
        <v>36</v>
      </c>
      <c r="I299">
        <v>5</v>
      </c>
      <c r="J299">
        <v>0.15</v>
      </c>
      <c r="K299">
        <v>54981.599999999999</v>
      </c>
      <c r="L299">
        <v>8449.74</v>
      </c>
      <c r="M299">
        <v>2025</v>
      </c>
      <c r="N299" t="s">
        <v>619</v>
      </c>
      <c r="O299" t="s">
        <v>625</v>
      </c>
      <c r="P299">
        <v>0.15368305032956481</v>
      </c>
    </row>
    <row r="300" spans="1:16" x14ac:dyDescent="0.3">
      <c r="A300" t="s">
        <v>400</v>
      </c>
      <c r="B300" s="12">
        <v>45870</v>
      </c>
      <c r="C300" t="s">
        <v>104</v>
      </c>
      <c r="D300" t="s">
        <v>33</v>
      </c>
      <c r="E300" t="s">
        <v>140</v>
      </c>
      <c r="F300" t="s">
        <v>16</v>
      </c>
      <c r="G300" t="s">
        <v>68</v>
      </c>
      <c r="H300" t="s">
        <v>175</v>
      </c>
      <c r="I300">
        <v>5</v>
      </c>
      <c r="J300">
        <v>0.05</v>
      </c>
      <c r="K300">
        <v>16052.3</v>
      </c>
      <c r="L300">
        <v>3480.74</v>
      </c>
      <c r="M300">
        <v>2025</v>
      </c>
      <c r="N300" t="s">
        <v>620</v>
      </c>
      <c r="O300" t="s">
        <v>625</v>
      </c>
      <c r="P300">
        <v>0.2168374625443083</v>
      </c>
    </row>
    <row r="301" spans="1:16" x14ac:dyDescent="0.3">
      <c r="A301" t="s">
        <v>401</v>
      </c>
      <c r="B301" s="12">
        <v>45870</v>
      </c>
      <c r="C301" t="s">
        <v>82</v>
      </c>
      <c r="D301" t="s">
        <v>33</v>
      </c>
      <c r="E301" t="s">
        <v>45</v>
      </c>
      <c r="F301" t="s">
        <v>28</v>
      </c>
      <c r="G301" t="s">
        <v>74</v>
      </c>
      <c r="H301" t="s">
        <v>80</v>
      </c>
      <c r="I301">
        <v>2</v>
      </c>
      <c r="J301">
        <v>0.15</v>
      </c>
      <c r="K301">
        <v>8228.7000000000007</v>
      </c>
      <c r="L301">
        <v>695.2</v>
      </c>
      <c r="M301">
        <v>2025</v>
      </c>
      <c r="N301" t="s">
        <v>620</v>
      </c>
      <c r="O301" t="s">
        <v>625</v>
      </c>
      <c r="P301">
        <v>8.4484791036251172E-2</v>
      </c>
    </row>
    <row r="302" spans="1:16" x14ac:dyDescent="0.3">
      <c r="A302" t="s">
        <v>402</v>
      </c>
      <c r="B302" s="12">
        <v>45871</v>
      </c>
      <c r="C302" t="s">
        <v>27</v>
      </c>
      <c r="D302" t="s">
        <v>39</v>
      </c>
      <c r="E302" t="s">
        <v>47</v>
      </c>
      <c r="F302" t="s">
        <v>23</v>
      </c>
      <c r="G302" t="s">
        <v>48</v>
      </c>
      <c r="H302" t="s">
        <v>49</v>
      </c>
      <c r="I302">
        <v>2</v>
      </c>
      <c r="J302">
        <v>0.05</v>
      </c>
      <c r="K302">
        <v>22465.22</v>
      </c>
      <c r="L302">
        <v>2071.5500000000002</v>
      </c>
      <c r="M302">
        <v>2025</v>
      </c>
      <c r="N302" t="s">
        <v>620</v>
      </c>
      <c r="O302" t="s">
        <v>625</v>
      </c>
      <c r="P302">
        <v>9.221142726401077E-2</v>
      </c>
    </row>
    <row r="303" spans="1:16" x14ac:dyDescent="0.3">
      <c r="A303" t="s">
        <v>403</v>
      </c>
      <c r="B303" s="12">
        <v>45871</v>
      </c>
      <c r="C303" t="s">
        <v>20</v>
      </c>
      <c r="D303" t="s">
        <v>33</v>
      </c>
      <c r="E303" t="s">
        <v>34</v>
      </c>
      <c r="F303" t="s">
        <v>28</v>
      </c>
      <c r="G303" t="s">
        <v>74</v>
      </c>
      <c r="H303" t="s">
        <v>159</v>
      </c>
      <c r="I303">
        <v>1</v>
      </c>
      <c r="J303">
        <v>0</v>
      </c>
      <c r="K303">
        <v>1286.02</v>
      </c>
      <c r="L303">
        <v>227.69</v>
      </c>
      <c r="M303">
        <v>2025</v>
      </c>
      <c r="N303" t="s">
        <v>620</v>
      </c>
      <c r="O303" t="s">
        <v>625</v>
      </c>
      <c r="P303">
        <v>0.17705012363726846</v>
      </c>
    </row>
    <row r="304" spans="1:16" x14ac:dyDescent="0.3">
      <c r="A304" t="s">
        <v>404</v>
      </c>
      <c r="B304" s="12">
        <v>45871</v>
      </c>
      <c r="C304" t="s">
        <v>229</v>
      </c>
      <c r="D304" t="s">
        <v>39</v>
      </c>
      <c r="E304" t="s">
        <v>52</v>
      </c>
      <c r="F304" t="s">
        <v>23</v>
      </c>
      <c r="G304" t="s">
        <v>35</v>
      </c>
      <c r="H304" t="s">
        <v>36</v>
      </c>
      <c r="I304">
        <v>7</v>
      </c>
      <c r="J304">
        <v>0.05</v>
      </c>
      <c r="K304">
        <v>161582.54</v>
      </c>
      <c r="L304">
        <v>10624.8</v>
      </c>
      <c r="M304">
        <v>2025</v>
      </c>
      <c r="N304" t="s">
        <v>620</v>
      </c>
      <c r="O304" t="s">
        <v>625</v>
      </c>
      <c r="P304">
        <v>6.5754629182088603E-2</v>
      </c>
    </row>
    <row r="305" spans="1:16" x14ac:dyDescent="0.3">
      <c r="A305" t="s">
        <v>405</v>
      </c>
      <c r="B305" s="12">
        <v>45871</v>
      </c>
      <c r="C305" t="s">
        <v>44</v>
      </c>
      <c r="D305" t="s">
        <v>21</v>
      </c>
      <c r="E305" t="s">
        <v>105</v>
      </c>
      <c r="F305" t="s">
        <v>16</v>
      </c>
      <c r="G305" t="s">
        <v>17</v>
      </c>
      <c r="H305" t="s">
        <v>18</v>
      </c>
      <c r="I305">
        <v>4</v>
      </c>
      <c r="J305">
        <v>0.2</v>
      </c>
      <c r="K305">
        <v>13752.68</v>
      </c>
      <c r="L305">
        <v>1192.5</v>
      </c>
      <c r="M305">
        <v>2025</v>
      </c>
      <c r="N305" t="s">
        <v>620</v>
      </c>
      <c r="O305" t="s">
        <v>625</v>
      </c>
      <c r="P305">
        <v>8.671037208747677E-2</v>
      </c>
    </row>
    <row r="306" spans="1:16" x14ac:dyDescent="0.3">
      <c r="A306" t="s">
        <v>406</v>
      </c>
      <c r="B306" s="12">
        <v>45872</v>
      </c>
      <c r="C306" t="s">
        <v>77</v>
      </c>
      <c r="D306" t="s">
        <v>14</v>
      </c>
      <c r="E306" t="s">
        <v>97</v>
      </c>
      <c r="F306" t="s">
        <v>23</v>
      </c>
      <c r="G306" t="s">
        <v>58</v>
      </c>
      <c r="H306" t="s">
        <v>59</v>
      </c>
      <c r="I306">
        <v>7</v>
      </c>
      <c r="J306">
        <v>0.05</v>
      </c>
      <c r="K306">
        <v>305778.27</v>
      </c>
      <c r="L306">
        <v>25062.47</v>
      </c>
      <c r="M306">
        <v>2025</v>
      </c>
      <c r="N306" t="s">
        <v>620</v>
      </c>
      <c r="O306" t="s">
        <v>625</v>
      </c>
      <c r="P306">
        <v>8.1962887683287633E-2</v>
      </c>
    </row>
    <row r="307" spans="1:16" x14ac:dyDescent="0.3">
      <c r="A307" t="s">
        <v>407</v>
      </c>
      <c r="B307" s="12">
        <v>45872</v>
      </c>
      <c r="C307" t="s">
        <v>32</v>
      </c>
      <c r="D307" t="s">
        <v>39</v>
      </c>
      <c r="E307" t="s">
        <v>52</v>
      </c>
      <c r="F307" t="s">
        <v>16</v>
      </c>
      <c r="G307" t="s">
        <v>62</v>
      </c>
      <c r="H307" t="s">
        <v>180</v>
      </c>
      <c r="I307">
        <v>5</v>
      </c>
      <c r="J307">
        <v>0.15</v>
      </c>
      <c r="K307">
        <v>40112.65</v>
      </c>
      <c r="L307">
        <v>6917</v>
      </c>
      <c r="M307">
        <v>2025</v>
      </c>
      <c r="N307" t="s">
        <v>620</v>
      </c>
      <c r="O307" t="s">
        <v>625</v>
      </c>
      <c r="P307">
        <v>0.17243936763090945</v>
      </c>
    </row>
    <row r="308" spans="1:16" x14ac:dyDescent="0.3">
      <c r="A308" t="s">
        <v>408</v>
      </c>
      <c r="B308" s="12">
        <v>45873</v>
      </c>
      <c r="C308" t="s">
        <v>61</v>
      </c>
      <c r="D308" t="s">
        <v>14</v>
      </c>
      <c r="E308" t="s">
        <v>54</v>
      </c>
      <c r="F308" t="s">
        <v>16</v>
      </c>
      <c r="G308" t="s">
        <v>41</v>
      </c>
      <c r="H308" t="s">
        <v>177</v>
      </c>
      <c r="I308">
        <v>4</v>
      </c>
      <c r="J308">
        <v>0.1</v>
      </c>
      <c r="K308">
        <v>10182.84</v>
      </c>
      <c r="L308">
        <v>897.61</v>
      </c>
      <c r="M308">
        <v>2025</v>
      </c>
      <c r="N308" t="s">
        <v>620</v>
      </c>
      <c r="O308" t="s">
        <v>625</v>
      </c>
      <c r="P308">
        <v>8.8149278590255759E-2</v>
      </c>
    </row>
    <row r="309" spans="1:16" x14ac:dyDescent="0.3">
      <c r="A309" t="s">
        <v>409</v>
      </c>
      <c r="B309" s="12">
        <v>45873</v>
      </c>
      <c r="C309" t="s">
        <v>61</v>
      </c>
      <c r="D309" t="s">
        <v>21</v>
      </c>
      <c r="E309" t="s">
        <v>22</v>
      </c>
      <c r="F309" t="s">
        <v>23</v>
      </c>
      <c r="G309" t="s">
        <v>48</v>
      </c>
      <c r="H309" t="s">
        <v>118</v>
      </c>
      <c r="I309">
        <v>4</v>
      </c>
      <c r="J309">
        <v>0.15</v>
      </c>
      <c r="K309">
        <v>89488.28</v>
      </c>
      <c r="L309">
        <v>17264.349999999999</v>
      </c>
      <c r="M309">
        <v>2025</v>
      </c>
      <c r="N309" t="s">
        <v>620</v>
      </c>
      <c r="O309" t="s">
        <v>625</v>
      </c>
      <c r="P309">
        <v>0.1929230285798319</v>
      </c>
    </row>
    <row r="310" spans="1:16" x14ac:dyDescent="0.3">
      <c r="A310" t="s">
        <v>410</v>
      </c>
      <c r="B310" s="12">
        <v>45875</v>
      </c>
      <c r="C310" t="s">
        <v>179</v>
      </c>
      <c r="D310" t="s">
        <v>21</v>
      </c>
      <c r="E310" t="s">
        <v>22</v>
      </c>
      <c r="F310" t="s">
        <v>28</v>
      </c>
      <c r="G310" t="s">
        <v>92</v>
      </c>
      <c r="H310" t="s">
        <v>93</v>
      </c>
      <c r="I310">
        <v>5</v>
      </c>
      <c r="J310">
        <v>0</v>
      </c>
      <c r="K310">
        <v>12100.05</v>
      </c>
      <c r="L310">
        <v>1923.84</v>
      </c>
      <c r="M310">
        <v>2025</v>
      </c>
      <c r="N310" t="s">
        <v>620</v>
      </c>
      <c r="O310" t="s">
        <v>625</v>
      </c>
      <c r="P310">
        <v>0.15899438432072596</v>
      </c>
    </row>
    <row r="311" spans="1:16" x14ac:dyDescent="0.3">
      <c r="A311" t="s">
        <v>411</v>
      </c>
      <c r="B311" s="12">
        <v>45876</v>
      </c>
      <c r="C311" t="s">
        <v>77</v>
      </c>
      <c r="D311" t="s">
        <v>33</v>
      </c>
      <c r="E311" t="s">
        <v>140</v>
      </c>
      <c r="F311" t="s">
        <v>16</v>
      </c>
      <c r="G311" t="s">
        <v>62</v>
      </c>
      <c r="H311" t="s">
        <v>63</v>
      </c>
      <c r="I311">
        <v>4</v>
      </c>
      <c r="J311">
        <v>0.1</v>
      </c>
      <c r="K311">
        <v>5405.96</v>
      </c>
      <c r="L311">
        <v>431.97</v>
      </c>
      <c r="M311">
        <v>2025</v>
      </c>
      <c r="N311" t="s">
        <v>620</v>
      </c>
      <c r="O311" t="s">
        <v>625</v>
      </c>
      <c r="P311">
        <v>7.9906251618583932E-2</v>
      </c>
    </row>
    <row r="312" spans="1:16" x14ac:dyDescent="0.3">
      <c r="A312" t="s">
        <v>412</v>
      </c>
      <c r="B312" s="12">
        <v>45877</v>
      </c>
      <c r="C312" t="s">
        <v>27</v>
      </c>
      <c r="D312" t="s">
        <v>21</v>
      </c>
      <c r="E312" t="s">
        <v>57</v>
      </c>
      <c r="F312" t="s">
        <v>23</v>
      </c>
      <c r="G312" t="s">
        <v>58</v>
      </c>
      <c r="H312" t="s">
        <v>78</v>
      </c>
      <c r="I312">
        <v>7</v>
      </c>
      <c r="J312">
        <v>0.2</v>
      </c>
      <c r="K312">
        <v>339572.8</v>
      </c>
      <c r="L312">
        <v>17254.38</v>
      </c>
      <c r="M312">
        <v>2025</v>
      </c>
      <c r="N312" t="s">
        <v>620</v>
      </c>
      <c r="O312" t="s">
        <v>625</v>
      </c>
      <c r="P312">
        <v>5.0812020279598372E-2</v>
      </c>
    </row>
    <row r="313" spans="1:16" x14ac:dyDescent="0.3">
      <c r="A313" t="s">
        <v>413</v>
      </c>
      <c r="B313" s="12">
        <v>45878</v>
      </c>
      <c r="C313" t="s">
        <v>66</v>
      </c>
      <c r="D313" t="s">
        <v>21</v>
      </c>
      <c r="E313" t="s">
        <v>57</v>
      </c>
      <c r="F313" t="s">
        <v>16</v>
      </c>
      <c r="G313" t="s">
        <v>68</v>
      </c>
      <c r="H313" t="s">
        <v>69</v>
      </c>
      <c r="I313">
        <v>5</v>
      </c>
      <c r="J313">
        <v>0.1</v>
      </c>
      <c r="K313">
        <v>43851.7</v>
      </c>
      <c r="L313">
        <v>5160.26</v>
      </c>
      <c r="M313">
        <v>2025</v>
      </c>
      <c r="N313" t="s">
        <v>620</v>
      </c>
      <c r="O313" t="s">
        <v>625</v>
      </c>
      <c r="P313">
        <v>0.11767525546330018</v>
      </c>
    </row>
    <row r="314" spans="1:16" x14ac:dyDescent="0.3">
      <c r="A314" t="s">
        <v>414</v>
      </c>
      <c r="B314" s="12">
        <v>45881</v>
      </c>
      <c r="C314" t="s">
        <v>179</v>
      </c>
      <c r="D314" t="s">
        <v>39</v>
      </c>
      <c r="E314" t="s">
        <v>40</v>
      </c>
      <c r="F314" t="s">
        <v>16</v>
      </c>
      <c r="G314" t="s">
        <v>17</v>
      </c>
      <c r="H314" t="s">
        <v>88</v>
      </c>
      <c r="I314">
        <v>6</v>
      </c>
      <c r="J314">
        <v>0.2</v>
      </c>
      <c r="K314">
        <v>40357.14</v>
      </c>
      <c r="L314">
        <v>3682.16</v>
      </c>
      <c r="M314">
        <v>2025</v>
      </c>
      <c r="N314" t="s">
        <v>620</v>
      </c>
      <c r="O314" t="s">
        <v>625</v>
      </c>
      <c r="P314">
        <v>9.1239369291282776E-2</v>
      </c>
    </row>
    <row r="315" spans="1:16" x14ac:dyDescent="0.3">
      <c r="A315" t="s">
        <v>415</v>
      </c>
      <c r="B315" s="12">
        <v>45883</v>
      </c>
      <c r="C315" t="s">
        <v>51</v>
      </c>
      <c r="D315" t="s">
        <v>39</v>
      </c>
      <c r="E315" t="s">
        <v>40</v>
      </c>
      <c r="F315" t="s">
        <v>16</v>
      </c>
      <c r="G315" t="s">
        <v>17</v>
      </c>
      <c r="H315" t="s">
        <v>18</v>
      </c>
      <c r="I315">
        <v>2</v>
      </c>
      <c r="J315">
        <v>0</v>
      </c>
      <c r="K315">
        <v>19618.86</v>
      </c>
      <c r="L315">
        <v>3406.73</v>
      </c>
      <c r="M315">
        <v>2025</v>
      </c>
      <c r="N315" t="s">
        <v>620</v>
      </c>
      <c r="O315" t="s">
        <v>625</v>
      </c>
      <c r="P315">
        <v>0.17364566544641227</v>
      </c>
    </row>
    <row r="316" spans="1:16" x14ac:dyDescent="0.3">
      <c r="A316" t="s">
        <v>416</v>
      </c>
      <c r="B316" s="12">
        <v>45885</v>
      </c>
      <c r="C316" t="s">
        <v>85</v>
      </c>
      <c r="D316" t="s">
        <v>33</v>
      </c>
      <c r="E316" t="s">
        <v>86</v>
      </c>
      <c r="F316" t="s">
        <v>28</v>
      </c>
      <c r="G316" t="s">
        <v>71</v>
      </c>
      <c r="H316" t="s">
        <v>72</v>
      </c>
      <c r="I316">
        <v>4</v>
      </c>
      <c r="J316">
        <v>0.2</v>
      </c>
      <c r="K316">
        <v>8186.84</v>
      </c>
      <c r="L316">
        <v>833.23</v>
      </c>
      <c r="M316">
        <v>2025</v>
      </c>
      <c r="N316" t="s">
        <v>620</v>
      </c>
      <c r="O316" t="s">
        <v>625</v>
      </c>
      <c r="P316">
        <v>0.10177675391237645</v>
      </c>
    </row>
    <row r="317" spans="1:16" x14ac:dyDescent="0.3">
      <c r="A317" t="s">
        <v>417</v>
      </c>
      <c r="B317" s="12">
        <v>45885</v>
      </c>
      <c r="C317" t="s">
        <v>100</v>
      </c>
      <c r="D317" t="s">
        <v>33</v>
      </c>
      <c r="E317" t="s">
        <v>34</v>
      </c>
      <c r="F317" t="s">
        <v>28</v>
      </c>
      <c r="G317" t="s">
        <v>29</v>
      </c>
      <c r="H317" t="s">
        <v>30</v>
      </c>
      <c r="I317">
        <v>4</v>
      </c>
      <c r="J317">
        <v>0.1</v>
      </c>
      <c r="K317">
        <v>15583.2</v>
      </c>
      <c r="L317">
        <v>1191.8499999999999</v>
      </c>
      <c r="M317">
        <v>2025</v>
      </c>
      <c r="N317" t="s">
        <v>620</v>
      </c>
      <c r="O317" t="s">
        <v>625</v>
      </c>
      <c r="P317">
        <v>7.6483007341239279E-2</v>
      </c>
    </row>
    <row r="318" spans="1:16" x14ac:dyDescent="0.3">
      <c r="A318" t="s">
        <v>418</v>
      </c>
      <c r="B318" s="12">
        <v>45886</v>
      </c>
      <c r="C318" t="s">
        <v>13</v>
      </c>
      <c r="D318" t="s">
        <v>21</v>
      </c>
      <c r="E318" t="s">
        <v>105</v>
      </c>
      <c r="F318" t="s">
        <v>23</v>
      </c>
      <c r="G318" t="s">
        <v>24</v>
      </c>
      <c r="H318" t="s">
        <v>25</v>
      </c>
      <c r="I318">
        <v>1</v>
      </c>
      <c r="J318">
        <v>0.2</v>
      </c>
      <c r="K318">
        <v>1170.69</v>
      </c>
      <c r="L318">
        <v>42.13</v>
      </c>
      <c r="M318">
        <v>2025</v>
      </c>
      <c r="N318" t="s">
        <v>620</v>
      </c>
      <c r="O318" t="s">
        <v>625</v>
      </c>
      <c r="P318">
        <v>3.5987323715074016E-2</v>
      </c>
    </row>
    <row r="319" spans="1:16" x14ac:dyDescent="0.3">
      <c r="A319" t="s">
        <v>419</v>
      </c>
      <c r="B319" s="12">
        <v>45886</v>
      </c>
      <c r="C319" t="s">
        <v>66</v>
      </c>
      <c r="D319" t="s">
        <v>33</v>
      </c>
      <c r="E319" t="s">
        <v>34</v>
      </c>
      <c r="F319" t="s">
        <v>23</v>
      </c>
      <c r="G319" t="s">
        <v>58</v>
      </c>
      <c r="H319" t="s">
        <v>78</v>
      </c>
      <c r="I319">
        <v>3</v>
      </c>
      <c r="J319">
        <v>0</v>
      </c>
      <c r="K319">
        <v>105042.69</v>
      </c>
      <c r="L319">
        <v>17744.509999999998</v>
      </c>
      <c r="M319">
        <v>2025</v>
      </c>
      <c r="N319" t="s">
        <v>620</v>
      </c>
      <c r="O319" t="s">
        <v>625</v>
      </c>
      <c r="P319">
        <v>0.1689266525828689</v>
      </c>
    </row>
    <row r="320" spans="1:16" x14ac:dyDescent="0.3">
      <c r="A320" t="s">
        <v>420</v>
      </c>
      <c r="B320" s="12">
        <v>45887</v>
      </c>
      <c r="C320" t="s">
        <v>95</v>
      </c>
      <c r="D320" t="s">
        <v>21</v>
      </c>
      <c r="E320" t="s">
        <v>22</v>
      </c>
      <c r="F320" t="s">
        <v>28</v>
      </c>
      <c r="G320" t="s">
        <v>29</v>
      </c>
      <c r="H320" t="s">
        <v>30</v>
      </c>
      <c r="I320">
        <v>4</v>
      </c>
      <c r="J320">
        <v>0.1</v>
      </c>
      <c r="K320">
        <v>1939.72</v>
      </c>
      <c r="L320">
        <v>282.77999999999997</v>
      </c>
      <c r="M320">
        <v>2025</v>
      </c>
      <c r="N320" t="s">
        <v>620</v>
      </c>
      <c r="O320" t="s">
        <v>625</v>
      </c>
      <c r="P320">
        <v>0.14578392757717606</v>
      </c>
    </row>
    <row r="321" spans="1:16" x14ac:dyDescent="0.3">
      <c r="A321" t="s">
        <v>421</v>
      </c>
      <c r="B321" s="12">
        <v>45887</v>
      </c>
      <c r="C321" t="s">
        <v>143</v>
      </c>
      <c r="D321" t="s">
        <v>39</v>
      </c>
      <c r="E321" t="s">
        <v>47</v>
      </c>
      <c r="F321" t="s">
        <v>28</v>
      </c>
      <c r="G321" t="s">
        <v>74</v>
      </c>
      <c r="H321" t="s">
        <v>75</v>
      </c>
      <c r="I321">
        <v>4</v>
      </c>
      <c r="J321">
        <v>0</v>
      </c>
      <c r="K321">
        <v>9316.4</v>
      </c>
      <c r="L321">
        <v>1570.93</v>
      </c>
      <c r="M321">
        <v>2025</v>
      </c>
      <c r="N321" t="s">
        <v>620</v>
      </c>
      <c r="O321" t="s">
        <v>625</v>
      </c>
      <c r="P321">
        <v>0.16861985316216566</v>
      </c>
    </row>
    <row r="322" spans="1:16" x14ac:dyDescent="0.3">
      <c r="A322" t="s">
        <v>422</v>
      </c>
      <c r="B322" s="12">
        <v>45888</v>
      </c>
      <c r="C322" t="s">
        <v>27</v>
      </c>
      <c r="D322" t="s">
        <v>14</v>
      </c>
      <c r="E322" t="s">
        <v>114</v>
      </c>
      <c r="F322" t="s">
        <v>28</v>
      </c>
      <c r="G322" t="s">
        <v>71</v>
      </c>
      <c r="H322" t="s">
        <v>72</v>
      </c>
      <c r="I322">
        <v>4</v>
      </c>
      <c r="J322">
        <v>0.15</v>
      </c>
      <c r="K322">
        <v>17316.84</v>
      </c>
      <c r="L322">
        <v>1450.33</v>
      </c>
      <c r="M322">
        <v>2025</v>
      </c>
      <c r="N322" t="s">
        <v>620</v>
      </c>
      <c r="O322" t="s">
        <v>625</v>
      </c>
      <c r="P322">
        <v>8.3752578414999501E-2</v>
      </c>
    </row>
    <row r="323" spans="1:16" x14ac:dyDescent="0.3">
      <c r="A323" t="s">
        <v>423</v>
      </c>
      <c r="B323" s="12">
        <v>45888</v>
      </c>
      <c r="C323" t="s">
        <v>229</v>
      </c>
      <c r="D323" t="s">
        <v>14</v>
      </c>
      <c r="E323" t="s">
        <v>97</v>
      </c>
      <c r="F323" t="s">
        <v>23</v>
      </c>
      <c r="G323" t="s">
        <v>35</v>
      </c>
      <c r="H323" t="s">
        <v>36</v>
      </c>
      <c r="I323">
        <v>7</v>
      </c>
      <c r="J323">
        <v>0.2</v>
      </c>
      <c r="K323">
        <v>278397.07</v>
      </c>
      <c r="L323">
        <v>19549.09</v>
      </c>
      <c r="M323">
        <v>2025</v>
      </c>
      <c r="N323" t="s">
        <v>620</v>
      </c>
      <c r="O323" t="s">
        <v>625</v>
      </c>
      <c r="P323">
        <v>7.0220171498212969E-2</v>
      </c>
    </row>
    <row r="324" spans="1:16" x14ac:dyDescent="0.3">
      <c r="A324" t="s">
        <v>424</v>
      </c>
      <c r="B324" s="12">
        <v>45889</v>
      </c>
      <c r="C324" t="s">
        <v>147</v>
      </c>
      <c r="D324" t="s">
        <v>33</v>
      </c>
      <c r="E324" t="s">
        <v>140</v>
      </c>
      <c r="F324" t="s">
        <v>28</v>
      </c>
      <c r="G324" t="s">
        <v>29</v>
      </c>
      <c r="H324" t="s">
        <v>98</v>
      </c>
      <c r="I324">
        <v>4</v>
      </c>
      <c r="J324">
        <v>0.05</v>
      </c>
      <c r="K324">
        <v>12889.16</v>
      </c>
      <c r="L324">
        <v>1652.12</v>
      </c>
      <c r="M324">
        <v>2025</v>
      </c>
      <c r="N324" t="s">
        <v>620</v>
      </c>
      <c r="O324" t="s">
        <v>625</v>
      </c>
      <c r="P324">
        <v>0.12817902795837743</v>
      </c>
    </row>
    <row r="325" spans="1:16" x14ac:dyDescent="0.3">
      <c r="A325" t="s">
        <v>425</v>
      </c>
      <c r="B325" s="12">
        <v>45889</v>
      </c>
      <c r="C325" t="s">
        <v>32</v>
      </c>
      <c r="D325" t="s">
        <v>14</v>
      </c>
      <c r="E325" t="s">
        <v>15</v>
      </c>
      <c r="F325" t="s">
        <v>23</v>
      </c>
      <c r="G325" t="s">
        <v>35</v>
      </c>
      <c r="H325" t="s">
        <v>36</v>
      </c>
      <c r="I325">
        <v>1</v>
      </c>
      <c r="J325">
        <v>0.2</v>
      </c>
      <c r="K325">
        <v>31012.799999999999</v>
      </c>
      <c r="L325">
        <v>2732.41</v>
      </c>
      <c r="M325">
        <v>2025</v>
      </c>
      <c r="N325" t="s">
        <v>620</v>
      </c>
      <c r="O325" t="s">
        <v>625</v>
      </c>
      <c r="P325">
        <v>8.8105878862921108E-2</v>
      </c>
    </row>
    <row r="326" spans="1:16" x14ac:dyDescent="0.3">
      <c r="A326" t="s">
        <v>426</v>
      </c>
      <c r="B326" s="12">
        <v>45889</v>
      </c>
      <c r="C326" t="s">
        <v>77</v>
      </c>
      <c r="D326" t="s">
        <v>21</v>
      </c>
      <c r="E326" t="s">
        <v>22</v>
      </c>
      <c r="F326" t="s">
        <v>16</v>
      </c>
      <c r="G326" t="s">
        <v>68</v>
      </c>
      <c r="H326" t="s">
        <v>175</v>
      </c>
      <c r="I326">
        <v>4</v>
      </c>
      <c r="J326">
        <v>0</v>
      </c>
      <c r="K326">
        <v>7203.04</v>
      </c>
      <c r="L326">
        <v>1420.58</v>
      </c>
      <c r="M326">
        <v>2025</v>
      </c>
      <c r="N326" t="s">
        <v>620</v>
      </c>
      <c r="O326" t="s">
        <v>625</v>
      </c>
      <c r="P326">
        <v>0.1972195073191319</v>
      </c>
    </row>
    <row r="327" spans="1:16" x14ac:dyDescent="0.3">
      <c r="A327" t="s">
        <v>427</v>
      </c>
      <c r="B327" s="12">
        <v>45890</v>
      </c>
      <c r="C327" t="s">
        <v>20</v>
      </c>
      <c r="D327" t="s">
        <v>39</v>
      </c>
      <c r="E327" t="s">
        <v>40</v>
      </c>
      <c r="F327" t="s">
        <v>23</v>
      </c>
      <c r="G327" t="s">
        <v>35</v>
      </c>
      <c r="H327" t="s">
        <v>155</v>
      </c>
      <c r="I327">
        <v>4</v>
      </c>
      <c r="J327">
        <v>0.15</v>
      </c>
      <c r="K327">
        <v>73045.36</v>
      </c>
      <c r="L327">
        <v>13806.34</v>
      </c>
      <c r="M327">
        <v>2025</v>
      </c>
      <c r="N327" t="s">
        <v>620</v>
      </c>
      <c r="O327" t="s">
        <v>625</v>
      </c>
      <c r="P327">
        <v>0.18901049977712478</v>
      </c>
    </row>
    <row r="328" spans="1:16" x14ac:dyDescent="0.3">
      <c r="A328" t="s">
        <v>428</v>
      </c>
      <c r="B328" s="12">
        <v>45893</v>
      </c>
      <c r="C328" t="s">
        <v>13</v>
      </c>
      <c r="D328" t="s">
        <v>33</v>
      </c>
      <c r="E328" t="s">
        <v>140</v>
      </c>
      <c r="F328" t="s">
        <v>23</v>
      </c>
      <c r="G328" t="s">
        <v>48</v>
      </c>
      <c r="H328" t="s">
        <v>49</v>
      </c>
      <c r="I328">
        <v>1</v>
      </c>
      <c r="J328">
        <v>0.05</v>
      </c>
      <c r="K328">
        <v>26618.91</v>
      </c>
      <c r="L328">
        <v>1874.85</v>
      </c>
      <c r="M328">
        <v>2025</v>
      </c>
      <c r="N328" t="s">
        <v>620</v>
      </c>
      <c r="O328" t="s">
        <v>625</v>
      </c>
      <c r="P328">
        <v>7.0433011719863811E-2</v>
      </c>
    </row>
    <row r="329" spans="1:16" x14ac:dyDescent="0.3">
      <c r="A329" t="s">
        <v>429</v>
      </c>
      <c r="B329" s="12">
        <v>45894</v>
      </c>
      <c r="C329" t="s">
        <v>147</v>
      </c>
      <c r="D329" t="s">
        <v>39</v>
      </c>
      <c r="E329" t="s">
        <v>128</v>
      </c>
      <c r="F329" t="s">
        <v>16</v>
      </c>
      <c r="G329" t="s">
        <v>68</v>
      </c>
      <c r="H329" t="s">
        <v>69</v>
      </c>
      <c r="I329">
        <v>1</v>
      </c>
      <c r="J329">
        <v>0.2</v>
      </c>
      <c r="K329">
        <v>11480.95</v>
      </c>
      <c r="L329">
        <v>1308.74</v>
      </c>
      <c r="M329">
        <v>2025</v>
      </c>
      <c r="N329" t="s">
        <v>620</v>
      </c>
      <c r="O329" t="s">
        <v>625</v>
      </c>
      <c r="P329">
        <v>0.11399230899881978</v>
      </c>
    </row>
    <row r="330" spans="1:16" x14ac:dyDescent="0.3">
      <c r="A330" t="s">
        <v>430</v>
      </c>
      <c r="B330" s="12">
        <v>45894</v>
      </c>
      <c r="C330" t="s">
        <v>147</v>
      </c>
      <c r="D330" t="s">
        <v>39</v>
      </c>
      <c r="E330" t="s">
        <v>40</v>
      </c>
      <c r="F330" t="s">
        <v>28</v>
      </c>
      <c r="G330" t="s">
        <v>92</v>
      </c>
      <c r="H330" t="s">
        <v>93</v>
      </c>
      <c r="I330">
        <v>7</v>
      </c>
      <c r="J330">
        <v>0.1</v>
      </c>
      <c r="K330">
        <v>13100.85</v>
      </c>
      <c r="L330">
        <v>2773.41</v>
      </c>
      <c r="M330">
        <v>2025</v>
      </c>
      <c r="N330" t="s">
        <v>620</v>
      </c>
      <c r="O330" t="s">
        <v>625</v>
      </c>
      <c r="P330">
        <v>0.21169695096119714</v>
      </c>
    </row>
    <row r="331" spans="1:16" x14ac:dyDescent="0.3">
      <c r="A331" t="s">
        <v>431</v>
      </c>
      <c r="B331" s="12">
        <v>45895</v>
      </c>
      <c r="C331" t="s">
        <v>100</v>
      </c>
      <c r="D331" t="s">
        <v>39</v>
      </c>
      <c r="E331" t="s">
        <v>52</v>
      </c>
      <c r="F331" t="s">
        <v>16</v>
      </c>
      <c r="G331" t="s">
        <v>41</v>
      </c>
      <c r="H331" t="s">
        <v>177</v>
      </c>
      <c r="I331">
        <v>7</v>
      </c>
      <c r="J331">
        <v>0.05</v>
      </c>
      <c r="K331">
        <v>5953.01</v>
      </c>
      <c r="L331">
        <v>824.85</v>
      </c>
      <c r="M331">
        <v>2025</v>
      </c>
      <c r="N331" t="s">
        <v>620</v>
      </c>
      <c r="O331" t="s">
        <v>625</v>
      </c>
      <c r="P331">
        <v>0.1385601569626122</v>
      </c>
    </row>
    <row r="332" spans="1:16" x14ac:dyDescent="0.3">
      <c r="A332" t="s">
        <v>432</v>
      </c>
      <c r="B332" s="12">
        <v>45896</v>
      </c>
      <c r="C332" t="s">
        <v>66</v>
      </c>
      <c r="D332" t="s">
        <v>39</v>
      </c>
      <c r="E332" t="s">
        <v>128</v>
      </c>
      <c r="F332" t="s">
        <v>23</v>
      </c>
      <c r="G332" t="s">
        <v>58</v>
      </c>
      <c r="H332" t="s">
        <v>101</v>
      </c>
      <c r="I332">
        <v>7</v>
      </c>
      <c r="J332">
        <v>0</v>
      </c>
      <c r="K332">
        <v>334862.64</v>
      </c>
      <c r="L332">
        <v>30174.53</v>
      </c>
      <c r="M332">
        <v>2025</v>
      </c>
      <c r="N332" t="s">
        <v>620</v>
      </c>
      <c r="O332" t="s">
        <v>625</v>
      </c>
      <c r="P332">
        <v>9.0110171740866635E-2</v>
      </c>
    </row>
    <row r="333" spans="1:16" x14ac:dyDescent="0.3">
      <c r="A333" t="s">
        <v>433</v>
      </c>
      <c r="B333" s="12">
        <v>45896</v>
      </c>
      <c r="C333" t="s">
        <v>66</v>
      </c>
      <c r="D333" t="s">
        <v>33</v>
      </c>
      <c r="E333" t="s">
        <v>86</v>
      </c>
      <c r="F333" t="s">
        <v>23</v>
      </c>
      <c r="G333" t="s">
        <v>48</v>
      </c>
      <c r="H333" t="s">
        <v>49</v>
      </c>
      <c r="I333">
        <v>3</v>
      </c>
      <c r="J333">
        <v>0.15</v>
      </c>
      <c r="K333">
        <v>6703.32</v>
      </c>
      <c r="L333">
        <v>662.03</v>
      </c>
      <c r="M333">
        <v>2025</v>
      </c>
      <c r="N333" t="s">
        <v>620</v>
      </c>
      <c r="O333" t="s">
        <v>625</v>
      </c>
      <c r="P333">
        <v>9.8761509222295818E-2</v>
      </c>
    </row>
    <row r="334" spans="1:16" x14ac:dyDescent="0.3">
      <c r="A334" t="s">
        <v>434</v>
      </c>
      <c r="B334" s="12">
        <v>45896</v>
      </c>
      <c r="C334" t="s">
        <v>85</v>
      </c>
      <c r="D334" t="s">
        <v>39</v>
      </c>
      <c r="E334" t="s">
        <v>47</v>
      </c>
      <c r="F334" t="s">
        <v>28</v>
      </c>
      <c r="G334" t="s">
        <v>29</v>
      </c>
      <c r="H334" t="s">
        <v>30</v>
      </c>
      <c r="I334">
        <v>1</v>
      </c>
      <c r="J334">
        <v>0.2</v>
      </c>
      <c r="K334">
        <v>2528.9499999999998</v>
      </c>
      <c r="L334">
        <v>170.26</v>
      </c>
      <c r="M334">
        <v>2025</v>
      </c>
      <c r="N334" t="s">
        <v>620</v>
      </c>
      <c r="O334" t="s">
        <v>625</v>
      </c>
      <c r="P334">
        <v>6.7324383637478002E-2</v>
      </c>
    </row>
    <row r="335" spans="1:16" x14ac:dyDescent="0.3">
      <c r="A335" t="s">
        <v>435</v>
      </c>
      <c r="B335" s="12">
        <v>45897</v>
      </c>
      <c r="C335" t="s">
        <v>143</v>
      </c>
      <c r="D335" t="s">
        <v>14</v>
      </c>
      <c r="E335" t="s">
        <v>54</v>
      </c>
      <c r="F335" t="s">
        <v>23</v>
      </c>
      <c r="G335" t="s">
        <v>24</v>
      </c>
      <c r="H335" t="s">
        <v>129</v>
      </c>
      <c r="I335">
        <v>5</v>
      </c>
      <c r="J335">
        <v>0.15</v>
      </c>
      <c r="K335">
        <v>180733.6</v>
      </c>
      <c r="L335">
        <v>30201.25</v>
      </c>
      <c r="M335">
        <v>2025</v>
      </c>
      <c r="N335" t="s">
        <v>620</v>
      </c>
      <c r="O335" t="s">
        <v>625</v>
      </c>
      <c r="P335">
        <v>0.16710368188316949</v>
      </c>
    </row>
    <row r="336" spans="1:16" x14ac:dyDescent="0.3">
      <c r="A336" t="s">
        <v>436</v>
      </c>
      <c r="B336" s="12">
        <v>45898</v>
      </c>
      <c r="C336" t="s">
        <v>32</v>
      </c>
      <c r="D336" t="s">
        <v>21</v>
      </c>
      <c r="E336" t="s">
        <v>22</v>
      </c>
      <c r="F336" t="s">
        <v>16</v>
      </c>
      <c r="G336" t="s">
        <v>17</v>
      </c>
      <c r="H336" t="s">
        <v>153</v>
      </c>
      <c r="I336">
        <v>6</v>
      </c>
      <c r="J336">
        <v>0</v>
      </c>
      <c r="K336">
        <v>58253.1</v>
      </c>
      <c r="L336">
        <v>9792.59</v>
      </c>
      <c r="M336">
        <v>2025</v>
      </c>
      <c r="N336" t="s">
        <v>620</v>
      </c>
      <c r="O336" t="s">
        <v>625</v>
      </c>
      <c r="P336">
        <v>0.1681041867299766</v>
      </c>
    </row>
    <row r="337" spans="1:16" x14ac:dyDescent="0.3">
      <c r="A337" t="s">
        <v>437</v>
      </c>
      <c r="B337" s="12">
        <v>45899</v>
      </c>
      <c r="C337" t="s">
        <v>104</v>
      </c>
      <c r="D337" t="s">
        <v>39</v>
      </c>
      <c r="E337" t="s">
        <v>128</v>
      </c>
      <c r="F337" t="s">
        <v>28</v>
      </c>
      <c r="G337" t="s">
        <v>71</v>
      </c>
      <c r="H337" t="s">
        <v>121</v>
      </c>
      <c r="I337">
        <v>7</v>
      </c>
      <c r="J337">
        <v>0.15</v>
      </c>
      <c r="K337">
        <v>8768.5499999999993</v>
      </c>
      <c r="L337">
        <v>1527.27</v>
      </c>
      <c r="M337">
        <v>2025</v>
      </c>
      <c r="N337" t="s">
        <v>620</v>
      </c>
      <c r="O337" t="s">
        <v>625</v>
      </c>
      <c r="P337">
        <v>0.17417588997040562</v>
      </c>
    </row>
    <row r="338" spans="1:16" x14ac:dyDescent="0.3">
      <c r="A338" t="s">
        <v>438</v>
      </c>
      <c r="B338" s="12">
        <v>45900</v>
      </c>
      <c r="C338" t="s">
        <v>38</v>
      </c>
      <c r="D338" t="s">
        <v>33</v>
      </c>
      <c r="E338" t="s">
        <v>34</v>
      </c>
      <c r="F338" t="s">
        <v>28</v>
      </c>
      <c r="G338" t="s">
        <v>71</v>
      </c>
      <c r="H338" t="s">
        <v>72</v>
      </c>
      <c r="I338">
        <v>4</v>
      </c>
      <c r="J338">
        <v>0.2</v>
      </c>
      <c r="K338">
        <v>18622.080000000002</v>
      </c>
      <c r="L338">
        <v>1122.1199999999999</v>
      </c>
      <c r="M338">
        <v>2025</v>
      </c>
      <c r="N338" t="s">
        <v>620</v>
      </c>
      <c r="O338" t="s">
        <v>625</v>
      </c>
      <c r="P338">
        <v>6.0257500773275581E-2</v>
      </c>
    </row>
    <row r="339" spans="1:16" x14ac:dyDescent="0.3">
      <c r="A339" t="s">
        <v>439</v>
      </c>
      <c r="B339" s="12">
        <v>45900</v>
      </c>
      <c r="C339" t="s">
        <v>20</v>
      </c>
      <c r="D339" t="s">
        <v>14</v>
      </c>
      <c r="E339" t="s">
        <v>114</v>
      </c>
      <c r="F339" t="s">
        <v>23</v>
      </c>
      <c r="G339" t="s">
        <v>24</v>
      </c>
      <c r="H339" t="s">
        <v>129</v>
      </c>
      <c r="I339">
        <v>7</v>
      </c>
      <c r="J339">
        <v>0.2</v>
      </c>
      <c r="K339">
        <v>167530.85999999999</v>
      </c>
      <c r="L339">
        <v>6862.07</v>
      </c>
      <c r="M339">
        <v>2025</v>
      </c>
      <c r="N339" t="s">
        <v>620</v>
      </c>
      <c r="O339" t="s">
        <v>625</v>
      </c>
      <c r="P339">
        <v>4.0960035661489473E-2</v>
      </c>
    </row>
    <row r="340" spans="1:16" x14ac:dyDescent="0.3">
      <c r="A340" t="s">
        <v>440</v>
      </c>
      <c r="B340" s="12">
        <v>45903</v>
      </c>
      <c r="C340" t="s">
        <v>56</v>
      </c>
      <c r="D340" t="s">
        <v>14</v>
      </c>
      <c r="E340" t="s">
        <v>54</v>
      </c>
      <c r="F340" t="s">
        <v>28</v>
      </c>
      <c r="G340" t="s">
        <v>71</v>
      </c>
      <c r="H340" t="s">
        <v>72</v>
      </c>
      <c r="I340">
        <v>7</v>
      </c>
      <c r="J340">
        <v>0</v>
      </c>
      <c r="K340">
        <v>25789.96</v>
      </c>
      <c r="L340">
        <v>3435.7</v>
      </c>
      <c r="M340">
        <v>2025</v>
      </c>
      <c r="N340" t="s">
        <v>621</v>
      </c>
      <c r="O340" t="s">
        <v>625</v>
      </c>
      <c r="P340">
        <v>0.13321850828772128</v>
      </c>
    </row>
    <row r="341" spans="1:16" x14ac:dyDescent="0.3">
      <c r="A341" t="s">
        <v>441</v>
      </c>
      <c r="B341" s="12">
        <v>45905</v>
      </c>
      <c r="C341" t="s">
        <v>32</v>
      </c>
      <c r="D341" t="s">
        <v>21</v>
      </c>
      <c r="E341" t="s">
        <v>67</v>
      </c>
      <c r="F341" t="s">
        <v>28</v>
      </c>
      <c r="G341" t="s">
        <v>71</v>
      </c>
      <c r="H341" t="s">
        <v>121</v>
      </c>
      <c r="I341">
        <v>4</v>
      </c>
      <c r="J341">
        <v>0.15</v>
      </c>
      <c r="K341">
        <v>10958.56</v>
      </c>
      <c r="L341">
        <v>1788.64</v>
      </c>
      <c r="M341">
        <v>2025</v>
      </c>
      <c r="N341" t="s">
        <v>621</v>
      </c>
      <c r="O341" t="s">
        <v>625</v>
      </c>
      <c r="P341">
        <v>0.16321852506168696</v>
      </c>
    </row>
    <row r="342" spans="1:16" x14ac:dyDescent="0.3">
      <c r="A342" t="s">
        <v>442</v>
      </c>
      <c r="B342" s="12">
        <v>45906</v>
      </c>
      <c r="C342" t="s">
        <v>66</v>
      </c>
      <c r="D342" t="s">
        <v>39</v>
      </c>
      <c r="E342" t="s">
        <v>47</v>
      </c>
      <c r="F342" t="s">
        <v>16</v>
      </c>
      <c r="G342" t="s">
        <v>17</v>
      </c>
      <c r="H342" t="s">
        <v>88</v>
      </c>
      <c r="I342">
        <v>2</v>
      </c>
      <c r="J342">
        <v>0.1</v>
      </c>
      <c r="K342">
        <v>10739.84</v>
      </c>
      <c r="L342">
        <v>2291.73</v>
      </c>
      <c r="M342">
        <v>2025</v>
      </c>
      <c r="N342" t="s">
        <v>621</v>
      </c>
      <c r="O342" t="s">
        <v>625</v>
      </c>
      <c r="P342">
        <v>0.21338586049699065</v>
      </c>
    </row>
    <row r="343" spans="1:16" x14ac:dyDescent="0.3">
      <c r="A343" t="s">
        <v>443</v>
      </c>
      <c r="B343" s="12">
        <v>45908</v>
      </c>
      <c r="C343" t="s">
        <v>13</v>
      </c>
      <c r="D343" t="s">
        <v>33</v>
      </c>
      <c r="E343" t="s">
        <v>86</v>
      </c>
      <c r="F343" t="s">
        <v>28</v>
      </c>
      <c r="G343" t="s">
        <v>29</v>
      </c>
      <c r="H343" t="s">
        <v>98</v>
      </c>
      <c r="I343">
        <v>1</v>
      </c>
      <c r="J343">
        <v>0.2</v>
      </c>
      <c r="K343">
        <v>756.67</v>
      </c>
      <c r="L343">
        <v>87.36</v>
      </c>
      <c r="M343">
        <v>2025</v>
      </c>
      <c r="N343" t="s">
        <v>621</v>
      </c>
      <c r="O343" t="s">
        <v>627</v>
      </c>
      <c r="P343">
        <v>0.11545323588882869</v>
      </c>
    </row>
    <row r="344" spans="1:16" x14ac:dyDescent="0.3">
      <c r="A344" t="s">
        <v>444</v>
      </c>
      <c r="B344" s="12">
        <v>45908</v>
      </c>
      <c r="C344" t="s">
        <v>32</v>
      </c>
      <c r="D344" t="s">
        <v>33</v>
      </c>
      <c r="E344" t="s">
        <v>140</v>
      </c>
      <c r="F344" t="s">
        <v>23</v>
      </c>
      <c r="G344" t="s">
        <v>58</v>
      </c>
      <c r="H344" t="s">
        <v>90</v>
      </c>
      <c r="I344">
        <v>7</v>
      </c>
      <c r="J344">
        <v>0.1</v>
      </c>
      <c r="K344">
        <v>310607.43</v>
      </c>
      <c r="L344">
        <v>50339.33</v>
      </c>
      <c r="M344">
        <v>2025</v>
      </c>
      <c r="N344" t="s">
        <v>621</v>
      </c>
      <c r="O344" t="s">
        <v>625</v>
      </c>
      <c r="P344">
        <v>0.16206737230979956</v>
      </c>
    </row>
    <row r="345" spans="1:16" x14ac:dyDescent="0.3">
      <c r="A345" t="s">
        <v>445</v>
      </c>
      <c r="B345" s="12">
        <v>45908</v>
      </c>
      <c r="C345" t="s">
        <v>20</v>
      </c>
      <c r="D345" t="s">
        <v>39</v>
      </c>
      <c r="E345" t="s">
        <v>47</v>
      </c>
      <c r="F345" t="s">
        <v>23</v>
      </c>
      <c r="G345" t="s">
        <v>58</v>
      </c>
      <c r="H345" t="s">
        <v>78</v>
      </c>
      <c r="I345">
        <v>6</v>
      </c>
      <c r="J345">
        <v>0.15</v>
      </c>
      <c r="K345">
        <v>56869.440000000002</v>
      </c>
      <c r="L345">
        <v>5614</v>
      </c>
      <c r="M345">
        <v>2025</v>
      </c>
      <c r="N345" t="s">
        <v>621</v>
      </c>
      <c r="O345" t="s">
        <v>625</v>
      </c>
      <c r="P345">
        <v>9.8717342741549766E-2</v>
      </c>
    </row>
    <row r="346" spans="1:16" x14ac:dyDescent="0.3">
      <c r="A346" t="s">
        <v>446</v>
      </c>
      <c r="B346" s="12">
        <v>45909</v>
      </c>
      <c r="C346" t="s">
        <v>66</v>
      </c>
      <c r="D346" t="s">
        <v>39</v>
      </c>
      <c r="E346" t="s">
        <v>128</v>
      </c>
      <c r="F346" t="s">
        <v>23</v>
      </c>
      <c r="G346" t="s">
        <v>58</v>
      </c>
      <c r="H346" t="s">
        <v>78</v>
      </c>
      <c r="I346">
        <v>3</v>
      </c>
      <c r="J346">
        <v>0.1</v>
      </c>
      <c r="K346">
        <v>107365.68</v>
      </c>
      <c r="L346">
        <v>11195.36</v>
      </c>
      <c r="M346">
        <v>2025</v>
      </c>
      <c r="N346" t="s">
        <v>621</v>
      </c>
      <c r="O346" t="s">
        <v>625</v>
      </c>
      <c r="P346">
        <v>0.1042731718366614</v>
      </c>
    </row>
    <row r="347" spans="1:16" x14ac:dyDescent="0.3">
      <c r="A347" t="s">
        <v>447</v>
      </c>
      <c r="B347" s="12">
        <v>45909</v>
      </c>
      <c r="C347" t="s">
        <v>179</v>
      </c>
      <c r="D347" t="s">
        <v>39</v>
      </c>
      <c r="E347" t="s">
        <v>40</v>
      </c>
      <c r="F347" t="s">
        <v>28</v>
      </c>
      <c r="G347" t="s">
        <v>71</v>
      </c>
      <c r="H347" t="s">
        <v>72</v>
      </c>
      <c r="I347">
        <v>2</v>
      </c>
      <c r="J347">
        <v>0.15</v>
      </c>
      <c r="K347">
        <v>9825.24</v>
      </c>
      <c r="L347">
        <v>1154.8599999999999</v>
      </c>
      <c r="M347">
        <v>2025</v>
      </c>
      <c r="N347" t="s">
        <v>621</v>
      </c>
      <c r="O347" t="s">
        <v>625</v>
      </c>
      <c r="P347">
        <v>0.1175401313352142</v>
      </c>
    </row>
    <row r="348" spans="1:16" x14ac:dyDescent="0.3">
      <c r="A348" t="s">
        <v>448</v>
      </c>
      <c r="B348" s="12">
        <v>45909</v>
      </c>
      <c r="C348" t="s">
        <v>100</v>
      </c>
      <c r="D348" t="s">
        <v>14</v>
      </c>
      <c r="E348" t="s">
        <v>54</v>
      </c>
      <c r="F348" t="s">
        <v>23</v>
      </c>
      <c r="G348" t="s">
        <v>24</v>
      </c>
      <c r="H348" t="s">
        <v>129</v>
      </c>
      <c r="I348">
        <v>3</v>
      </c>
      <c r="J348">
        <v>0</v>
      </c>
      <c r="K348">
        <v>100829.52</v>
      </c>
      <c r="L348">
        <v>9977.7900000000009</v>
      </c>
      <c r="M348">
        <v>2025</v>
      </c>
      <c r="N348" t="s">
        <v>621</v>
      </c>
      <c r="O348" t="s">
        <v>625</v>
      </c>
      <c r="P348">
        <v>9.8957031631212763E-2</v>
      </c>
    </row>
    <row r="349" spans="1:16" x14ac:dyDescent="0.3">
      <c r="A349" t="s">
        <v>449</v>
      </c>
      <c r="B349" s="12">
        <v>45911</v>
      </c>
      <c r="C349" t="s">
        <v>82</v>
      </c>
      <c r="D349" t="s">
        <v>14</v>
      </c>
      <c r="E349" t="s">
        <v>97</v>
      </c>
      <c r="F349" t="s">
        <v>23</v>
      </c>
      <c r="G349" t="s">
        <v>58</v>
      </c>
      <c r="H349" t="s">
        <v>78</v>
      </c>
      <c r="I349">
        <v>2</v>
      </c>
      <c r="J349">
        <v>0.1</v>
      </c>
      <c r="K349">
        <v>60577.9</v>
      </c>
      <c r="L349">
        <v>5504.68</v>
      </c>
      <c r="M349">
        <v>2025</v>
      </c>
      <c r="N349" t="s">
        <v>621</v>
      </c>
      <c r="O349" t="s">
        <v>625</v>
      </c>
      <c r="P349">
        <v>9.0869442486451332E-2</v>
      </c>
    </row>
    <row r="350" spans="1:16" x14ac:dyDescent="0.3">
      <c r="A350" t="s">
        <v>450</v>
      </c>
      <c r="B350" s="12">
        <v>45912</v>
      </c>
      <c r="C350" t="s">
        <v>135</v>
      </c>
      <c r="D350" t="s">
        <v>39</v>
      </c>
      <c r="E350" t="s">
        <v>128</v>
      </c>
      <c r="F350" t="s">
        <v>28</v>
      </c>
      <c r="G350" t="s">
        <v>92</v>
      </c>
      <c r="H350" t="s">
        <v>93</v>
      </c>
      <c r="I350">
        <v>7</v>
      </c>
      <c r="J350">
        <v>0.05</v>
      </c>
      <c r="K350">
        <v>2086.84</v>
      </c>
      <c r="L350">
        <v>139.44999999999999</v>
      </c>
      <c r="M350">
        <v>2025</v>
      </c>
      <c r="N350" t="s">
        <v>621</v>
      </c>
      <c r="O350" t="s">
        <v>625</v>
      </c>
      <c r="P350">
        <v>6.6823522646681094E-2</v>
      </c>
    </row>
    <row r="351" spans="1:16" x14ac:dyDescent="0.3">
      <c r="A351" t="s">
        <v>451</v>
      </c>
      <c r="B351" s="12">
        <v>45912</v>
      </c>
      <c r="C351" t="s">
        <v>56</v>
      </c>
      <c r="D351" t="s">
        <v>14</v>
      </c>
      <c r="E351" t="s">
        <v>97</v>
      </c>
      <c r="F351" t="s">
        <v>23</v>
      </c>
      <c r="G351" t="s">
        <v>58</v>
      </c>
      <c r="H351" t="s">
        <v>78</v>
      </c>
      <c r="I351">
        <v>6</v>
      </c>
      <c r="J351">
        <v>0.2</v>
      </c>
      <c r="K351">
        <v>104952.9</v>
      </c>
      <c r="L351">
        <v>4235.12</v>
      </c>
      <c r="M351">
        <v>2025</v>
      </c>
      <c r="N351" t="s">
        <v>621</v>
      </c>
      <c r="O351" t="s">
        <v>625</v>
      </c>
      <c r="P351">
        <v>4.0352577203678984E-2</v>
      </c>
    </row>
    <row r="352" spans="1:16" x14ac:dyDescent="0.3">
      <c r="A352" t="s">
        <v>452</v>
      </c>
      <c r="B352" s="12">
        <v>45913</v>
      </c>
      <c r="C352" t="s">
        <v>111</v>
      </c>
      <c r="D352" t="s">
        <v>21</v>
      </c>
      <c r="E352" t="s">
        <v>67</v>
      </c>
      <c r="F352" t="s">
        <v>16</v>
      </c>
      <c r="G352" t="s">
        <v>68</v>
      </c>
      <c r="H352" t="s">
        <v>69</v>
      </c>
      <c r="I352">
        <v>3</v>
      </c>
      <c r="J352">
        <v>0.1</v>
      </c>
      <c r="K352">
        <v>35961.81</v>
      </c>
      <c r="L352">
        <v>7325.68</v>
      </c>
      <c r="M352">
        <v>2025</v>
      </c>
      <c r="N352" t="s">
        <v>621</v>
      </c>
      <c r="O352" t="s">
        <v>625</v>
      </c>
      <c r="P352">
        <v>0.20370721051026078</v>
      </c>
    </row>
    <row r="353" spans="1:16" x14ac:dyDescent="0.3">
      <c r="A353" t="s">
        <v>453</v>
      </c>
      <c r="B353" s="12">
        <v>45914</v>
      </c>
      <c r="C353" t="s">
        <v>135</v>
      </c>
      <c r="D353" t="s">
        <v>33</v>
      </c>
      <c r="E353" t="s">
        <v>86</v>
      </c>
      <c r="F353" t="s">
        <v>28</v>
      </c>
      <c r="G353" t="s">
        <v>29</v>
      </c>
      <c r="H353" t="s">
        <v>30</v>
      </c>
      <c r="I353">
        <v>5</v>
      </c>
      <c r="J353">
        <v>0.15</v>
      </c>
      <c r="K353">
        <v>24628.6</v>
      </c>
      <c r="L353">
        <v>1199.23</v>
      </c>
      <c r="M353">
        <v>2025</v>
      </c>
      <c r="N353" t="s">
        <v>621</v>
      </c>
      <c r="O353" t="s">
        <v>625</v>
      </c>
      <c r="P353">
        <v>4.8692576922764595E-2</v>
      </c>
    </row>
    <row r="354" spans="1:16" x14ac:dyDescent="0.3">
      <c r="A354" t="s">
        <v>454</v>
      </c>
      <c r="B354" s="12">
        <v>45915</v>
      </c>
      <c r="C354" t="s">
        <v>100</v>
      </c>
      <c r="D354" t="s">
        <v>33</v>
      </c>
      <c r="E354" t="s">
        <v>140</v>
      </c>
      <c r="F354" t="s">
        <v>16</v>
      </c>
      <c r="G354" t="s">
        <v>41</v>
      </c>
      <c r="H354" t="s">
        <v>177</v>
      </c>
      <c r="I354">
        <v>3</v>
      </c>
      <c r="J354">
        <v>0.05</v>
      </c>
      <c r="K354">
        <v>25838.400000000001</v>
      </c>
      <c r="L354">
        <v>3808.67</v>
      </c>
      <c r="M354">
        <v>2025</v>
      </c>
      <c r="N354" t="s">
        <v>621</v>
      </c>
      <c r="O354" t="s">
        <v>625</v>
      </c>
      <c r="P354">
        <v>0.14740347699547959</v>
      </c>
    </row>
    <row r="355" spans="1:16" x14ac:dyDescent="0.3">
      <c r="A355" t="s">
        <v>455</v>
      </c>
      <c r="B355" s="12">
        <v>45915</v>
      </c>
      <c r="C355" t="s">
        <v>32</v>
      </c>
      <c r="D355" t="s">
        <v>21</v>
      </c>
      <c r="E355" t="s">
        <v>57</v>
      </c>
      <c r="F355" t="s">
        <v>23</v>
      </c>
      <c r="G355" t="s">
        <v>48</v>
      </c>
      <c r="H355" t="s">
        <v>49</v>
      </c>
      <c r="I355">
        <v>7</v>
      </c>
      <c r="J355">
        <v>0.1</v>
      </c>
      <c r="K355">
        <v>245007.77</v>
      </c>
      <c r="L355">
        <v>29465.1</v>
      </c>
      <c r="M355">
        <v>2025</v>
      </c>
      <c r="N355" t="s">
        <v>621</v>
      </c>
      <c r="O355" t="s">
        <v>625</v>
      </c>
      <c r="P355">
        <v>0.12026190026544872</v>
      </c>
    </row>
    <row r="356" spans="1:16" x14ac:dyDescent="0.3">
      <c r="A356" t="s">
        <v>456</v>
      </c>
      <c r="B356" s="12">
        <v>45915</v>
      </c>
      <c r="C356" t="s">
        <v>77</v>
      </c>
      <c r="D356" t="s">
        <v>14</v>
      </c>
      <c r="E356" t="s">
        <v>97</v>
      </c>
      <c r="F356" t="s">
        <v>23</v>
      </c>
      <c r="G356" t="s">
        <v>24</v>
      </c>
      <c r="H356" t="s">
        <v>132</v>
      </c>
      <c r="I356">
        <v>4</v>
      </c>
      <c r="J356">
        <v>0.1</v>
      </c>
      <c r="K356">
        <v>118480.64</v>
      </c>
      <c r="L356">
        <v>21464.12</v>
      </c>
      <c r="M356">
        <v>2025</v>
      </c>
      <c r="N356" t="s">
        <v>621</v>
      </c>
      <c r="O356" t="s">
        <v>625</v>
      </c>
      <c r="P356">
        <v>0.1811614116871752</v>
      </c>
    </row>
    <row r="357" spans="1:16" x14ac:dyDescent="0.3">
      <c r="A357" t="s">
        <v>457</v>
      </c>
      <c r="B357" s="12">
        <v>45917</v>
      </c>
      <c r="C357" t="s">
        <v>66</v>
      </c>
      <c r="D357" t="s">
        <v>39</v>
      </c>
      <c r="E357" t="s">
        <v>40</v>
      </c>
      <c r="F357" t="s">
        <v>23</v>
      </c>
      <c r="G357" t="s">
        <v>35</v>
      </c>
      <c r="H357" t="s">
        <v>155</v>
      </c>
      <c r="I357">
        <v>7</v>
      </c>
      <c r="J357">
        <v>0.2</v>
      </c>
      <c r="K357">
        <v>84431.27</v>
      </c>
      <c r="L357">
        <v>9674.75</v>
      </c>
      <c r="M357">
        <v>2025</v>
      </c>
      <c r="N357" t="s">
        <v>621</v>
      </c>
      <c r="O357" t="s">
        <v>625</v>
      </c>
      <c r="P357">
        <v>0.11458728501892722</v>
      </c>
    </row>
    <row r="358" spans="1:16" x14ac:dyDescent="0.3">
      <c r="A358" t="s">
        <v>458</v>
      </c>
      <c r="B358" s="12">
        <v>45917</v>
      </c>
      <c r="C358" t="s">
        <v>38</v>
      </c>
      <c r="D358" t="s">
        <v>14</v>
      </c>
      <c r="E358" t="s">
        <v>15</v>
      </c>
      <c r="F358" t="s">
        <v>23</v>
      </c>
      <c r="G358" t="s">
        <v>48</v>
      </c>
      <c r="H358" t="s">
        <v>118</v>
      </c>
      <c r="I358">
        <v>5</v>
      </c>
      <c r="J358">
        <v>0.05</v>
      </c>
      <c r="K358">
        <v>242517.8</v>
      </c>
      <c r="L358">
        <v>33699.839999999997</v>
      </c>
      <c r="M358">
        <v>2025</v>
      </c>
      <c r="N358" t="s">
        <v>621</v>
      </c>
      <c r="O358" t="s">
        <v>625</v>
      </c>
      <c r="P358">
        <v>0.13895821255182092</v>
      </c>
    </row>
    <row r="359" spans="1:16" x14ac:dyDescent="0.3">
      <c r="A359" t="s">
        <v>459</v>
      </c>
      <c r="B359" s="12">
        <v>45917</v>
      </c>
      <c r="C359" t="s">
        <v>111</v>
      </c>
      <c r="D359" t="s">
        <v>14</v>
      </c>
      <c r="E359" t="s">
        <v>114</v>
      </c>
      <c r="F359" t="s">
        <v>23</v>
      </c>
      <c r="G359" t="s">
        <v>48</v>
      </c>
      <c r="H359" t="s">
        <v>118</v>
      </c>
      <c r="I359">
        <v>3</v>
      </c>
      <c r="J359">
        <v>0.1</v>
      </c>
      <c r="K359">
        <v>53885.91</v>
      </c>
      <c r="L359">
        <v>8215.19</v>
      </c>
      <c r="M359">
        <v>2025</v>
      </c>
      <c r="N359" t="s">
        <v>621</v>
      </c>
      <c r="O359" t="s">
        <v>625</v>
      </c>
      <c r="P359">
        <v>0.15245525221713802</v>
      </c>
    </row>
    <row r="360" spans="1:16" x14ac:dyDescent="0.3">
      <c r="A360" t="s">
        <v>460</v>
      </c>
      <c r="B360" s="12">
        <v>45919</v>
      </c>
      <c r="C360" t="s">
        <v>150</v>
      </c>
      <c r="D360" t="s">
        <v>39</v>
      </c>
      <c r="E360" t="s">
        <v>52</v>
      </c>
      <c r="F360" t="s">
        <v>23</v>
      </c>
      <c r="G360" t="s">
        <v>58</v>
      </c>
      <c r="H360" t="s">
        <v>59</v>
      </c>
      <c r="I360">
        <v>5</v>
      </c>
      <c r="J360">
        <v>0.2</v>
      </c>
      <c r="K360">
        <v>75154.2</v>
      </c>
      <c r="L360">
        <v>11425.82</v>
      </c>
      <c r="M360">
        <v>2025</v>
      </c>
      <c r="N360" t="s">
        <v>621</v>
      </c>
      <c r="O360" t="s">
        <v>625</v>
      </c>
      <c r="P360">
        <v>0.1520316895130279</v>
      </c>
    </row>
    <row r="361" spans="1:16" x14ac:dyDescent="0.3">
      <c r="A361" t="s">
        <v>461</v>
      </c>
      <c r="B361" s="12">
        <v>45919</v>
      </c>
      <c r="C361" t="s">
        <v>85</v>
      </c>
      <c r="D361" t="s">
        <v>14</v>
      </c>
      <c r="E361" t="s">
        <v>54</v>
      </c>
      <c r="F361" t="s">
        <v>28</v>
      </c>
      <c r="G361" t="s">
        <v>71</v>
      </c>
      <c r="H361" t="s">
        <v>121</v>
      </c>
      <c r="I361">
        <v>4</v>
      </c>
      <c r="J361">
        <v>0.1</v>
      </c>
      <c r="K361">
        <v>8462.52</v>
      </c>
      <c r="L361">
        <v>1297.8399999999999</v>
      </c>
      <c r="M361">
        <v>2025</v>
      </c>
      <c r="N361" t="s">
        <v>621</v>
      </c>
      <c r="O361" t="s">
        <v>625</v>
      </c>
      <c r="P361">
        <v>0.153363300766202</v>
      </c>
    </row>
    <row r="362" spans="1:16" x14ac:dyDescent="0.3">
      <c r="A362" t="s">
        <v>462</v>
      </c>
      <c r="B362" s="12">
        <v>45919</v>
      </c>
      <c r="C362" t="s">
        <v>32</v>
      </c>
      <c r="D362" t="s">
        <v>21</v>
      </c>
      <c r="E362" t="s">
        <v>57</v>
      </c>
      <c r="F362" t="s">
        <v>16</v>
      </c>
      <c r="G362" t="s">
        <v>17</v>
      </c>
      <c r="H362" t="s">
        <v>153</v>
      </c>
      <c r="I362">
        <v>6</v>
      </c>
      <c r="J362">
        <v>0.2</v>
      </c>
      <c r="K362">
        <v>15604.38</v>
      </c>
      <c r="L362">
        <v>1685.28</v>
      </c>
      <c r="M362">
        <v>2025</v>
      </c>
      <c r="N362" t="s">
        <v>621</v>
      </c>
      <c r="O362" t="s">
        <v>625</v>
      </c>
      <c r="P362">
        <v>0.10800044602861504</v>
      </c>
    </row>
    <row r="363" spans="1:16" x14ac:dyDescent="0.3">
      <c r="A363" t="s">
        <v>463</v>
      </c>
      <c r="B363" s="12">
        <v>45920</v>
      </c>
      <c r="C363" t="s">
        <v>38</v>
      </c>
      <c r="D363" t="s">
        <v>21</v>
      </c>
      <c r="E363" t="s">
        <v>67</v>
      </c>
      <c r="F363" t="s">
        <v>28</v>
      </c>
      <c r="G363" t="s">
        <v>74</v>
      </c>
      <c r="H363" t="s">
        <v>75</v>
      </c>
      <c r="I363">
        <v>1</v>
      </c>
      <c r="J363">
        <v>0.2</v>
      </c>
      <c r="K363">
        <v>1930.2</v>
      </c>
      <c r="L363">
        <v>227.06</v>
      </c>
      <c r="M363">
        <v>2025</v>
      </c>
      <c r="N363" t="s">
        <v>621</v>
      </c>
      <c r="O363" t="s">
        <v>625</v>
      </c>
      <c r="P363">
        <v>0.11763547818878872</v>
      </c>
    </row>
    <row r="364" spans="1:16" x14ac:dyDescent="0.3">
      <c r="A364" t="s">
        <v>464</v>
      </c>
      <c r="B364" s="12">
        <v>45920</v>
      </c>
      <c r="C364" t="s">
        <v>51</v>
      </c>
      <c r="D364" t="s">
        <v>33</v>
      </c>
      <c r="E364" t="s">
        <v>34</v>
      </c>
      <c r="F364" t="s">
        <v>28</v>
      </c>
      <c r="G364" t="s">
        <v>29</v>
      </c>
      <c r="H364" t="s">
        <v>30</v>
      </c>
      <c r="I364">
        <v>2</v>
      </c>
      <c r="J364">
        <v>0</v>
      </c>
      <c r="K364">
        <v>8037.86</v>
      </c>
      <c r="L364">
        <v>1418.22</v>
      </c>
      <c r="M364">
        <v>2025</v>
      </c>
      <c r="N364" t="s">
        <v>621</v>
      </c>
      <c r="O364" t="s">
        <v>625</v>
      </c>
      <c r="P364">
        <v>0.17644248593531114</v>
      </c>
    </row>
    <row r="365" spans="1:16" x14ac:dyDescent="0.3">
      <c r="A365" t="s">
        <v>465</v>
      </c>
      <c r="B365" s="12">
        <v>45921</v>
      </c>
      <c r="C365" t="s">
        <v>150</v>
      </c>
      <c r="D365" t="s">
        <v>14</v>
      </c>
      <c r="E365" t="s">
        <v>54</v>
      </c>
      <c r="F365" t="s">
        <v>23</v>
      </c>
      <c r="G365" t="s">
        <v>58</v>
      </c>
      <c r="H365" t="s">
        <v>78</v>
      </c>
      <c r="I365">
        <v>3</v>
      </c>
      <c r="J365">
        <v>0.15</v>
      </c>
      <c r="K365">
        <v>136615.67999999999</v>
      </c>
      <c r="L365">
        <v>7989.3</v>
      </c>
      <c r="M365">
        <v>2025</v>
      </c>
      <c r="N365" t="s">
        <v>621</v>
      </c>
      <c r="O365" t="s">
        <v>625</v>
      </c>
      <c r="P365">
        <v>5.8480110043005316E-2</v>
      </c>
    </row>
    <row r="366" spans="1:16" x14ac:dyDescent="0.3">
      <c r="A366" t="s">
        <v>466</v>
      </c>
      <c r="B366" s="12">
        <v>45921</v>
      </c>
      <c r="C366" t="s">
        <v>150</v>
      </c>
      <c r="D366" t="s">
        <v>21</v>
      </c>
      <c r="E366" t="s">
        <v>57</v>
      </c>
      <c r="F366" t="s">
        <v>23</v>
      </c>
      <c r="G366" t="s">
        <v>58</v>
      </c>
      <c r="H366" t="s">
        <v>90</v>
      </c>
      <c r="I366">
        <v>7</v>
      </c>
      <c r="J366">
        <v>0.15</v>
      </c>
      <c r="K366">
        <v>272823.95</v>
      </c>
      <c r="L366">
        <v>23620.06</v>
      </c>
      <c r="M366">
        <v>2025</v>
      </c>
      <c r="N366" t="s">
        <v>621</v>
      </c>
      <c r="O366" t="s">
        <v>625</v>
      </c>
      <c r="P366">
        <v>8.6576196847820724E-2</v>
      </c>
    </row>
    <row r="367" spans="1:16" x14ac:dyDescent="0.3">
      <c r="A367" t="s">
        <v>467</v>
      </c>
      <c r="B367" s="12">
        <v>45922</v>
      </c>
      <c r="C367" t="s">
        <v>32</v>
      </c>
      <c r="D367" t="s">
        <v>14</v>
      </c>
      <c r="E367" t="s">
        <v>15</v>
      </c>
      <c r="F367" t="s">
        <v>23</v>
      </c>
      <c r="G367" t="s">
        <v>48</v>
      </c>
      <c r="H367" t="s">
        <v>118</v>
      </c>
      <c r="I367">
        <v>5</v>
      </c>
      <c r="J367">
        <v>0.05</v>
      </c>
      <c r="K367">
        <v>216380.1</v>
      </c>
      <c r="L367">
        <v>31150.28</v>
      </c>
      <c r="M367">
        <v>2025</v>
      </c>
      <c r="N367" t="s">
        <v>621</v>
      </c>
      <c r="O367" t="s">
        <v>625</v>
      </c>
      <c r="P367">
        <v>0.14396092801509935</v>
      </c>
    </row>
    <row r="368" spans="1:16" x14ac:dyDescent="0.3">
      <c r="A368" t="s">
        <v>468</v>
      </c>
      <c r="B368" s="12">
        <v>45923</v>
      </c>
      <c r="C368" t="s">
        <v>147</v>
      </c>
      <c r="D368" t="s">
        <v>21</v>
      </c>
      <c r="E368" t="s">
        <v>57</v>
      </c>
      <c r="F368" t="s">
        <v>16</v>
      </c>
      <c r="G368" t="s">
        <v>41</v>
      </c>
      <c r="H368" t="s">
        <v>42</v>
      </c>
      <c r="I368">
        <v>7</v>
      </c>
      <c r="J368">
        <v>0.1</v>
      </c>
      <c r="K368">
        <v>20653.36</v>
      </c>
      <c r="L368">
        <v>4029.66</v>
      </c>
      <c r="M368">
        <v>2025</v>
      </c>
      <c r="N368" t="s">
        <v>621</v>
      </c>
      <c r="O368" t="s">
        <v>625</v>
      </c>
      <c r="P368">
        <v>0.19510917351946608</v>
      </c>
    </row>
    <row r="369" spans="1:16" x14ac:dyDescent="0.3">
      <c r="A369" t="s">
        <v>469</v>
      </c>
      <c r="B369" s="12">
        <v>45924</v>
      </c>
      <c r="C369" t="s">
        <v>56</v>
      </c>
      <c r="D369" t="s">
        <v>33</v>
      </c>
      <c r="E369" t="s">
        <v>34</v>
      </c>
      <c r="F369" t="s">
        <v>28</v>
      </c>
      <c r="G369" t="s">
        <v>92</v>
      </c>
      <c r="H369" t="s">
        <v>204</v>
      </c>
      <c r="I369">
        <v>3</v>
      </c>
      <c r="J369">
        <v>0</v>
      </c>
      <c r="K369">
        <v>5528.4</v>
      </c>
      <c r="L369">
        <v>1120.3900000000001</v>
      </c>
      <c r="M369">
        <v>2025</v>
      </c>
      <c r="N369" t="s">
        <v>621</v>
      </c>
      <c r="O369" t="s">
        <v>625</v>
      </c>
      <c r="P369">
        <v>0.20266080601982495</v>
      </c>
    </row>
    <row r="370" spans="1:16" x14ac:dyDescent="0.3">
      <c r="A370" t="s">
        <v>470</v>
      </c>
      <c r="B370" s="12">
        <v>45925</v>
      </c>
      <c r="C370" t="s">
        <v>56</v>
      </c>
      <c r="D370" t="s">
        <v>14</v>
      </c>
      <c r="E370" t="s">
        <v>97</v>
      </c>
      <c r="F370" t="s">
        <v>23</v>
      </c>
      <c r="G370" t="s">
        <v>58</v>
      </c>
      <c r="H370" t="s">
        <v>101</v>
      </c>
      <c r="I370">
        <v>6</v>
      </c>
      <c r="J370">
        <v>0.1</v>
      </c>
      <c r="K370">
        <v>207218.82</v>
      </c>
      <c r="L370">
        <v>31836.16</v>
      </c>
      <c r="M370">
        <v>2025</v>
      </c>
      <c r="N370" t="s">
        <v>621</v>
      </c>
      <c r="O370" t="s">
        <v>625</v>
      </c>
      <c r="P370">
        <v>0.15363546612223736</v>
      </c>
    </row>
    <row r="371" spans="1:16" x14ac:dyDescent="0.3">
      <c r="A371" t="s">
        <v>471</v>
      </c>
      <c r="B371" s="12">
        <v>45926</v>
      </c>
      <c r="C371" t="s">
        <v>229</v>
      </c>
      <c r="D371" t="s">
        <v>21</v>
      </c>
      <c r="E371" t="s">
        <v>105</v>
      </c>
      <c r="F371" t="s">
        <v>16</v>
      </c>
      <c r="G371" t="s">
        <v>62</v>
      </c>
      <c r="H371" t="s">
        <v>63</v>
      </c>
      <c r="I371">
        <v>2</v>
      </c>
      <c r="J371">
        <v>0.15</v>
      </c>
      <c r="K371">
        <v>4029.76</v>
      </c>
      <c r="L371">
        <v>671.05</v>
      </c>
      <c r="M371">
        <v>2025</v>
      </c>
      <c r="N371" t="s">
        <v>621</v>
      </c>
      <c r="O371" t="s">
        <v>625</v>
      </c>
      <c r="P371">
        <v>0.16652356467878979</v>
      </c>
    </row>
    <row r="372" spans="1:16" x14ac:dyDescent="0.3">
      <c r="A372" t="s">
        <v>472</v>
      </c>
      <c r="B372" s="12">
        <v>45926</v>
      </c>
      <c r="C372" t="s">
        <v>100</v>
      </c>
      <c r="D372" t="s">
        <v>33</v>
      </c>
      <c r="E372" t="s">
        <v>86</v>
      </c>
      <c r="F372" t="s">
        <v>28</v>
      </c>
      <c r="G372" t="s">
        <v>74</v>
      </c>
      <c r="H372" t="s">
        <v>75</v>
      </c>
      <c r="I372">
        <v>6</v>
      </c>
      <c r="J372">
        <v>0.1</v>
      </c>
      <c r="K372">
        <v>11954.64</v>
      </c>
      <c r="L372">
        <v>914.69</v>
      </c>
      <c r="M372">
        <v>2025</v>
      </c>
      <c r="N372" t="s">
        <v>621</v>
      </c>
      <c r="O372" t="s">
        <v>625</v>
      </c>
      <c r="P372">
        <v>7.6513387270549349E-2</v>
      </c>
    </row>
    <row r="373" spans="1:16" x14ac:dyDescent="0.3">
      <c r="A373" t="s">
        <v>473</v>
      </c>
      <c r="B373" s="12">
        <v>45927</v>
      </c>
      <c r="C373" t="s">
        <v>82</v>
      </c>
      <c r="D373" t="s">
        <v>21</v>
      </c>
      <c r="E373" t="s">
        <v>67</v>
      </c>
      <c r="F373" t="s">
        <v>16</v>
      </c>
      <c r="G373" t="s">
        <v>41</v>
      </c>
      <c r="H373" t="s">
        <v>42</v>
      </c>
      <c r="I373">
        <v>2</v>
      </c>
      <c r="J373">
        <v>0.05</v>
      </c>
      <c r="K373">
        <v>7254.84</v>
      </c>
      <c r="L373">
        <v>1495.33</v>
      </c>
      <c r="M373">
        <v>2025</v>
      </c>
      <c r="N373" t="s">
        <v>621</v>
      </c>
      <c r="O373" t="s">
        <v>625</v>
      </c>
      <c r="P373">
        <v>0.20611481438598231</v>
      </c>
    </row>
    <row r="374" spans="1:16" x14ac:dyDescent="0.3">
      <c r="A374" t="s">
        <v>474</v>
      </c>
      <c r="B374" s="12">
        <v>45928</v>
      </c>
      <c r="C374" t="s">
        <v>56</v>
      </c>
      <c r="D374" t="s">
        <v>21</v>
      </c>
      <c r="E374" t="s">
        <v>22</v>
      </c>
      <c r="F374" t="s">
        <v>28</v>
      </c>
      <c r="G374" t="s">
        <v>71</v>
      </c>
      <c r="H374" t="s">
        <v>121</v>
      </c>
      <c r="I374">
        <v>6</v>
      </c>
      <c r="J374">
        <v>0</v>
      </c>
      <c r="K374">
        <v>6361.92</v>
      </c>
      <c r="L374">
        <v>1548.49</v>
      </c>
      <c r="M374">
        <v>2025</v>
      </c>
      <c r="N374" t="s">
        <v>621</v>
      </c>
      <c r="O374" t="s">
        <v>625</v>
      </c>
      <c r="P374">
        <v>0.243399791257985</v>
      </c>
    </row>
    <row r="375" spans="1:16" x14ac:dyDescent="0.3">
      <c r="A375" t="s">
        <v>475</v>
      </c>
      <c r="B375" s="12">
        <v>45928</v>
      </c>
      <c r="C375" t="s">
        <v>32</v>
      </c>
      <c r="D375" t="s">
        <v>21</v>
      </c>
      <c r="E375" t="s">
        <v>67</v>
      </c>
      <c r="F375" t="s">
        <v>23</v>
      </c>
      <c r="G375" t="s">
        <v>58</v>
      </c>
      <c r="H375" t="s">
        <v>78</v>
      </c>
      <c r="I375">
        <v>5</v>
      </c>
      <c r="J375">
        <v>0.1</v>
      </c>
      <c r="K375">
        <v>117160.6</v>
      </c>
      <c r="L375">
        <v>21919.62</v>
      </c>
      <c r="M375">
        <v>2025</v>
      </c>
      <c r="N375" t="s">
        <v>621</v>
      </c>
      <c r="O375" t="s">
        <v>625</v>
      </c>
      <c r="P375">
        <v>0.1870903699707922</v>
      </c>
    </row>
    <row r="376" spans="1:16" x14ac:dyDescent="0.3">
      <c r="A376" t="s">
        <v>476</v>
      </c>
      <c r="B376" s="12">
        <v>45928</v>
      </c>
      <c r="C376" t="s">
        <v>38</v>
      </c>
      <c r="D376" t="s">
        <v>21</v>
      </c>
      <c r="E376" t="s">
        <v>22</v>
      </c>
      <c r="F376" t="s">
        <v>16</v>
      </c>
      <c r="G376" t="s">
        <v>68</v>
      </c>
      <c r="H376" t="s">
        <v>83</v>
      </c>
      <c r="I376">
        <v>3</v>
      </c>
      <c r="J376">
        <v>0</v>
      </c>
      <c r="K376">
        <v>5883.6</v>
      </c>
      <c r="L376">
        <v>1298.73</v>
      </c>
      <c r="M376">
        <v>2025</v>
      </c>
      <c r="N376" t="s">
        <v>621</v>
      </c>
      <c r="O376" t="s">
        <v>625</v>
      </c>
      <c r="P376">
        <v>0.22073730369161737</v>
      </c>
    </row>
    <row r="377" spans="1:16" x14ac:dyDescent="0.3">
      <c r="A377" t="s">
        <v>477</v>
      </c>
      <c r="B377" s="12">
        <v>45929</v>
      </c>
      <c r="C377" t="s">
        <v>51</v>
      </c>
      <c r="D377" t="s">
        <v>21</v>
      </c>
      <c r="E377" t="s">
        <v>22</v>
      </c>
      <c r="F377" t="s">
        <v>28</v>
      </c>
      <c r="G377" t="s">
        <v>74</v>
      </c>
      <c r="H377" t="s">
        <v>80</v>
      </c>
      <c r="I377">
        <v>6</v>
      </c>
      <c r="J377">
        <v>0.2</v>
      </c>
      <c r="K377">
        <v>5283.54</v>
      </c>
      <c r="L377">
        <v>85.31</v>
      </c>
      <c r="M377">
        <v>2025</v>
      </c>
      <c r="N377" t="s">
        <v>621</v>
      </c>
      <c r="O377" t="s">
        <v>625</v>
      </c>
      <c r="P377">
        <v>1.6146371561490971E-2</v>
      </c>
    </row>
    <row r="378" spans="1:16" x14ac:dyDescent="0.3">
      <c r="A378" t="s">
        <v>478</v>
      </c>
      <c r="B378" s="12">
        <v>45930</v>
      </c>
      <c r="C378" t="s">
        <v>82</v>
      </c>
      <c r="D378" t="s">
        <v>33</v>
      </c>
      <c r="E378" t="s">
        <v>140</v>
      </c>
      <c r="F378" t="s">
        <v>16</v>
      </c>
      <c r="G378" t="s">
        <v>17</v>
      </c>
      <c r="H378" t="s">
        <v>88</v>
      </c>
      <c r="I378">
        <v>2</v>
      </c>
      <c r="J378">
        <v>0.1</v>
      </c>
      <c r="K378">
        <v>6452.94</v>
      </c>
      <c r="L378">
        <v>334.33</v>
      </c>
      <c r="M378">
        <v>2025</v>
      </c>
      <c r="N378" t="s">
        <v>621</v>
      </c>
      <c r="O378" t="s">
        <v>625</v>
      </c>
      <c r="P378">
        <v>5.181049258167595E-2</v>
      </c>
    </row>
    <row r="379" spans="1:16" x14ac:dyDescent="0.3">
      <c r="A379" t="s">
        <v>479</v>
      </c>
      <c r="B379" s="12">
        <v>45930</v>
      </c>
      <c r="C379" t="s">
        <v>77</v>
      </c>
      <c r="D379" t="s">
        <v>33</v>
      </c>
      <c r="E379" t="s">
        <v>45</v>
      </c>
      <c r="F379" t="s">
        <v>28</v>
      </c>
      <c r="G379" t="s">
        <v>92</v>
      </c>
      <c r="H379" t="s">
        <v>93</v>
      </c>
      <c r="I379">
        <v>6</v>
      </c>
      <c r="J379">
        <v>0</v>
      </c>
      <c r="K379">
        <v>15198.9</v>
      </c>
      <c r="L379">
        <v>2042.86</v>
      </c>
      <c r="M379">
        <v>2025</v>
      </c>
      <c r="N379" t="s">
        <v>621</v>
      </c>
      <c r="O379" t="s">
        <v>625</v>
      </c>
      <c r="P379">
        <v>0.13440841113501634</v>
      </c>
    </row>
    <row r="380" spans="1:16" x14ac:dyDescent="0.3">
      <c r="A380" t="s">
        <v>480</v>
      </c>
      <c r="B380" s="12">
        <v>45930</v>
      </c>
      <c r="C380" t="s">
        <v>66</v>
      </c>
      <c r="D380" t="s">
        <v>33</v>
      </c>
      <c r="E380" t="s">
        <v>140</v>
      </c>
      <c r="F380" t="s">
        <v>28</v>
      </c>
      <c r="G380" t="s">
        <v>74</v>
      </c>
      <c r="H380" t="s">
        <v>159</v>
      </c>
      <c r="I380">
        <v>7</v>
      </c>
      <c r="J380">
        <v>0</v>
      </c>
      <c r="K380">
        <v>33078.57</v>
      </c>
      <c r="L380">
        <v>3238.79</v>
      </c>
      <c r="M380">
        <v>2025</v>
      </c>
      <c r="N380" t="s">
        <v>621</v>
      </c>
      <c r="O380" t="s">
        <v>625</v>
      </c>
      <c r="P380">
        <v>9.7912031868366736E-2</v>
      </c>
    </row>
    <row r="381" spans="1:16" x14ac:dyDescent="0.3">
      <c r="A381" t="s">
        <v>481</v>
      </c>
      <c r="B381" s="12">
        <v>45931</v>
      </c>
      <c r="C381" t="s">
        <v>229</v>
      </c>
      <c r="D381" t="s">
        <v>39</v>
      </c>
      <c r="E381" t="s">
        <v>52</v>
      </c>
      <c r="F381" t="s">
        <v>23</v>
      </c>
      <c r="G381" t="s">
        <v>35</v>
      </c>
      <c r="H381" t="s">
        <v>155</v>
      </c>
      <c r="I381">
        <v>6</v>
      </c>
      <c r="J381">
        <v>0.1</v>
      </c>
      <c r="K381">
        <v>292531.38</v>
      </c>
      <c r="L381">
        <v>47725.59</v>
      </c>
      <c r="M381">
        <v>2025</v>
      </c>
      <c r="N381" t="s">
        <v>622</v>
      </c>
      <c r="O381" t="s">
        <v>625</v>
      </c>
      <c r="P381">
        <v>0.16314690752151101</v>
      </c>
    </row>
    <row r="382" spans="1:16" x14ac:dyDescent="0.3">
      <c r="A382" t="s">
        <v>482</v>
      </c>
      <c r="B382" s="12">
        <v>45932</v>
      </c>
      <c r="C382" t="s">
        <v>27</v>
      </c>
      <c r="D382" t="s">
        <v>21</v>
      </c>
      <c r="E382" t="s">
        <v>67</v>
      </c>
      <c r="F382" t="s">
        <v>28</v>
      </c>
      <c r="G382" t="s">
        <v>29</v>
      </c>
      <c r="H382" t="s">
        <v>30</v>
      </c>
      <c r="I382">
        <v>4</v>
      </c>
      <c r="J382">
        <v>0</v>
      </c>
      <c r="K382">
        <v>752.92</v>
      </c>
      <c r="L382">
        <v>99.24</v>
      </c>
      <c r="M382">
        <v>2025</v>
      </c>
      <c r="N382" t="s">
        <v>622</v>
      </c>
      <c r="O382" t="s">
        <v>627</v>
      </c>
      <c r="P382">
        <v>0.13180683206715188</v>
      </c>
    </row>
    <row r="383" spans="1:16" x14ac:dyDescent="0.3">
      <c r="A383" t="s">
        <v>483</v>
      </c>
      <c r="B383" s="12">
        <v>45932</v>
      </c>
      <c r="C383" t="s">
        <v>13</v>
      </c>
      <c r="D383" t="s">
        <v>21</v>
      </c>
      <c r="E383" t="s">
        <v>57</v>
      </c>
      <c r="F383" t="s">
        <v>16</v>
      </c>
      <c r="G383" t="s">
        <v>41</v>
      </c>
      <c r="H383" t="s">
        <v>177</v>
      </c>
      <c r="I383">
        <v>1</v>
      </c>
      <c r="J383">
        <v>0</v>
      </c>
      <c r="K383">
        <v>1913.59</v>
      </c>
      <c r="L383">
        <v>387.24</v>
      </c>
      <c r="M383">
        <v>2025</v>
      </c>
      <c r="N383" t="s">
        <v>622</v>
      </c>
      <c r="O383" t="s">
        <v>625</v>
      </c>
      <c r="P383">
        <v>0.20236309763324434</v>
      </c>
    </row>
    <row r="384" spans="1:16" x14ac:dyDescent="0.3">
      <c r="A384" t="s">
        <v>484</v>
      </c>
      <c r="B384" s="12">
        <v>45934</v>
      </c>
      <c r="C384" t="s">
        <v>85</v>
      </c>
      <c r="D384" t="s">
        <v>33</v>
      </c>
      <c r="E384" t="s">
        <v>34</v>
      </c>
      <c r="F384" t="s">
        <v>28</v>
      </c>
      <c r="G384" t="s">
        <v>71</v>
      </c>
      <c r="H384" t="s">
        <v>121</v>
      </c>
      <c r="I384">
        <v>6</v>
      </c>
      <c r="J384">
        <v>0.2</v>
      </c>
      <c r="K384">
        <v>6320.04</v>
      </c>
      <c r="L384">
        <v>726.49</v>
      </c>
      <c r="M384">
        <v>2025</v>
      </c>
      <c r="N384" t="s">
        <v>622</v>
      </c>
      <c r="O384" t="s">
        <v>625</v>
      </c>
      <c r="P384">
        <v>0.11495022183403902</v>
      </c>
    </row>
    <row r="385" spans="1:16" x14ac:dyDescent="0.3">
      <c r="A385" t="s">
        <v>485</v>
      </c>
      <c r="B385" s="12">
        <v>45934</v>
      </c>
      <c r="C385" t="s">
        <v>135</v>
      </c>
      <c r="D385" t="s">
        <v>39</v>
      </c>
      <c r="E385" t="s">
        <v>128</v>
      </c>
      <c r="F385" t="s">
        <v>16</v>
      </c>
      <c r="G385" t="s">
        <v>17</v>
      </c>
      <c r="H385" t="s">
        <v>153</v>
      </c>
      <c r="I385">
        <v>5</v>
      </c>
      <c r="J385">
        <v>0.05</v>
      </c>
      <c r="K385">
        <v>38202.25</v>
      </c>
      <c r="L385">
        <v>5939.16</v>
      </c>
      <c r="M385">
        <v>2025</v>
      </c>
      <c r="N385" t="s">
        <v>622</v>
      </c>
      <c r="O385" t="s">
        <v>625</v>
      </c>
      <c r="P385">
        <v>0.15546623562748266</v>
      </c>
    </row>
    <row r="386" spans="1:16" x14ac:dyDescent="0.3">
      <c r="A386" t="s">
        <v>486</v>
      </c>
      <c r="B386" s="12">
        <v>45935</v>
      </c>
      <c r="C386" t="s">
        <v>56</v>
      </c>
      <c r="D386" t="s">
        <v>21</v>
      </c>
      <c r="E386" t="s">
        <v>105</v>
      </c>
      <c r="F386" t="s">
        <v>16</v>
      </c>
      <c r="G386" t="s">
        <v>17</v>
      </c>
      <c r="H386" t="s">
        <v>88</v>
      </c>
      <c r="I386">
        <v>5</v>
      </c>
      <c r="J386">
        <v>0</v>
      </c>
      <c r="K386">
        <v>37803.300000000003</v>
      </c>
      <c r="L386">
        <v>3910.39</v>
      </c>
      <c r="M386">
        <v>2025</v>
      </c>
      <c r="N386" t="s">
        <v>622</v>
      </c>
      <c r="O386" t="s">
        <v>625</v>
      </c>
      <c r="P386">
        <v>0.10344044038483412</v>
      </c>
    </row>
    <row r="387" spans="1:16" x14ac:dyDescent="0.3">
      <c r="A387" t="s">
        <v>487</v>
      </c>
      <c r="B387" s="12">
        <v>45935</v>
      </c>
      <c r="C387" t="s">
        <v>100</v>
      </c>
      <c r="D387" t="s">
        <v>39</v>
      </c>
      <c r="E387" t="s">
        <v>40</v>
      </c>
      <c r="F387" t="s">
        <v>23</v>
      </c>
      <c r="G387" t="s">
        <v>35</v>
      </c>
      <c r="H387" t="s">
        <v>36</v>
      </c>
      <c r="I387">
        <v>5</v>
      </c>
      <c r="J387">
        <v>0.1</v>
      </c>
      <c r="K387">
        <v>149225.54999999999</v>
      </c>
      <c r="L387">
        <v>14263.46</v>
      </c>
      <c r="M387">
        <v>2025</v>
      </c>
      <c r="N387" t="s">
        <v>622</v>
      </c>
      <c r="O387" t="s">
        <v>625</v>
      </c>
      <c r="P387">
        <v>9.5583229547487006E-2</v>
      </c>
    </row>
    <row r="388" spans="1:16" x14ac:dyDescent="0.3">
      <c r="A388" t="s">
        <v>488</v>
      </c>
      <c r="B388" s="12">
        <v>45935</v>
      </c>
      <c r="C388" t="s">
        <v>95</v>
      </c>
      <c r="D388" t="s">
        <v>14</v>
      </c>
      <c r="E388" t="s">
        <v>15</v>
      </c>
      <c r="F388" t="s">
        <v>28</v>
      </c>
      <c r="G388" t="s">
        <v>71</v>
      </c>
      <c r="H388" t="s">
        <v>121</v>
      </c>
      <c r="I388">
        <v>7</v>
      </c>
      <c r="J388">
        <v>0.15</v>
      </c>
      <c r="K388">
        <v>11073.02</v>
      </c>
      <c r="L388">
        <v>1466.37</v>
      </c>
      <c r="M388">
        <v>2025</v>
      </c>
      <c r="N388" t="s">
        <v>622</v>
      </c>
      <c r="O388" t="s">
        <v>625</v>
      </c>
      <c r="P388">
        <v>0.13242728722606839</v>
      </c>
    </row>
    <row r="389" spans="1:16" x14ac:dyDescent="0.3">
      <c r="A389" t="s">
        <v>489</v>
      </c>
      <c r="B389" s="12">
        <v>45936</v>
      </c>
      <c r="C389" t="s">
        <v>27</v>
      </c>
      <c r="D389" t="s">
        <v>39</v>
      </c>
      <c r="E389" t="s">
        <v>128</v>
      </c>
      <c r="F389" t="s">
        <v>16</v>
      </c>
      <c r="G389" t="s">
        <v>17</v>
      </c>
      <c r="H389" t="s">
        <v>153</v>
      </c>
      <c r="I389">
        <v>4</v>
      </c>
      <c r="J389">
        <v>0.05</v>
      </c>
      <c r="K389">
        <v>20811.84</v>
      </c>
      <c r="L389">
        <v>4538.78</v>
      </c>
      <c r="M389">
        <v>2025</v>
      </c>
      <c r="N389" t="s">
        <v>622</v>
      </c>
      <c r="O389" t="s">
        <v>625</v>
      </c>
      <c r="P389">
        <v>0.21808643541368758</v>
      </c>
    </row>
    <row r="390" spans="1:16" x14ac:dyDescent="0.3">
      <c r="A390" t="s">
        <v>490</v>
      </c>
      <c r="B390" s="12">
        <v>45937</v>
      </c>
      <c r="C390" t="s">
        <v>77</v>
      </c>
      <c r="D390" t="s">
        <v>14</v>
      </c>
      <c r="E390" t="s">
        <v>114</v>
      </c>
      <c r="F390" t="s">
        <v>28</v>
      </c>
      <c r="G390" t="s">
        <v>29</v>
      </c>
      <c r="H390" t="s">
        <v>98</v>
      </c>
      <c r="I390">
        <v>2</v>
      </c>
      <c r="J390">
        <v>0.1</v>
      </c>
      <c r="K390">
        <v>5744.62</v>
      </c>
      <c r="L390">
        <v>1132.1099999999999</v>
      </c>
      <c r="M390">
        <v>2025</v>
      </c>
      <c r="N390" t="s">
        <v>622</v>
      </c>
      <c r="O390" t="s">
        <v>625</v>
      </c>
      <c r="P390">
        <v>0.197073087514927</v>
      </c>
    </row>
    <row r="391" spans="1:16" x14ac:dyDescent="0.3">
      <c r="A391" t="s">
        <v>491</v>
      </c>
      <c r="B391" s="12">
        <v>45937</v>
      </c>
      <c r="C391" t="s">
        <v>135</v>
      </c>
      <c r="D391" t="s">
        <v>33</v>
      </c>
      <c r="E391" t="s">
        <v>45</v>
      </c>
      <c r="F391" t="s">
        <v>28</v>
      </c>
      <c r="G391" t="s">
        <v>71</v>
      </c>
      <c r="H391" t="s">
        <v>72</v>
      </c>
      <c r="I391">
        <v>3</v>
      </c>
      <c r="J391">
        <v>0.05</v>
      </c>
      <c r="K391">
        <v>9167.34</v>
      </c>
      <c r="L391">
        <v>1984.17</v>
      </c>
      <c r="M391">
        <v>2025</v>
      </c>
      <c r="N391" t="s">
        <v>622</v>
      </c>
      <c r="O391" t="s">
        <v>625</v>
      </c>
      <c r="P391">
        <v>0.2164390106617623</v>
      </c>
    </row>
    <row r="392" spans="1:16" x14ac:dyDescent="0.3">
      <c r="A392" t="s">
        <v>492</v>
      </c>
      <c r="B392" s="12">
        <v>45937</v>
      </c>
      <c r="C392" t="s">
        <v>13</v>
      </c>
      <c r="D392" t="s">
        <v>33</v>
      </c>
      <c r="E392" t="s">
        <v>34</v>
      </c>
      <c r="F392" t="s">
        <v>28</v>
      </c>
      <c r="G392" t="s">
        <v>71</v>
      </c>
      <c r="H392" t="s">
        <v>72</v>
      </c>
      <c r="I392">
        <v>4</v>
      </c>
      <c r="J392">
        <v>0.2</v>
      </c>
      <c r="K392">
        <v>12297.88</v>
      </c>
      <c r="L392">
        <v>417.6</v>
      </c>
      <c r="M392">
        <v>2025</v>
      </c>
      <c r="N392" t="s">
        <v>622</v>
      </c>
      <c r="O392" t="s">
        <v>625</v>
      </c>
      <c r="P392">
        <v>3.3957072275871941E-2</v>
      </c>
    </row>
    <row r="393" spans="1:16" x14ac:dyDescent="0.3">
      <c r="A393" t="s">
        <v>493</v>
      </c>
      <c r="B393" s="12">
        <v>45938</v>
      </c>
      <c r="C393" t="s">
        <v>82</v>
      </c>
      <c r="D393" t="s">
        <v>21</v>
      </c>
      <c r="E393" t="s">
        <v>105</v>
      </c>
      <c r="F393" t="s">
        <v>28</v>
      </c>
      <c r="G393" t="s">
        <v>71</v>
      </c>
      <c r="H393" t="s">
        <v>121</v>
      </c>
      <c r="I393">
        <v>4</v>
      </c>
      <c r="J393">
        <v>0.15</v>
      </c>
      <c r="K393">
        <v>11429.92</v>
      </c>
      <c r="L393">
        <v>1233.81</v>
      </c>
      <c r="M393">
        <v>2025</v>
      </c>
      <c r="N393" t="s">
        <v>622</v>
      </c>
      <c r="O393" t="s">
        <v>625</v>
      </c>
      <c r="P393">
        <v>0.10794563741478505</v>
      </c>
    </row>
    <row r="394" spans="1:16" x14ac:dyDescent="0.3">
      <c r="A394" t="s">
        <v>494</v>
      </c>
      <c r="B394" s="12">
        <v>45938</v>
      </c>
      <c r="C394" t="s">
        <v>104</v>
      </c>
      <c r="D394" t="s">
        <v>39</v>
      </c>
      <c r="E394" t="s">
        <v>40</v>
      </c>
      <c r="F394" t="s">
        <v>23</v>
      </c>
      <c r="G394" t="s">
        <v>58</v>
      </c>
      <c r="H394" t="s">
        <v>78</v>
      </c>
      <c r="I394">
        <v>7</v>
      </c>
      <c r="J394">
        <v>0.05</v>
      </c>
      <c r="K394">
        <v>60996.11</v>
      </c>
      <c r="L394">
        <v>3909.02</v>
      </c>
      <c r="M394">
        <v>2025</v>
      </c>
      <c r="N394" t="s">
        <v>622</v>
      </c>
      <c r="O394" t="s">
        <v>625</v>
      </c>
      <c r="P394">
        <v>6.4086381902058995E-2</v>
      </c>
    </row>
    <row r="395" spans="1:16" x14ac:dyDescent="0.3">
      <c r="A395" t="s">
        <v>495</v>
      </c>
      <c r="B395" s="12">
        <v>45939</v>
      </c>
      <c r="C395" t="s">
        <v>147</v>
      </c>
      <c r="D395" t="s">
        <v>33</v>
      </c>
      <c r="E395" t="s">
        <v>86</v>
      </c>
      <c r="F395" t="s">
        <v>16</v>
      </c>
      <c r="G395" t="s">
        <v>68</v>
      </c>
      <c r="H395" t="s">
        <v>175</v>
      </c>
      <c r="I395">
        <v>6</v>
      </c>
      <c r="J395">
        <v>0.2</v>
      </c>
      <c r="K395">
        <v>66168.72</v>
      </c>
      <c r="L395">
        <v>8884.74</v>
      </c>
      <c r="M395">
        <v>2025</v>
      </c>
      <c r="N395" t="s">
        <v>622</v>
      </c>
      <c r="O395" t="s">
        <v>625</v>
      </c>
      <c r="P395">
        <v>0.13427401950649792</v>
      </c>
    </row>
    <row r="396" spans="1:16" x14ac:dyDescent="0.3">
      <c r="A396" t="s">
        <v>496</v>
      </c>
      <c r="B396" s="12">
        <v>45940</v>
      </c>
      <c r="C396" t="s">
        <v>95</v>
      </c>
      <c r="D396" t="s">
        <v>39</v>
      </c>
      <c r="E396" t="s">
        <v>128</v>
      </c>
      <c r="F396" t="s">
        <v>28</v>
      </c>
      <c r="G396" t="s">
        <v>29</v>
      </c>
      <c r="H396" t="s">
        <v>30</v>
      </c>
      <c r="I396">
        <v>5</v>
      </c>
      <c r="J396">
        <v>0.1</v>
      </c>
      <c r="K396">
        <v>13076.5</v>
      </c>
      <c r="L396">
        <v>1880.69</v>
      </c>
      <c r="M396">
        <v>2025</v>
      </c>
      <c r="N396" t="s">
        <v>622</v>
      </c>
      <c r="O396" t="s">
        <v>625</v>
      </c>
      <c r="P396">
        <v>0.14382212365694186</v>
      </c>
    </row>
    <row r="397" spans="1:16" x14ac:dyDescent="0.3">
      <c r="A397" t="s">
        <v>497</v>
      </c>
      <c r="B397" s="12">
        <v>45942</v>
      </c>
      <c r="C397" t="s">
        <v>27</v>
      </c>
      <c r="D397" t="s">
        <v>21</v>
      </c>
      <c r="E397" t="s">
        <v>105</v>
      </c>
      <c r="F397" t="s">
        <v>23</v>
      </c>
      <c r="G397" t="s">
        <v>58</v>
      </c>
      <c r="H397" t="s">
        <v>59</v>
      </c>
      <c r="I397">
        <v>2</v>
      </c>
      <c r="J397">
        <v>0.1</v>
      </c>
      <c r="K397">
        <v>37212.92</v>
      </c>
      <c r="L397">
        <v>5462.03</v>
      </c>
      <c r="M397">
        <v>2025</v>
      </c>
      <c r="N397" t="s">
        <v>622</v>
      </c>
      <c r="O397" t="s">
        <v>625</v>
      </c>
      <c r="P397">
        <v>0.14677778577977757</v>
      </c>
    </row>
    <row r="398" spans="1:16" x14ac:dyDescent="0.3">
      <c r="A398" t="s">
        <v>498</v>
      </c>
      <c r="B398" s="12">
        <v>45942</v>
      </c>
      <c r="C398" t="s">
        <v>95</v>
      </c>
      <c r="D398" t="s">
        <v>21</v>
      </c>
      <c r="E398" t="s">
        <v>22</v>
      </c>
      <c r="F398" t="s">
        <v>16</v>
      </c>
      <c r="G398" t="s">
        <v>68</v>
      </c>
      <c r="H398" t="s">
        <v>175</v>
      </c>
      <c r="I398">
        <v>1</v>
      </c>
      <c r="J398">
        <v>0.2</v>
      </c>
      <c r="K398">
        <v>11541.56</v>
      </c>
      <c r="L398">
        <v>1985.06</v>
      </c>
      <c r="M398">
        <v>2025</v>
      </c>
      <c r="N398" t="s">
        <v>622</v>
      </c>
      <c r="O398" t="s">
        <v>625</v>
      </c>
      <c r="P398">
        <v>0.17199234765490973</v>
      </c>
    </row>
    <row r="399" spans="1:16" x14ac:dyDescent="0.3">
      <c r="A399" t="s">
        <v>499</v>
      </c>
      <c r="B399" s="12">
        <v>45943</v>
      </c>
      <c r="C399" t="s">
        <v>138</v>
      </c>
      <c r="D399" t="s">
        <v>14</v>
      </c>
      <c r="E399" t="s">
        <v>114</v>
      </c>
      <c r="F399" t="s">
        <v>23</v>
      </c>
      <c r="G399" t="s">
        <v>48</v>
      </c>
      <c r="H399" t="s">
        <v>124</v>
      </c>
      <c r="I399">
        <v>5</v>
      </c>
      <c r="J399">
        <v>0.2</v>
      </c>
      <c r="K399">
        <v>193284.45</v>
      </c>
      <c r="L399">
        <v>25200.560000000001</v>
      </c>
      <c r="M399">
        <v>2025</v>
      </c>
      <c r="N399" t="s">
        <v>622</v>
      </c>
      <c r="O399" t="s">
        <v>625</v>
      </c>
      <c r="P399">
        <v>0.13038069022107054</v>
      </c>
    </row>
    <row r="400" spans="1:16" x14ac:dyDescent="0.3">
      <c r="A400" t="s">
        <v>500</v>
      </c>
      <c r="B400" s="12">
        <v>45944</v>
      </c>
      <c r="C400" t="s">
        <v>20</v>
      </c>
      <c r="D400" t="s">
        <v>14</v>
      </c>
      <c r="E400" t="s">
        <v>97</v>
      </c>
      <c r="F400" t="s">
        <v>16</v>
      </c>
      <c r="G400" t="s">
        <v>68</v>
      </c>
      <c r="H400" t="s">
        <v>175</v>
      </c>
      <c r="I400">
        <v>5</v>
      </c>
      <c r="J400">
        <v>0.05</v>
      </c>
      <c r="K400">
        <v>47393.8</v>
      </c>
      <c r="L400">
        <v>4668.21</v>
      </c>
      <c r="M400">
        <v>2025</v>
      </c>
      <c r="N400" t="s">
        <v>622</v>
      </c>
      <c r="O400" t="s">
        <v>625</v>
      </c>
      <c r="P400">
        <v>9.8498326785360107E-2</v>
      </c>
    </row>
    <row r="401" spans="1:16" x14ac:dyDescent="0.3">
      <c r="A401" t="s">
        <v>501</v>
      </c>
      <c r="B401" s="12">
        <v>45946</v>
      </c>
      <c r="C401" t="s">
        <v>111</v>
      </c>
      <c r="D401" t="s">
        <v>14</v>
      </c>
      <c r="E401" t="s">
        <v>15</v>
      </c>
      <c r="F401" t="s">
        <v>23</v>
      </c>
      <c r="G401" t="s">
        <v>24</v>
      </c>
      <c r="H401" t="s">
        <v>129</v>
      </c>
      <c r="I401">
        <v>3</v>
      </c>
      <c r="J401">
        <v>0.15</v>
      </c>
      <c r="K401">
        <v>130540.53</v>
      </c>
      <c r="L401">
        <v>22465.88</v>
      </c>
      <c r="M401">
        <v>2025</v>
      </c>
      <c r="N401" t="s">
        <v>622</v>
      </c>
      <c r="O401" t="s">
        <v>625</v>
      </c>
      <c r="P401">
        <v>0.17209888760218761</v>
      </c>
    </row>
    <row r="402" spans="1:16" x14ac:dyDescent="0.3">
      <c r="A402" t="s">
        <v>502</v>
      </c>
      <c r="B402" s="12">
        <v>45946</v>
      </c>
      <c r="C402" t="s">
        <v>66</v>
      </c>
      <c r="D402" t="s">
        <v>21</v>
      </c>
      <c r="E402" t="s">
        <v>57</v>
      </c>
      <c r="F402" t="s">
        <v>23</v>
      </c>
      <c r="G402" t="s">
        <v>24</v>
      </c>
      <c r="H402" t="s">
        <v>132</v>
      </c>
      <c r="I402">
        <v>6</v>
      </c>
      <c r="J402">
        <v>0.2</v>
      </c>
      <c r="K402">
        <v>215591.7</v>
      </c>
      <c r="L402">
        <v>34289.89</v>
      </c>
      <c r="M402">
        <v>2025</v>
      </c>
      <c r="N402" t="s">
        <v>622</v>
      </c>
      <c r="O402" t="s">
        <v>625</v>
      </c>
      <c r="P402">
        <v>0.15905013968534037</v>
      </c>
    </row>
    <row r="403" spans="1:16" x14ac:dyDescent="0.3">
      <c r="A403" t="s">
        <v>503</v>
      </c>
      <c r="B403" s="12">
        <v>45946</v>
      </c>
      <c r="C403" t="s">
        <v>38</v>
      </c>
      <c r="D403" t="s">
        <v>21</v>
      </c>
      <c r="E403" t="s">
        <v>22</v>
      </c>
      <c r="F403" t="s">
        <v>23</v>
      </c>
      <c r="G403" t="s">
        <v>24</v>
      </c>
      <c r="H403" t="s">
        <v>132</v>
      </c>
      <c r="I403">
        <v>1</v>
      </c>
      <c r="J403">
        <v>0</v>
      </c>
      <c r="K403">
        <v>24434.21</v>
      </c>
      <c r="L403">
        <v>3519.64</v>
      </c>
      <c r="M403">
        <v>2025</v>
      </c>
      <c r="N403" t="s">
        <v>622</v>
      </c>
      <c r="O403" t="s">
        <v>625</v>
      </c>
      <c r="P403">
        <v>0.14404558199344281</v>
      </c>
    </row>
    <row r="404" spans="1:16" x14ac:dyDescent="0.3">
      <c r="A404" t="s">
        <v>504</v>
      </c>
      <c r="B404" s="12">
        <v>45947</v>
      </c>
      <c r="C404" t="s">
        <v>82</v>
      </c>
      <c r="D404" t="s">
        <v>21</v>
      </c>
      <c r="E404" t="s">
        <v>67</v>
      </c>
      <c r="F404" t="s">
        <v>23</v>
      </c>
      <c r="G404" t="s">
        <v>35</v>
      </c>
      <c r="H404" t="s">
        <v>155</v>
      </c>
      <c r="I404">
        <v>4</v>
      </c>
      <c r="J404">
        <v>0.15</v>
      </c>
      <c r="K404">
        <v>87928.16</v>
      </c>
      <c r="L404">
        <v>3087.36</v>
      </c>
      <c r="M404">
        <v>2025</v>
      </c>
      <c r="N404" t="s">
        <v>622</v>
      </c>
      <c r="O404" t="s">
        <v>625</v>
      </c>
      <c r="P404">
        <v>3.5112300769173377E-2</v>
      </c>
    </row>
    <row r="405" spans="1:16" x14ac:dyDescent="0.3">
      <c r="A405" t="s">
        <v>505</v>
      </c>
      <c r="B405" s="12">
        <v>45949</v>
      </c>
      <c r="C405" t="s">
        <v>229</v>
      </c>
      <c r="D405" t="s">
        <v>33</v>
      </c>
      <c r="E405" t="s">
        <v>86</v>
      </c>
      <c r="F405" t="s">
        <v>23</v>
      </c>
      <c r="G405" t="s">
        <v>35</v>
      </c>
      <c r="H405" t="s">
        <v>155</v>
      </c>
      <c r="I405">
        <v>3</v>
      </c>
      <c r="J405">
        <v>0.15</v>
      </c>
      <c r="K405">
        <v>48986.61</v>
      </c>
      <c r="L405">
        <v>1781.83</v>
      </c>
      <c r="M405">
        <v>2025</v>
      </c>
      <c r="N405" t="s">
        <v>622</v>
      </c>
      <c r="O405" t="s">
        <v>625</v>
      </c>
      <c r="P405">
        <v>3.637381725332698E-2</v>
      </c>
    </row>
    <row r="406" spans="1:16" x14ac:dyDescent="0.3">
      <c r="A406" t="s">
        <v>506</v>
      </c>
      <c r="B406" s="12">
        <v>45950</v>
      </c>
      <c r="C406" t="s">
        <v>104</v>
      </c>
      <c r="D406" t="s">
        <v>33</v>
      </c>
      <c r="E406" t="s">
        <v>34</v>
      </c>
      <c r="F406" t="s">
        <v>16</v>
      </c>
      <c r="G406" t="s">
        <v>41</v>
      </c>
      <c r="H406" t="s">
        <v>42</v>
      </c>
      <c r="I406">
        <v>3</v>
      </c>
      <c r="J406">
        <v>0.1</v>
      </c>
      <c r="K406">
        <v>21805.11</v>
      </c>
      <c r="L406">
        <v>4331.22</v>
      </c>
      <c r="M406">
        <v>2025</v>
      </c>
      <c r="N406" t="s">
        <v>622</v>
      </c>
      <c r="O406" t="s">
        <v>625</v>
      </c>
      <c r="P406">
        <v>0.19863325614959063</v>
      </c>
    </row>
    <row r="407" spans="1:16" x14ac:dyDescent="0.3">
      <c r="A407" t="s">
        <v>507</v>
      </c>
      <c r="B407" s="12">
        <v>45950</v>
      </c>
      <c r="C407" t="s">
        <v>66</v>
      </c>
      <c r="D407" t="s">
        <v>33</v>
      </c>
      <c r="E407" t="s">
        <v>45</v>
      </c>
      <c r="F407" t="s">
        <v>23</v>
      </c>
      <c r="G407" t="s">
        <v>35</v>
      </c>
      <c r="H407" t="s">
        <v>36</v>
      </c>
      <c r="I407">
        <v>4</v>
      </c>
      <c r="J407">
        <v>0.15</v>
      </c>
      <c r="K407">
        <v>76220.44</v>
      </c>
      <c r="L407">
        <v>8637.58</v>
      </c>
      <c r="M407">
        <v>2025</v>
      </c>
      <c r="N407" t="s">
        <v>622</v>
      </c>
      <c r="O407" t="s">
        <v>625</v>
      </c>
      <c r="P407">
        <v>0.11332367013362819</v>
      </c>
    </row>
    <row r="408" spans="1:16" x14ac:dyDescent="0.3">
      <c r="A408" t="s">
        <v>508</v>
      </c>
      <c r="B408" s="12">
        <v>45950</v>
      </c>
      <c r="C408" t="s">
        <v>44</v>
      </c>
      <c r="D408" t="s">
        <v>14</v>
      </c>
      <c r="E408" t="s">
        <v>15</v>
      </c>
      <c r="F408" t="s">
        <v>28</v>
      </c>
      <c r="G408" t="s">
        <v>92</v>
      </c>
      <c r="H408" t="s">
        <v>204</v>
      </c>
      <c r="I408">
        <v>2</v>
      </c>
      <c r="J408">
        <v>0.1</v>
      </c>
      <c r="K408">
        <v>585.55999999999995</v>
      </c>
      <c r="L408">
        <v>71.36</v>
      </c>
      <c r="M408">
        <v>2025</v>
      </c>
      <c r="N408" t="s">
        <v>622</v>
      </c>
      <c r="O408" t="s">
        <v>627</v>
      </c>
      <c r="P408">
        <v>0.12186624769451466</v>
      </c>
    </row>
    <row r="409" spans="1:16" x14ac:dyDescent="0.3">
      <c r="A409" t="s">
        <v>509</v>
      </c>
      <c r="B409" s="12">
        <v>45950</v>
      </c>
      <c r="C409" t="s">
        <v>13</v>
      </c>
      <c r="D409" t="s">
        <v>21</v>
      </c>
      <c r="E409" t="s">
        <v>67</v>
      </c>
      <c r="F409" t="s">
        <v>16</v>
      </c>
      <c r="G409" t="s">
        <v>62</v>
      </c>
      <c r="H409" t="s">
        <v>180</v>
      </c>
      <c r="I409">
        <v>1</v>
      </c>
      <c r="J409">
        <v>0</v>
      </c>
      <c r="K409">
        <v>10968.9</v>
      </c>
      <c r="L409">
        <v>1081.6400000000001</v>
      </c>
      <c r="M409">
        <v>2025</v>
      </c>
      <c r="N409" t="s">
        <v>622</v>
      </c>
      <c r="O409" t="s">
        <v>625</v>
      </c>
      <c r="P409">
        <v>9.8609705622259305E-2</v>
      </c>
    </row>
    <row r="410" spans="1:16" x14ac:dyDescent="0.3">
      <c r="A410" t="s">
        <v>510</v>
      </c>
      <c r="B410" s="12">
        <v>45951</v>
      </c>
      <c r="C410" t="s">
        <v>77</v>
      </c>
      <c r="D410" t="s">
        <v>21</v>
      </c>
      <c r="E410" t="s">
        <v>57</v>
      </c>
      <c r="F410" t="s">
        <v>16</v>
      </c>
      <c r="G410" t="s">
        <v>62</v>
      </c>
      <c r="H410" t="s">
        <v>180</v>
      </c>
      <c r="I410">
        <v>7</v>
      </c>
      <c r="J410">
        <v>0</v>
      </c>
      <c r="K410">
        <v>50452.92</v>
      </c>
      <c r="L410">
        <v>6955.59</v>
      </c>
      <c r="M410">
        <v>2025</v>
      </c>
      <c r="N410" t="s">
        <v>622</v>
      </c>
      <c r="O410" t="s">
        <v>625</v>
      </c>
      <c r="P410">
        <v>0.13786298196417571</v>
      </c>
    </row>
    <row r="411" spans="1:16" x14ac:dyDescent="0.3">
      <c r="A411" t="s">
        <v>511</v>
      </c>
      <c r="B411" s="12">
        <v>45951</v>
      </c>
      <c r="C411" t="s">
        <v>150</v>
      </c>
      <c r="D411" t="s">
        <v>21</v>
      </c>
      <c r="E411" t="s">
        <v>57</v>
      </c>
      <c r="F411" t="s">
        <v>23</v>
      </c>
      <c r="G411" t="s">
        <v>24</v>
      </c>
      <c r="H411" t="s">
        <v>25</v>
      </c>
      <c r="I411">
        <v>2</v>
      </c>
      <c r="J411">
        <v>0.15</v>
      </c>
      <c r="K411">
        <v>31114.3</v>
      </c>
      <c r="L411">
        <v>4737.47</v>
      </c>
      <c r="M411">
        <v>2025</v>
      </c>
      <c r="N411" t="s">
        <v>622</v>
      </c>
      <c r="O411" t="s">
        <v>625</v>
      </c>
      <c r="P411">
        <v>0.1522602147565589</v>
      </c>
    </row>
    <row r="412" spans="1:16" x14ac:dyDescent="0.3">
      <c r="A412" t="s">
        <v>512</v>
      </c>
      <c r="B412" s="12">
        <v>45951</v>
      </c>
      <c r="C412" t="s">
        <v>229</v>
      </c>
      <c r="D412" t="s">
        <v>21</v>
      </c>
      <c r="E412" t="s">
        <v>105</v>
      </c>
      <c r="F412" t="s">
        <v>16</v>
      </c>
      <c r="G412" t="s">
        <v>68</v>
      </c>
      <c r="H412" t="s">
        <v>83</v>
      </c>
      <c r="I412">
        <v>2</v>
      </c>
      <c r="J412">
        <v>0.1</v>
      </c>
      <c r="K412">
        <v>15642.82</v>
      </c>
      <c r="L412">
        <v>945.93</v>
      </c>
      <c r="M412">
        <v>2025</v>
      </c>
      <c r="N412" t="s">
        <v>622</v>
      </c>
      <c r="O412" t="s">
        <v>625</v>
      </c>
      <c r="P412">
        <v>6.047055454195599E-2</v>
      </c>
    </row>
    <row r="413" spans="1:16" x14ac:dyDescent="0.3">
      <c r="A413" t="s">
        <v>513</v>
      </c>
      <c r="B413" s="12">
        <v>45952</v>
      </c>
      <c r="C413" t="s">
        <v>66</v>
      </c>
      <c r="D413" t="s">
        <v>14</v>
      </c>
      <c r="E413" t="s">
        <v>114</v>
      </c>
      <c r="F413" t="s">
        <v>16</v>
      </c>
      <c r="G413" t="s">
        <v>62</v>
      </c>
      <c r="H413" t="s">
        <v>180</v>
      </c>
      <c r="I413">
        <v>3</v>
      </c>
      <c r="J413">
        <v>0.2</v>
      </c>
      <c r="K413">
        <v>27804.42</v>
      </c>
      <c r="L413">
        <v>4484.3</v>
      </c>
      <c r="M413">
        <v>2025</v>
      </c>
      <c r="N413" t="s">
        <v>622</v>
      </c>
      <c r="O413" t="s">
        <v>625</v>
      </c>
      <c r="P413">
        <v>0.16128011301800219</v>
      </c>
    </row>
    <row r="414" spans="1:16" x14ac:dyDescent="0.3">
      <c r="A414" t="s">
        <v>514</v>
      </c>
      <c r="B414" s="12">
        <v>45952</v>
      </c>
      <c r="C414" t="s">
        <v>229</v>
      </c>
      <c r="D414" t="s">
        <v>14</v>
      </c>
      <c r="E414" t="s">
        <v>15</v>
      </c>
      <c r="F414" t="s">
        <v>23</v>
      </c>
      <c r="G414" t="s">
        <v>48</v>
      </c>
      <c r="H414" t="s">
        <v>124</v>
      </c>
      <c r="I414">
        <v>3</v>
      </c>
      <c r="J414">
        <v>0</v>
      </c>
      <c r="K414">
        <v>66879.149999999994</v>
      </c>
      <c r="L414">
        <v>5430.25</v>
      </c>
      <c r="M414">
        <v>2025</v>
      </c>
      <c r="N414" t="s">
        <v>622</v>
      </c>
      <c r="O414" t="s">
        <v>625</v>
      </c>
      <c r="P414">
        <v>8.1194961359407236E-2</v>
      </c>
    </row>
    <row r="415" spans="1:16" x14ac:dyDescent="0.3">
      <c r="A415" t="s">
        <v>515</v>
      </c>
      <c r="B415" s="12">
        <v>45953</v>
      </c>
      <c r="C415" t="s">
        <v>77</v>
      </c>
      <c r="D415" t="s">
        <v>14</v>
      </c>
      <c r="E415" t="s">
        <v>114</v>
      </c>
      <c r="F415" t="s">
        <v>16</v>
      </c>
      <c r="G415" t="s">
        <v>62</v>
      </c>
      <c r="H415" t="s">
        <v>63</v>
      </c>
      <c r="I415">
        <v>4</v>
      </c>
      <c r="J415">
        <v>0.1</v>
      </c>
      <c r="K415">
        <v>42524.76</v>
      </c>
      <c r="L415">
        <v>3440.65</v>
      </c>
      <c r="M415">
        <v>2025</v>
      </c>
      <c r="N415" t="s">
        <v>622</v>
      </c>
      <c r="O415" t="s">
        <v>625</v>
      </c>
      <c r="P415">
        <v>8.0909333762259908E-2</v>
      </c>
    </row>
    <row r="416" spans="1:16" x14ac:dyDescent="0.3">
      <c r="A416" t="s">
        <v>516</v>
      </c>
      <c r="B416" s="12">
        <v>45956</v>
      </c>
      <c r="C416" t="s">
        <v>38</v>
      </c>
      <c r="D416" t="s">
        <v>21</v>
      </c>
      <c r="E416" t="s">
        <v>22</v>
      </c>
      <c r="F416" t="s">
        <v>23</v>
      </c>
      <c r="G416" t="s">
        <v>35</v>
      </c>
      <c r="H416" t="s">
        <v>155</v>
      </c>
      <c r="I416">
        <v>7</v>
      </c>
      <c r="J416">
        <v>0.05</v>
      </c>
      <c r="K416">
        <v>106713.04</v>
      </c>
      <c r="L416">
        <v>21366.01</v>
      </c>
      <c r="M416">
        <v>2025</v>
      </c>
      <c r="N416" t="s">
        <v>622</v>
      </c>
      <c r="O416" t="s">
        <v>625</v>
      </c>
      <c r="P416">
        <v>0.20021929841001623</v>
      </c>
    </row>
    <row r="417" spans="1:16" x14ac:dyDescent="0.3">
      <c r="A417" t="s">
        <v>517</v>
      </c>
      <c r="B417" s="12">
        <v>45957</v>
      </c>
      <c r="C417" t="s">
        <v>100</v>
      </c>
      <c r="D417" t="s">
        <v>33</v>
      </c>
      <c r="E417" t="s">
        <v>140</v>
      </c>
      <c r="F417" t="s">
        <v>23</v>
      </c>
      <c r="G417" t="s">
        <v>35</v>
      </c>
      <c r="H417" t="s">
        <v>155</v>
      </c>
      <c r="I417">
        <v>7</v>
      </c>
      <c r="J417">
        <v>0</v>
      </c>
      <c r="K417">
        <v>193238.64</v>
      </c>
      <c r="L417">
        <v>34527.78</v>
      </c>
      <c r="M417">
        <v>2025</v>
      </c>
      <c r="N417" t="s">
        <v>622</v>
      </c>
      <c r="O417" t="s">
        <v>625</v>
      </c>
      <c r="P417">
        <v>0.17867948149500532</v>
      </c>
    </row>
    <row r="418" spans="1:16" x14ac:dyDescent="0.3">
      <c r="A418" t="s">
        <v>518</v>
      </c>
      <c r="B418" s="12">
        <v>45958</v>
      </c>
      <c r="C418" t="s">
        <v>44</v>
      </c>
      <c r="D418" t="s">
        <v>14</v>
      </c>
      <c r="E418" t="s">
        <v>15</v>
      </c>
      <c r="F418" t="s">
        <v>16</v>
      </c>
      <c r="G418" t="s">
        <v>62</v>
      </c>
      <c r="H418" t="s">
        <v>180</v>
      </c>
      <c r="I418">
        <v>2</v>
      </c>
      <c r="J418">
        <v>0.05</v>
      </c>
      <c r="K418">
        <v>5642.62</v>
      </c>
      <c r="L418">
        <v>533.34</v>
      </c>
      <c r="M418">
        <v>2025</v>
      </c>
      <c r="N418" t="s">
        <v>622</v>
      </c>
      <c r="O418" t="s">
        <v>625</v>
      </c>
      <c r="P418">
        <v>9.4519921596705081E-2</v>
      </c>
    </row>
    <row r="419" spans="1:16" x14ac:dyDescent="0.3">
      <c r="A419" t="s">
        <v>519</v>
      </c>
      <c r="B419" s="12">
        <v>45958</v>
      </c>
      <c r="C419" t="s">
        <v>27</v>
      </c>
      <c r="D419" t="s">
        <v>21</v>
      </c>
      <c r="E419" t="s">
        <v>22</v>
      </c>
      <c r="F419" t="s">
        <v>23</v>
      </c>
      <c r="G419" t="s">
        <v>48</v>
      </c>
      <c r="H419" t="s">
        <v>118</v>
      </c>
      <c r="I419">
        <v>2</v>
      </c>
      <c r="J419">
        <v>0</v>
      </c>
      <c r="K419">
        <v>80261.98</v>
      </c>
      <c r="L419">
        <v>15805.46</v>
      </c>
      <c r="M419">
        <v>2025</v>
      </c>
      <c r="N419" t="s">
        <v>622</v>
      </c>
      <c r="O419" t="s">
        <v>625</v>
      </c>
      <c r="P419">
        <v>0.19692337517713868</v>
      </c>
    </row>
    <row r="420" spans="1:16" x14ac:dyDescent="0.3">
      <c r="A420" t="s">
        <v>520</v>
      </c>
      <c r="B420" s="12">
        <v>45959</v>
      </c>
      <c r="C420" t="s">
        <v>95</v>
      </c>
      <c r="D420" t="s">
        <v>21</v>
      </c>
      <c r="E420" t="s">
        <v>105</v>
      </c>
      <c r="F420" t="s">
        <v>16</v>
      </c>
      <c r="G420" t="s">
        <v>17</v>
      </c>
      <c r="H420" t="s">
        <v>18</v>
      </c>
      <c r="I420">
        <v>5</v>
      </c>
      <c r="J420">
        <v>0.1</v>
      </c>
      <c r="K420">
        <v>7930.45</v>
      </c>
      <c r="L420">
        <v>810.6</v>
      </c>
      <c r="M420">
        <v>2025</v>
      </c>
      <c r="N420" t="s">
        <v>622</v>
      </c>
      <c r="O420" t="s">
        <v>625</v>
      </c>
      <c r="P420">
        <v>0.10221361965588334</v>
      </c>
    </row>
    <row r="421" spans="1:16" x14ac:dyDescent="0.3">
      <c r="A421" t="s">
        <v>521</v>
      </c>
      <c r="B421" s="12">
        <v>45960</v>
      </c>
      <c r="C421" t="s">
        <v>51</v>
      </c>
      <c r="D421" t="s">
        <v>33</v>
      </c>
      <c r="E421" t="s">
        <v>140</v>
      </c>
      <c r="F421" t="s">
        <v>28</v>
      </c>
      <c r="G421" t="s">
        <v>71</v>
      </c>
      <c r="H421" t="s">
        <v>72</v>
      </c>
      <c r="I421">
        <v>6</v>
      </c>
      <c r="J421">
        <v>0.1</v>
      </c>
      <c r="K421">
        <v>28770.240000000002</v>
      </c>
      <c r="L421">
        <v>4875.93</v>
      </c>
      <c r="M421">
        <v>2025</v>
      </c>
      <c r="N421" t="s">
        <v>622</v>
      </c>
      <c r="O421" t="s">
        <v>625</v>
      </c>
      <c r="P421">
        <v>0.16947825252761187</v>
      </c>
    </row>
    <row r="422" spans="1:16" x14ac:dyDescent="0.3">
      <c r="A422" t="s">
        <v>522</v>
      </c>
      <c r="B422" s="12">
        <v>45961</v>
      </c>
      <c r="C422" t="s">
        <v>147</v>
      </c>
      <c r="D422" t="s">
        <v>39</v>
      </c>
      <c r="E422" t="s">
        <v>52</v>
      </c>
      <c r="F422" t="s">
        <v>28</v>
      </c>
      <c r="G422" t="s">
        <v>92</v>
      </c>
      <c r="H422" t="s">
        <v>204</v>
      </c>
      <c r="I422">
        <v>3</v>
      </c>
      <c r="J422">
        <v>0.05</v>
      </c>
      <c r="K422">
        <v>531.41999999999996</v>
      </c>
      <c r="L422">
        <v>97.01</v>
      </c>
      <c r="M422">
        <v>2025</v>
      </c>
      <c r="N422" t="s">
        <v>622</v>
      </c>
      <c r="O422" t="s">
        <v>627</v>
      </c>
      <c r="P422">
        <v>0.18254864325768697</v>
      </c>
    </row>
    <row r="423" spans="1:16" x14ac:dyDescent="0.3">
      <c r="A423" t="s">
        <v>523</v>
      </c>
      <c r="B423" s="12">
        <v>45961</v>
      </c>
      <c r="C423" t="s">
        <v>104</v>
      </c>
      <c r="D423" t="s">
        <v>33</v>
      </c>
      <c r="E423" t="s">
        <v>140</v>
      </c>
      <c r="F423" t="s">
        <v>23</v>
      </c>
      <c r="G423" t="s">
        <v>35</v>
      </c>
      <c r="H423" t="s">
        <v>155</v>
      </c>
      <c r="I423">
        <v>7</v>
      </c>
      <c r="J423">
        <v>0.1</v>
      </c>
      <c r="K423">
        <v>189372.75</v>
      </c>
      <c r="L423">
        <v>33145.94</v>
      </c>
      <c r="M423">
        <v>2025</v>
      </c>
      <c r="N423" t="s">
        <v>622</v>
      </c>
      <c r="O423" t="s">
        <v>625</v>
      </c>
      <c r="P423">
        <v>0.17503014557268667</v>
      </c>
    </row>
    <row r="424" spans="1:16" x14ac:dyDescent="0.3">
      <c r="A424" t="s">
        <v>524</v>
      </c>
      <c r="B424" s="12">
        <v>45962</v>
      </c>
      <c r="C424" t="s">
        <v>77</v>
      </c>
      <c r="D424" t="s">
        <v>39</v>
      </c>
      <c r="E424" t="s">
        <v>40</v>
      </c>
      <c r="F424" t="s">
        <v>23</v>
      </c>
      <c r="G424" t="s">
        <v>35</v>
      </c>
      <c r="H424" t="s">
        <v>155</v>
      </c>
      <c r="I424">
        <v>3</v>
      </c>
      <c r="J424">
        <v>0.05</v>
      </c>
      <c r="K424">
        <v>35945.01</v>
      </c>
      <c r="L424">
        <v>5833.89</v>
      </c>
      <c r="M424">
        <v>2025</v>
      </c>
      <c r="N424" t="s">
        <v>623</v>
      </c>
      <c r="O424" t="s">
        <v>625</v>
      </c>
      <c r="P424">
        <v>0.16230041388220506</v>
      </c>
    </row>
    <row r="425" spans="1:16" x14ac:dyDescent="0.3">
      <c r="A425" t="s">
        <v>525</v>
      </c>
      <c r="B425" s="12">
        <v>45965</v>
      </c>
      <c r="C425" t="s">
        <v>111</v>
      </c>
      <c r="D425" t="s">
        <v>39</v>
      </c>
      <c r="E425" t="s">
        <v>40</v>
      </c>
      <c r="F425" t="s">
        <v>23</v>
      </c>
      <c r="G425" t="s">
        <v>35</v>
      </c>
      <c r="H425" t="s">
        <v>36</v>
      </c>
      <c r="I425">
        <v>7</v>
      </c>
      <c r="J425">
        <v>0.15</v>
      </c>
      <c r="K425">
        <v>109762.94</v>
      </c>
      <c r="L425">
        <v>8351.1200000000008</v>
      </c>
      <c r="M425">
        <v>2025</v>
      </c>
      <c r="N425" t="s">
        <v>623</v>
      </c>
      <c r="O425" t="s">
        <v>625</v>
      </c>
      <c r="P425">
        <v>7.608323902402761E-2</v>
      </c>
    </row>
    <row r="426" spans="1:16" x14ac:dyDescent="0.3">
      <c r="A426" t="s">
        <v>526</v>
      </c>
      <c r="B426" s="12">
        <v>45966</v>
      </c>
      <c r="C426" t="s">
        <v>56</v>
      </c>
      <c r="D426" t="s">
        <v>14</v>
      </c>
      <c r="E426" t="s">
        <v>54</v>
      </c>
      <c r="F426" t="s">
        <v>16</v>
      </c>
      <c r="G426" t="s">
        <v>17</v>
      </c>
      <c r="H426" t="s">
        <v>88</v>
      </c>
      <c r="I426">
        <v>7</v>
      </c>
      <c r="J426">
        <v>0.05</v>
      </c>
      <c r="K426">
        <v>40022.36</v>
      </c>
      <c r="L426">
        <v>7679.25</v>
      </c>
      <c r="M426">
        <v>2025</v>
      </c>
      <c r="N426" t="s">
        <v>623</v>
      </c>
      <c r="O426" t="s">
        <v>625</v>
      </c>
      <c r="P426">
        <v>0.19187399243822703</v>
      </c>
    </row>
    <row r="427" spans="1:16" x14ac:dyDescent="0.3">
      <c r="A427" t="s">
        <v>527</v>
      </c>
      <c r="B427" s="12">
        <v>45966</v>
      </c>
      <c r="C427" t="s">
        <v>56</v>
      </c>
      <c r="D427" t="s">
        <v>39</v>
      </c>
      <c r="E427" t="s">
        <v>47</v>
      </c>
      <c r="F427" t="s">
        <v>16</v>
      </c>
      <c r="G427" t="s">
        <v>17</v>
      </c>
      <c r="H427" t="s">
        <v>18</v>
      </c>
      <c r="I427">
        <v>3</v>
      </c>
      <c r="J427">
        <v>0.1</v>
      </c>
      <c r="K427">
        <v>20228.310000000001</v>
      </c>
      <c r="L427">
        <v>3068.84</v>
      </c>
      <c r="M427">
        <v>2025</v>
      </c>
      <c r="N427" t="s">
        <v>623</v>
      </c>
      <c r="O427" t="s">
        <v>625</v>
      </c>
      <c r="P427">
        <v>0.1517101527512679</v>
      </c>
    </row>
    <row r="428" spans="1:16" x14ac:dyDescent="0.3">
      <c r="A428" t="s">
        <v>528</v>
      </c>
      <c r="B428" s="12">
        <v>45966</v>
      </c>
      <c r="C428" t="s">
        <v>95</v>
      </c>
      <c r="D428" t="s">
        <v>33</v>
      </c>
      <c r="E428" t="s">
        <v>34</v>
      </c>
      <c r="F428" t="s">
        <v>16</v>
      </c>
      <c r="G428" t="s">
        <v>41</v>
      </c>
      <c r="H428" t="s">
        <v>42</v>
      </c>
      <c r="I428">
        <v>4</v>
      </c>
      <c r="J428">
        <v>0.05</v>
      </c>
      <c r="K428">
        <v>45173.440000000002</v>
      </c>
      <c r="L428">
        <v>4219.66</v>
      </c>
      <c r="M428">
        <v>2025</v>
      </c>
      <c r="N428" t="s">
        <v>623</v>
      </c>
      <c r="O428" t="s">
        <v>625</v>
      </c>
      <c r="P428">
        <v>9.3410198559153335E-2</v>
      </c>
    </row>
    <row r="429" spans="1:16" x14ac:dyDescent="0.3">
      <c r="A429" t="s">
        <v>529</v>
      </c>
      <c r="B429" s="12">
        <v>45967</v>
      </c>
      <c r="C429" t="s">
        <v>82</v>
      </c>
      <c r="D429" t="s">
        <v>39</v>
      </c>
      <c r="E429" t="s">
        <v>40</v>
      </c>
      <c r="F429" t="s">
        <v>16</v>
      </c>
      <c r="G429" t="s">
        <v>41</v>
      </c>
      <c r="H429" t="s">
        <v>42</v>
      </c>
      <c r="I429">
        <v>4</v>
      </c>
      <c r="J429">
        <v>0.05</v>
      </c>
      <c r="K429">
        <v>14781.24</v>
      </c>
      <c r="L429">
        <v>3289.07</v>
      </c>
      <c r="M429">
        <v>2025</v>
      </c>
      <c r="N429" t="s">
        <v>623</v>
      </c>
      <c r="O429" t="s">
        <v>625</v>
      </c>
      <c r="P429">
        <v>0.22251651417607726</v>
      </c>
    </row>
    <row r="430" spans="1:16" x14ac:dyDescent="0.3">
      <c r="A430" t="s">
        <v>530</v>
      </c>
      <c r="B430" s="12">
        <v>45967</v>
      </c>
      <c r="C430" t="s">
        <v>82</v>
      </c>
      <c r="D430" t="s">
        <v>39</v>
      </c>
      <c r="E430" t="s">
        <v>128</v>
      </c>
      <c r="F430" t="s">
        <v>16</v>
      </c>
      <c r="G430" t="s">
        <v>17</v>
      </c>
      <c r="H430" t="s">
        <v>153</v>
      </c>
      <c r="I430">
        <v>6</v>
      </c>
      <c r="J430">
        <v>0.2</v>
      </c>
      <c r="K430">
        <v>17886.12</v>
      </c>
      <c r="L430">
        <v>2471.5700000000002</v>
      </c>
      <c r="M430">
        <v>2025</v>
      </c>
      <c r="N430" t="s">
        <v>623</v>
      </c>
      <c r="O430" t="s">
        <v>625</v>
      </c>
      <c r="P430">
        <v>0.13818368656813218</v>
      </c>
    </row>
    <row r="431" spans="1:16" x14ac:dyDescent="0.3">
      <c r="A431" t="s">
        <v>531</v>
      </c>
      <c r="B431" s="12">
        <v>45967</v>
      </c>
      <c r="C431" t="s">
        <v>138</v>
      </c>
      <c r="D431" t="s">
        <v>39</v>
      </c>
      <c r="E431" t="s">
        <v>40</v>
      </c>
      <c r="F431" t="s">
        <v>28</v>
      </c>
      <c r="G431" t="s">
        <v>92</v>
      </c>
      <c r="H431" t="s">
        <v>93</v>
      </c>
      <c r="I431">
        <v>1</v>
      </c>
      <c r="J431">
        <v>0</v>
      </c>
      <c r="K431">
        <v>1709.07</v>
      </c>
      <c r="L431">
        <v>243.2</v>
      </c>
      <c r="M431">
        <v>2025</v>
      </c>
      <c r="N431" t="s">
        <v>623</v>
      </c>
      <c r="O431" t="s">
        <v>625</v>
      </c>
      <c r="P431">
        <v>0.14229961323994922</v>
      </c>
    </row>
    <row r="432" spans="1:16" x14ac:dyDescent="0.3">
      <c r="A432" t="s">
        <v>532</v>
      </c>
      <c r="B432" s="12">
        <v>45968</v>
      </c>
      <c r="C432" t="s">
        <v>111</v>
      </c>
      <c r="D432" t="s">
        <v>14</v>
      </c>
      <c r="E432" t="s">
        <v>15</v>
      </c>
      <c r="F432" t="s">
        <v>23</v>
      </c>
      <c r="G432" t="s">
        <v>35</v>
      </c>
      <c r="H432" t="s">
        <v>36</v>
      </c>
      <c r="I432">
        <v>3</v>
      </c>
      <c r="J432">
        <v>0.15</v>
      </c>
      <c r="K432">
        <v>118454.34</v>
      </c>
      <c r="L432">
        <v>20402.84</v>
      </c>
      <c r="M432">
        <v>2025</v>
      </c>
      <c r="N432" t="s">
        <v>623</v>
      </c>
      <c r="O432" t="s">
        <v>625</v>
      </c>
      <c r="P432">
        <v>0.17224223274554568</v>
      </c>
    </row>
    <row r="433" spans="1:16" x14ac:dyDescent="0.3">
      <c r="A433" t="s">
        <v>533</v>
      </c>
      <c r="B433" s="12">
        <v>45968</v>
      </c>
      <c r="C433" t="s">
        <v>179</v>
      </c>
      <c r="D433" t="s">
        <v>14</v>
      </c>
      <c r="E433" t="s">
        <v>97</v>
      </c>
      <c r="F433" t="s">
        <v>16</v>
      </c>
      <c r="G433" t="s">
        <v>68</v>
      </c>
      <c r="H433" t="s">
        <v>175</v>
      </c>
      <c r="I433">
        <v>2</v>
      </c>
      <c r="J433">
        <v>0</v>
      </c>
      <c r="K433">
        <v>1299.04</v>
      </c>
      <c r="L433">
        <v>149.83000000000001</v>
      </c>
      <c r="M433">
        <v>2025</v>
      </c>
      <c r="N433" t="s">
        <v>623</v>
      </c>
      <c r="O433" t="s">
        <v>625</v>
      </c>
      <c r="P433">
        <v>0.11533901958369258</v>
      </c>
    </row>
    <row r="434" spans="1:16" x14ac:dyDescent="0.3">
      <c r="A434" t="s">
        <v>534</v>
      </c>
      <c r="B434" s="12">
        <v>45970</v>
      </c>
      <c r="C434" t="s">
        <v>66</v>
      </c>
      <c r="D434" t="s">
        <v>33</v>
      </c>
      <c r="E434" t="s">
        <v>34</v>
      </c>
      <c r="F434" t="s">
        <v>28</v>
      </c>
      <c r="G434" t="s">
        <v>29</v>
      </c>
      <c r="H434" t="s">
        <v>30</v>
      </c>
      <c r="I434">
        <v>5</v>
      </c>
      <c r="J434">
        <v>0.15</v>
      </c>
      <c r="K434">
        <v>5259.7</v>
      </c>
      <c r="L434">
        <v>937.41</v>
      </c>
      <c r="M434">
        <v>2025</v>
      </c>
      <c r="N434" t="s">
        <v>623</v>
      </c>
      <c r="O434" t="s">
        <v>625</v>
      </c>
      <c r="P434">
        <v>0.17822499382094037</v>
      </c>
    </row>
    <row r="435" spans="1:16" x14ac:dyDescent="0.3">
      <c r="A435" t="s">
        <v>535</v>
      </c>
      <c r="B435" s="12">
        <v>45970</v>
      </c>
      <c r="C435" t="s">
        <v>77</v>
      </c>
      <c r="D435" t="s">
        <v>39</v>
      </c>
      <c r="E435" t="s">
        <v>40</v>
      </c>
      <c r="F435" t="s">
        <v>16</v>
      </c>
      <c r="G435" t="s">
        <v>17</v>
      </c>
      <c r="H435" t="s">
        <v>153</v>
      </c>
      <c r="I435">
        <v>2</v>
      </c>
      <c r="J435">
        <v>0.2</v>
      </c>
      <c r="K435">
        <v>19562.64</v>
      </c>
      <c r="L435">
        <v>668.44</v>
      </c>
      <c r="M435">
        <v>2025</v>
      </c>
      <c r="N435" t="s">
        <v>623</v>
      </c>
      <c r="O435" t="s">
        <v>625</v>
      </c>
      <c r="P435">
        <v>3.4169212335349426E-2</v>
      </c>
    </row>
    <row r="436" spans="1:16" x14ac:dyDescent="0.3">
      <c r="A436" t="s">
        <v>536</v>
      </c>
      <c r="B436" s="12">
        <v>45971</v>
      </c>
      <c r="C436" t="s">
        <v>143</v>
      </c>
      <c r="D436" t="s">
        <v>14</v>
      </c>
      <c r="E436" t="s">
        <v>114</v>
      </c>
      <c r="F436" t="s">
        <v>23</v>
      </c>
      <c r="G436" t="s">
        <v>58</v>
      </c>
      <c r="H436" t="s">
        <v>59</v>
      </c>
      <c r="I436">
        <v>3</v>
      </c>
      <c r="J436">
        <v>0.05</v>
      </c>
      <c r="K436">
        <v>90192.960000000006</v>
      </c>
      <c r="L436">
        <v>19206.04</v>
      </c>
      <c r="M436">
        <v>2025</v>
      </c>
      <c r="N436" t="s">
        <v>623</v>
      </c>
      <c r="O436" t="s">
        <v>625</v>
      </c>
      <c r="P436">
        <v>0.21294389273841327</v>
      </c>
    </row>
    <row r="437" spans="1:16" x14ac:dyDescent="0.3">
      <c r="A437" t="s">
        <v>537</v>
      </c>
      <c r="B437" s="12">
        <v>45971</v>
      </c>
      <c r="C437" t="s">
        <v>147</v>
      </c>
      <c r="D437" t="s">
        <v>14</v>
      </c>
      <c r="E437" t="s">
        <v>54</v>
      </c>
      <c r="F437" t="s">
        <v>16</v>
      </c>
      <c r="G437" t="s">
        <v>17</v>
      </c>
      <c r="H437" t="s">
        <v>88</v>
      </c>
      <c r="I437">
        <v>2</v>
      </c>
      <c r="J437">
        <v>0.05</v>
      </c>
      <c r="K437">
        <v>4334.2</v>
      </c>
      <c r="L437">
        <v>411.76</v>
      </c>
      <c r="M437">
        <v>2025</v>
      </c>
      <c r="N437" t="s">
        <v>623</v>
      </c>
      <c r="O437" t="s">
        <v>625</v>
      </c>
      <c r="P437">
        <v>9.5002537953947669E-2</v>
      </c>
    </row>
    <row r="438" spans="1:16" x14ac:dyDescent="0.3">
      <c r="A438" t="s">
        <v>538</v>
      </c>
      <c r="B438" s="12">
        <v>45972</v>
      </c>
      <c r="C438" t="s">
        <v>38</v>
      </c>
      <c r="D438" t="s">
        <v>33</v>
      </c>
      <c r="E438" t="s">
        <v>140</v>
      </c>
      <c r="F438" t="s">
        <v>16</v>
      </c>
      <c r="G438" t="s">
        <v>62</v>
      </c>
      <c r="H438" t="s">
        <v>167</v>
      </c>
      <c r="I438">
        <v>1</v>
      </c>
      <c r="J438">
        <v>0</v>
      </c>
      <c r="K438">
        <v>5144.12</v>
      </c>
      <c r="L438">
        <v>633.58000000000004</v>
      </c>
      <c r="M438">
        <v>2025</v>
      </c>
      <c r="N438" t="s">
        <v>623</v>
      </c>
      <c r="O438" t="s">
        <v>625</v>
      </c>
      <c r="P438">
        <v>0.12316586704820262</v>
      </c>
    </row>
    <row r="439" spans="1:16" x14ac:dyDescent="0.3">
      <c r="A439" t="s">
        <v>539</v>
      </c>
      <c r="B439" s="12">
        <v>45973</v>
      </c>
      <c r="C439" t="s">
        <v>13</v>
      </c>
      <c r="D439" t="s">
        <v>33</v>
      </c>
      <c r="E439" t="s">
        <v>86</v>
      </c>
      <c r="F439" t="s">
        <v>16</v>
      </c>
      <c r="G439" t="s">
        <v>17</v>
      </c>
      <c r="H439" t="s">
        <v>88</v>
      </c>
      <c r="I439">
        <v>7</v>
      </c>
      <c r="J439">
        <v>0.2</v>
      </c>
      <c r="K439">
        <v>3851.26</v>
      </c>
      <c r="L439">
        <v>505.35</v>
      </c>
      <c r="M439">
        <v>2025</v>
      </c>
      <c r="N439" t="s">
        <v>623</v>
      </c>
      <c r="O439" t="s">
        <v>625</v>
      </c>
      <c r="P439">
        <v>0.13121679658085925</v>
      </c>
    </row>
    <row r="440" spans="1:16" x14ac:dyDescent="0.3">
      <c r="A440" t="s">
        <v>540</v>
      </c>
      <c r="B440" s="12">
        <v>45973</v>
      </c>
      <c r="C440" t="s">
        <v>150</v>
      </c>
      <c r="D440" t="s">
        <v>33</v>
      </c>
      <c r="E440" t="s">
        <v>86</v>
      </c>
      <c r="F440" t="s">
        <v>23</v>
      </c>
      <c r="G440" t="s">
        <v>48</v>
      </c>
      <c r="H440" t="s">
        <v>118</v>
      </c>
      <c r="I440">
        <v>6</v>
      </c>
      <c r="J440">
        <v>0</v>
      </c>
      <c r="K440">
        <v>156774.06</v>
      </c>
      <c r="L440">
        <v>30201.84</v>
      </c>
      <c r="M440">
        <v>2025</v>
      </c>
      <c r="N440" t="s">
        <v>623</v>
      </c>
      <c r="O440" t="s">
        <v>625</v>
      </c>
      <c r="P440">
        <v>0.19264564558703143</v>
      </c>
    </row>
    <row r="441" spans="1:16" x14ac:dyDescent="0.3">
      <c r="A441" t="s">
        <v>541</v>
      </c>
      <c r="B441" s="12">
        <v>45974</v>
      </c>
      <c r="C441" t="s">
        <v>179</v>
      </c>
      <c r="D441" t="s">
        <v>21</v>
      </c>
      <c r="E441" t="s">
        <v>57</v>
      </c>
      <c r="F441" t="s">
        <v>23</v>
      </c>
      <c r="G441" t="s">
        <v>35</v>
      </c>
      <c r="H441" t="s">
        <v>155</v>
      </c>
      <c r="I441">
        <v>3</v>
      </c>
      <c r="J441">
        <v>0</v>
      </c>
      <c r="K441">
        <v>86827.83</v>
      </c>
      <c r="L441">
        <v>7589.85</v>
      </c>
      <c r="M441">
        <v>2025</v>
      </c>
      <c r="N441" t="s">
        <v>623</v>
      </c>
      <c r="O441" t="s">
        <v>625</v>
      </c>
      <c r="P441">
        <v>8.7412641776259986E-2</v>
      </c>
    </row>
    <row r="442" spans="1:16" x14ac:dyDescent="0.3">
      <c r="A442" t="s">
        <v>542</v>
      </c>
      <c r="B442" s="12">
        <v>45974</v>
      </c>
      <c r="C442" t="s">
        <v>32</v>
      </c>
      <c r="D442" t="s">
        <v>21</v>
      </c>
      <c r="E442" t="s">
        <v>22</v>
      </c>
      <c r="F442" t="s">
        <v>16</v>
      </c>
      <c r="G442" t="s">
        <v>17</v>
      </c>
      <c r="H442" t="s">
        <v>18</v>
      </c>
      <c r="I442">
        <v>3</v>
      </c>
      <c r="J442">
        <v>0</v>
      </c>
      <c r="K442">
        <v>2589.7199999999998</v>
      </c>
      <c r="L442">
        <v>230.06</v>
      </c>
      <c r="M442">
        <v>2025</v>
      </c>
      <c r="N442" t="s">
        <v>623</v>
      </c>
      <c r="O442" t="s">
        <v>625</v>
      </c>
      <c r="P442">
        <v>8.8835858702871362E-2</v>
      </c>
    </row>
    <row r="443" spans="1:16" x14ac:dyDescent="0.3">
      <c r="A443" t="s">
        <v>543</v>
      </c>
      <c r="B443" s="12">
        <v>45975</v>
      </c>
      <c r="C443" t="s">
        <v>82</v>
      </c>
      <c r="D443" t="s">
        <v>39</v>
      </c>
      <c r="E443" t="s">
        <v>52</v>
      </c>
      <c r="F443" t="s">
        <v>16</v>
      </c>
      <c r="G443" t="s">
        <v>41</v>
      </c>
      <c r="H443" t="s">
        <v>42</v>
      </c>
      <c r="I443">
        <v>7</v>
      </c>
      <c r="J443">
        <v>0.1</v>
      </c>
      <c r="K443">
        <v>71306.27</v>
      </c>
      <c r="L443">
        <v>9566.94</v>
      </c>
      <c r="M443">
        <v>2025</v>
      </c>
      <c r="N443" t="s">
        <v>623</v>
      </c>
      <c r="O443" t="s">
        <v>625</v>
      </c>
      <c r="P443">
        <v>0.13416688322078829</v>
      </c>
    </row>
    <row r="444" spans="1:16" x14ac:dyDescent="0.3">
      <c r="A444" t="s">
        <v>544</v>
      </c>
      <c r="B444" s="12">
        <v>45975</v>
      </c>
      <c r="C444" t="s">
        <v>77</v>
      </c>
      <c r="D444" t="s">
        <v>21</v>
      </c>
      <c r="E444" t="s">
        <v>67</v>
      </c>
      <c r="F444" t="s">
        <v>23</v>
      </c>
      <c r="G444" t="s">
        <v>58</v>
      </c>
      <c r="H444" t="s">
        <v>59</v>
      </c>
      <c r="I444">
        <v>6</v>
      </c>
      <c r="J444">
        <v>0.1</v>
      </c>
      <c r="K444">
        <v>209184.36</v>
      </c>
      <c r="L444">
        <v>42807.83</v>
      </c>
      <c r="M444">
        <v>2025</v>
      </c>
      <c r="N444" t="s">
        <v>623</v>
      </c>
      <c r="O444" t="s">
        <v>625</v>
      </c>
      <c r="P444">
        <v>0.20464163764442048</v>
      </c>
    </row>
    <row r="445" spans="1:16" x14ac:dyDescent="0.3">
      <c r="A445" t="s">
        <v>545</v>
      </c>
      <c r="B445" s="12">
        <v>45975</v>
      </c>
      <c r="C445" t="s">
        <v>27</v>
      </c>
      <c r="D445" t="s">
        <v>39</v>
      </c>
      <c r="E445" t="s">
        <v>47</v>
      </c>
      <c r="F445" t="s">
        <v>16</v>
      </c>
      <c r="G445" t="s">
        <v>68</v>
      </c>
      <c r="H445" t="s">
        <v>69</v>
      </c>
      <c r="I445">
        <v>1</v>
      </c>
      <c r="J445">
        <v>0.15</v>
      </c>
      <c r="K445">
        <v>7289.96</v>
      </c>
      <c r="L445">
        <v>848.02</v>
      </c>
      <c r="M445">
        <v>2025</v>
      </c>
      <c r="N445" t="s">
        <v>623</v>
      </c>
      <c r="O445" t="s">
        <v>625</v>
      </c>
      <c r="P445">
        <v>0.1163271129059693</v>
      </c>
    </row>
    <row r="446" spans="1:16" x14ac:dyDescent="0.3">
      <c r="A446" t="s">
        <v>546</v>
      </c>
      <c r="B446" s="12">
        <v>45976</v>
      </c>
      <c r="C446" t="s">
        <v>38</v>
      </c>
      <c r="D446" t="s">
        <v>14</v>
      </c>
      <c r="E446" t="s">
        <v>54</v>
      </c>
      <c r="F446" t="s">
        <v>23</v>
      </c>
      <c r="G446" t="s">
        <v>35</v>
      </c>
      <c r="H446" t="s">
        <v>155</v>
      </c>
      <c r="I446">
        <v>6</v>
      </c>
      <c r="J446">
        <v>0.05</v>
      </c>
      <c r="K446">
        <v>101013.18</v>
      </c>
      <c r="L446">
        <v>20009.2</v>
      </c>
      <c r="M446">
        <v>2025</v>
      </c>
      <c r="N446" t="s">
        <v>623</v>
      </c>
      <c r="O446" t="s">
        <v>625</v>
      </c>
      <c r="P446">
        <v>0.19808504197175064</v>
      </c>
    </row>
    <row r="447" spans="1:16" x14ac:dyDescent="0.3">
      <c r="A447" t="s">
        <v>547</v>
      </c>
      <c r="B447" s="12">
        <v>45978</v>
      </c>
      <c r="C447" t="s">
        <v>77</v>
      </c>
      <c r="D447" t="s">
        <v>33</v>
      </c>
      <c r="E447" t="s">
        <v>34</v>
      </c>
      <c r="F447" t="s">
        <v>23</v>
      </c>
      <c r="G447" t="s">
        <v>58</v>
      </c>
      <c r="H447" t="s">
        <v>101</v>
      </c>
      <c r="I447">
        <v>7</v>
      </c>
      <c r="J447">
        <v>0.15</v>
      </c>
      <c r="K447">
        <v>321582.09999999998</v>
      </c>
      <c r="L447">
        <v>38299.85</v>
      </c>
      <c r="M447">
        <v>2025</v>
      </c>
      <c r="N447" t="s">
        <v>623</v>
      </c>
      <c r="O447" t="s">
        <v>625</v>
      </c>
      <c r="P447">
        <v>0.11909820229421973</v>
      </c>
    </row>
    <row r="448" spans="1:16" x14ac:dyDescent="0.3">
      <c r="A448" t="s">
        <v>548</v>
      </c>
      <c r="B448" s="12">
        <v>45979</v>
      </c>
      <c r="C448" t="s">
        <v>44</v>
      </c>
      <c r="D448" t="s">
        <v>14</v>
      </c>
      <c r="E448" t="s">
        <v>97</v>
      </c>
      <c r="F448" t="s">
        <v>28</v>
      </c>
      <c r="G448" t="s">
        <v>71</v>
      </c>
      <c r="H448" t="s">
        <v>121</v>
      </c>
      <c r="I448">
        <v>4</v>
      </c>
      <c r="J448">
        <v>0</v>
      </c>
      <c r="K448">
        <v>18380.96</v>
      </c>
      <c r="L448">
        <v>3003.95</v>
      </c>
      <c r="M448">
        <v>2025</v>
      </c>
      <c r="N448" t="s">
        <v>623</v>
      </c>
      <c r="O448" t="s">
        <v>625</v>
      </c>
      <c r="P448">
        <v>0.16342726386434658</v>
      </c>
    </row>
    <row r="449" spans="1:16" x14ac:dyDescent="0.3">
      <c r="A449" t="s">
        <v>549</v>
      </c>
      <c r="B449" s="12">
        <v>45980</v>
      </c>
      <c r="C449" t="s">
        <v>61</v>
      </c>
      <c r="D449" t="s">
        <v>33</v>
      </c>
      <c r="E449" t="s">
        <v>86</v>
      </c>
      <c r="F449" t="s">
        <v>23</v>
      </c>
      <c r="G449" t="s">
        <v>35</v>
      </c>
      <c r="H449" t="s">
        <v>36</v>
      </c>
      <c r="I449">
        <v>3</v>
      </c>
      <c r="J449">
        <v>0.15</v>
      </c>
      <c r="K449">
        <v>107616.06</v>
      </c>
      <c r="L449">
        <v>8893.26</v>
      </c>
      <c r="M449">
        <v>2025</v>
      </c>
      <c r="N449" t="s">
        <v>623</v>
      </c>
      <c r="O449" t="s">
        <v>625</v>
      </c>
      <c r="P449">
        <v>8.2638780865978562E-2</v>
      </c>
    </row>
    <row r="450" spans="1:16" x14ac:dyDescent="0.3">
      <c r="A450" t="s">
        <v>550</v>
      </c>
      <c r="B450" s="12">
        <v>45980</v>
      </c>
      <c r="C450" t="s">
        <v>44</v>
      </c>
      <c r="D450" t="s">
        <v>33</v>
      </c>
      <c r="E450" t="s">
        <v>34</v>
      </c>
      <c r="F450" t="s">
        <v>23</v>
      </c>
      <c r="G450" t="s">
        <v>58</v>
      </c>
      <c r="H450" t="s">
        <v>90</v>
      </c>
      <c r="I450">
        <v>4</v>
      </c>
      <c r="J450">
        <v>0.1</v>
      </c>
      <c r="K450">
        <v>151639.35999999999</v>
      </c>
      <c r="L450">
        <v>8311.2800000000007</v>
      </c>
      <c r="M450">
        <v>2025</v>
      </c>
      <c r="N450" t="s">
        <v>623</v>
      </c>
      <c r="O450" t="s">
        <v>625</v>
      </c>
      <c r="P450">
        <v>5.4809516473823164E-2</v>
      </c>
    </row>
    <row r="451" spans="1:16" x14ac:dyDescent="0.3">
      <c r="A451" t="s">
        <v>551</v>
      </c>
      <c r="B451" s="12">
        <v>45981</v>
      </c>
      <c r="C451" t="s">
        <v>32</v>
      </c>
      <c r="D451" t="s">
        <v>14</v>
      </c>
      <c r="E451" t="s">
        <v>97</v>
      </c>
      <c r="F451" t="s">
        <v>28</v>
      </c>
      <c r="G451" t="s">
        <v>92</v>
      </c>
      <c r="H451" t="s">
        <v>204</v>
      </c>
      <c r="I451">
        <v>1</v>
      </c>
      <c r="J451">
        <v>0</v>
      </c>
      <c r="K451">
        <v>416.97</v>
      </c>
      <c r="L451">
        <v>35.14</v>
      </c>
      <c r="M451">
        <v>2025</v>
      </c>
      <c r="N451" t="s">
        <v>623</v>
      </c>
      <c r="O451" t="s">
        <v>626</v>
      </c>
      <c r="P451">
        <v>8.4274648056215068E-2</v>
      </c>
    </row>
    <row r="452" spans="1:16" x14ac:dyDescent="0.3">
      <c r="A452" t="s">
        <v>552</v>
      </c>
      <c r="B452" s="12">
        <v>45982</v>
      </c>
      <c r="C452" t="s">
        <v>77</v>
      </c>
      <c r="D452" t="s">
        <v>14</v>
      </c>
      <c r="E452" t="s">
        <v>54</v>
      </c>
      <c r="F452" t="s">
        <v>23</v>
      </c>
      <c r="G452" t="s">
        <v>58</v>
      </c>
      <c r="H452" t="s">
        <v>90</v>
      </c>
      <c r="I452">
        <v>3</v>
      </c>
      <c r="J452">
        <v>0</v>
      </c>
      <c r="K452">
        <v>32557.11</v>
      </c>
      <c r="L452">
        <v>7870.52</v>
      </c>
      <c r="M452">
        <v>2025</v>
      </c>
      <c r="N452" t="s">
        <v>623</v>
      </c>
      <c r="O452" t="s">
        <v>625</v>
      </c>
      <c r="P452">
        <v>0.2417450443236516</v>
      </c>
    </row>
    <row r="453" spans="1:16" x14ac:dyDescent="0.3">
      <c r="A453" t="s">
        <v>553</v>
      </c>
      <c r="B453" s="12">
        <v>45983</v>
      </c>
      <c r="C453" t="s">
        <v>82</v>
      </c>
      <c r="D453" t="s">
        <v>39</v>
      </c>
      <c r="E453" t="s">
        <v>40</v>
      </c>
      <c r="F453" t="s">
        <v>28</v>
      </c>
      <c r="G453" t="s">
        <v>71</v>
      </c>
      <c r="H453" t="s">
        <v>72</v>
      </c>
      <c r="I453">
        <v>4</v>
      </c>
      <c r="J453">
        <v>0.15</v>
      </c>
      <c r="K453">
        <v>15563.8</v>
      </c>
      <c r="L453">
        <v>1402.59</v>
      </c>
      <c r="M453">
        <v>2025</v>
      </c>
      <c r="N453" t="s">
        <v>623</v>
      </c>
      <c r="O453" t="s">
        <v>625</v>
      </c>
      <c r="P453">
        <v>9.0118737069353236E-2</v>
      </c>
    </row>
    <row r="454" spans="1:16" x14ac:dyDescent="0.3">
      <c r="A454" t="s">
        <v>554</v>
      </c>
      <c r="B454" s="12">
        <v>45984</v>
      </c>
      <c r="C454" t="s">
        <v>13</v>
      </c>
      <c r="D454" t="s">
        <v>33</v>
      </c>
      <c r="E454" t="s">
        <v>140</v>
      </c>
      <c r="F454" t="s">
        <v>28</v>
      </c>
      <c r="G454" t="s">
        <v>92</v>
      </c>
      <c r="H454" t="s">
        <v>204</v>
      </c>
      <c r="I454">
        <v>5</v>
      </c>
      <c r="J454">
        <v>0.15</v>
      </c>
      <c r="K454">
        <v>18957.75</v>
      </c>
      <c r="L454">
        <v>790.45</v>
      </c>
      <c r="M454">
        <v>2025</v>
      </c>
      <c r="N454" t="s">
        <v>623</v>
      </c>
      <c r="O454" t="s">
        <v>625</v>
      </c>
      <c r="P454">
        <v>4.1695348867877256E-2</v>
      </c>
    </row>
    <row r="455" spans="1:16" x14ac:dyDescent="0.3">
      <c r="A455" t="s">
        <v>555</v>
      </c>
      <c r="B455" s="12">
        <v>45985</v>
      </c>
      <c r="C455" t="s">
        <v>138</v>
      </c>
      <c r="D455" t="s">
        <v>21</v>
      </c>
      <c r="E455" t="s">
        <v>67</v>
      </c>
      <c r="F455" t="s">
        <v>28</v>
      </c>
      <c r="G455" t="s">
        <v>92</v>
      </c>
      <c r="H455" t="s">
        <v>204</v>
      </c>
      <c r="I455">
        <v>6</v>
      </c>
      <c r="J455">
        <v>0.1</v>
      </c>
      <c r="K455">
        <v>18971.28</v>
      </c>
      <c r="L455">
        <v>3597.25</v>
      </c>
      <c r="M455">
        <v>2025</v>
      </c>
      <c r="N455" t="s">
        <v>623</v>
      </c>
      <c r="O455" t="s">
        <v>625</v>
      </c>
      <c r="P455">
        <v>0.18961556626648282</v>
      </c>
    </row>
    <row r="456" spans="1:16" x14ac:dyDescent="0.3">
      <c r="A456" t="s">
        <v>556</v>
      </c>
      <c r="B456" s="12">
        <v>45985</v>
      </c>
      <c r="C456" t="s">
        <v>143</v>
      </c>
      <c r="D456" t="s">
        <v>39</v>
      </c>
      <c r="E456" t="s">
        <v>40</v>
      </c>
      <c r="F456" t="s">
        <v>23</v>
      </c>
      <c r="G456" t="s">
        <v>35</v>
      </c>
      <c r="H456" t="s">
        <v>36</v>
      </c>
      <c r="I456">
        <v>1</v>
      </c>
      <c r="J456">
        <v>0.2</v>
      </c>
      <c r="K456">
        <v>1773.95</v>
      </c>
      <c r="L456">
        <v>110.25</v>
      </c>
      <c r="M456">
        <v>2025</v>
      </c>
      <c r="N456" t="s">
        <v>623</v>
      </c>
      <c r="O456" t="s">
        <v>625</v>
      </c>
      <c r="P456">
        <v>6.2149440514106938E-2</v>
      </c>
    </row>
    <row r="457" spans="1:16" x14ac:dyDescent="0.3">
      <c r="A457" t="s">
        <v>557</v>
      </c>
      <c r="B457" s="12">
        <v>45985</v>
      </c>
      <c r="C457" t="s">
        <v>104</v>
      </c>
      <c r="D457" t="s">
        <v>39</v>
      </c>
      <c r="E457" t="s">
        <v>128</v>
      </c>
      <c r="F457" t="s">
        <v>23</v>
      </c>
      <c r="G457" t="s">
        <v>58</v>
      </c>
      <c r="H457" t="s">
        <v>59</v>
      </c>
      <c r="I457">
        <v>2</v>
      </c>
      <c r="J457">
        <v>0.2</v>
      </c>
      <c r="K457">
        <v>54008.08</v>
      </c>
      <c r="L457">
        <v>2561.67</v>
      </c>
      <c r="M457">
        <v>2025</v>
      </c>
      <c r="N457" t="s">
        <v>623</v>
      </c>
      <c r="O457" t="s">
        <v>625</v>
      </c>
      <c r="P457">
        <v>4.7431236215025603E-2</v>
      </c>
    </row>
    <row r="458" spans="1:16" x14ac:dyDescent="0.3">
      <c r="A458" t="s">
        <v>558</v>
      </c>
      <c r="B458" s="12">
        <v>45986</v>
      </c>
      <c r="C458" t="s">
        <v>66</v>
      </c>
      <c r="D458" t="s">
        <v>21</v>
      </c>
      <c r="E458" t="s">
        <v>57</v>
      </c>
      <c r="F458" t="s">
        <v>16</v>
      </c>
      <c r="G458" t="s">
        <v>41</v>
      </c>
      <c r="H458" t="s">
        <v>177</v>
      </c>
      <c r="I458">
        <v>6</v>
      </c>
      <c r="J458">
        <v>0.1</v>
      </c>
      <c r="K458">
        <v>62348.76</v>
      </c>
      <c r="L458">
        <v>12106.16</v>
      </c>
      <c r="M458">
        <v>2025</v>
      </c>
      <c r="N458" t="s">
        <v>623</v>
      </c>
      <c r="O458" t="s">
        <v>625</v>
      </c>
      <c r="P458">
        <v>0.19416841650098574</v>
      </c>
    </row>
    <row r="459" spans="1:16" x14ac:dyDescent="0.3">
      <c r="A459" t="s">
        <v>559</v>
      </c>
      <c r="B459" s="12">
        <v>45987</v>
      </c>
      <c r="C459" t="s">
        <v>56</v>
      </c>
      <c r="D459" t="s">
        <v>39</v>
      </c>
      <c r="E459" t="s">
        <v>47</v>
      </c>
      <c r="F459" t="s">
        <v>23</v>
      </c>
      <c r="G459" t="s">
        <v>58</v>
      </c>
      <c r="H459" t="s">
        <v>101</v>
      </c>
      <c r="I459">
        <v>7</v>
      </c>
      <c r="J459">
        <v>0.2</v>
      </c>
      <c r="K459">
        <v>265138.02</v>
      </c>
      <c r="L459">
        <v>25193.19</v>
      </c>
      <c r="M459">
        <v>2025</v>
      </c>
      <c r="N459" t="s">
        <v>623</v>
      </c>
      <c r="O459" t="s">
        <v>625</v>
      </c>
      <c r="P459">
        <v>9.5019152666222656E-2</v>
      </c>
    </row>
    <row r="460" spans="1:16" x14ac:dyDescent="0.3">
      <c r="A460" t="s">
        <v>560</v>
      </c>
      <c r="B460" s="12">
        <v>45989</v>
      </c>
      <c r="C460" t="s">
        <v>100</v>
      </c>
      <c r="D460" t="s">
        <v>14</v>
      </c>
      <c r="E460" t="s">
        <v>54</v>
      </c>
      <c r="F460" t="s">
        <v>28</v>
      </c>
      <c r="G460" t="s">
        <v>29</v>
      </c>
      <c r="H460" t="s">
        <v>98</v>
      </c>
      <c r="I460">
        <v>5</v>
      </c>
      <c r="J460">
        <v>0.1</v>
      </c>
      <c r="K460">
        <v>11206.4</v>
      </c>
      <c r="L460">
        <v>839.77</v>
      </c>
      <c r="M460">
        <v>2025</v>
      </c>
      <c r="N460" t="s">
        <v>623</v>
      </c>
      <c r="O460" t="s">
        <v>625</v>
      </c>
      <c r="P460">
        <v>7.4936643346659046E-2</v>
      </c>
    </row>
    <row r="461" spans="1:16" x14ac:dyDescent="0.3">
      <c r="A461" t="s">
        <v>561</v>
      </c>
      <c r="B461" s="12">
        <v>45990</v>
      </c>
      <c r="C461" t="s">
        <v>100</v>
      </c>
      <c r="D461" t="s">
        <v>21</v>
      </c>
      <c r="E461" t="s">
        <v>57</v>
      </c>
      <c r="F461" t="s">
        <v>23</v>
      </c>
      <c r="G461" t="s">
        <v>58</v>
      </c>
      <c r="H461" t="s">
        <v>78</v>
      </c>
      <c r="I461">
        <v>3</v>
      </c>
      <c r="J461">
        <v>0.05</v>
      </c>
      <c r="K461">
        <v>10049.16</v>
      </c>
      <c r="L461">
        <v>1404.12</v>
      </c>
      <c r="M461">
        <v>2025</v>
      </c>
      <c r="N461" t="s">
        <v>623</v>
      </c>
      <c r="O461" t="s">
        <v>625</v>
      </c>
      <c r="P461">
        <v>0.13972511135259066</v>
      </c>
    </row>
    <row r="462" spans="1:16" x14ac:dyDescent="0.3">
      <c r="A462" t="s">
        <v>562</v>
      </c>
      <c r="B462" s="12">
        <v>45994</v>
      </c>
      <c r="C462" t="s">
        <v>85</v>
      </c>
      <c r="D462" t="s">
        <v>39</v>
      </c>
      <c r="E462" t="s">
        <v>52</v>
      </c>
      <c r="F462" t="s">
        <v>16</v>
      </c>
      <c r="G462" t="s">
        <v>62</v>
      </c>
      <c r="H462" t="s">
        <v>167</v>
      </c>
      <c r="I462">
        <v>3</v>
      </c>
      <c r="J462">
        <v>0.05</v>
      </c>
      <c r="K462">
        <v>13031.4</v>
      </c>
      <c r="L462">
        <v>1865.06</v>
      </c>
      <c r="M462">
        <v>2025</v>
      </c>
      <c r="N462" t="s">
        <v>624</v>
      </c>
      <c r="O462" t="s">
        <v>625</v>
      </c>
      <c r="P462">
        <v>0.14312046288196204</v>
      </c>
    </row>
    <row r="463" spans="1:16" x14ac:dyDescent="0.3">
      <c r="A463" t="s">
        <v>563</v>
      </c>
      <c r="B463" s="12">
        <v>45994</v>
      </c>
      <c r="C463" t="s">
        <v>66</v>
      </c>
      <c r="D463" t="s">
        <v>14</v>
      </c>
      <c r="E463" t="s">
        <v>15</v>
      </c>
      <c r="F463" t="s">
        <v>16</v>
      </c>
      <c r="G463" t="s">
        <v>62</v>
      </c>
      <c r="H463" t="s">
        <v>63</v>
      </c>
      <c r="I463">
        <v>1</v>
      </c>
      <c r="J463">
        <v>0.1</v>
      </c>
      <c r="K463">
        <v>1471.95</v>
      </c>
      <c r="L463">
        <v>112.41</v>
      </c>
      <c r="M463">
        <v>2025</v>
      </c>
      <c r="N463" t="s">
        <v>624</v>
      </c>
      <c r="O463" t="s">
        <v>625</v>
      </c>
      <c r="P463">
        <v>7.6368083154998462E-2</v>
      </c>
    </row>
    <row r="464" spans="1:16" x14ac:dyDescent="0.3">
      <c r="A464" t="s">
        <v>564</v>
      </c>
      <c r="B464" s="12">
        <v>45994</v>
      </c>
      <c r="C464" t="s">
        <v>77</v>
      </c>
      <c r="D464" t="s">
        <v>21</v>
      </c>
      <c r="E464" t="s">
        <v>22</v>
      </c>
      <c r="F464" t="s">
        <v>23</v>
      </c>
      <c r="G464" t="s">
        <v>24</v>
      </c>
      <c r="H464" t="s">
        <v>132</v>
      </c>
      <c r="I464">
        <v>4</v>
      </c>
      <c r="J464">
        <v>0.2</v>
      </c>
      <c r="K464">
        <v>135263.67999999999</v>
      </c>
      <c r="L464">
        <v>23130.82</v>
      </c>
      <c r="M464">
        <v>2025</v>
      </c>
      <c r="N464" t="s">
        <v>624</v>
      </c>
      <c r="O464" t="s">
        <v>625</v>
      </c>
      <c r="P464">
        <v>0.17100540218926472</v>
      </c>
    </row>
    <row r="465" spans="1:16" x14ac:dyDescent="0.3">
      <c r="A465" t="s">
        <v>565</v>
      </c>
      <c r="B465" s="12">
        <v>45995</v>
      </c>
      <c r="C465" t="s">
        <v>95</v>
      </c>
      <c r="D465" t="s">
        <v>14</v>
      </c>
      <c r="E465" t="s">
        <v>15</v>
      </c>
      <c r="F465" t="s">
        <v>28</v>
      </c>
      <c r="G465" t="s">
        <v>92</v>
      </c>
      <c r="H465" t="s">
        <v>204</v>
      </c>
      <c r="I465">
        <v>6</v>
      </c>
      <c r="J465">
        <v>0.2</v>
      </c>
      <c r="K465">
        <v>13783.68</v>
      </c>
      <c r="L465">
        <v>663.35</v>
      </c>
      <c r="M465">
        <v>2025</v>
      </c>
      <c r="N465" t="s">
        <v>624</v>
      </c>
      <c r="O465" t="s">
        <v>625</v>
      </c>
      <c r="P465">
        <v>4.8125754515484981E-2</v>
      </c>
    </row>
    <row r="466" spans="1:16" x14ac:dyDescent="0.3">
      <c r="A466" t="s">
        <v>566</v>
      </c>
      <c r="B466" s="12">
        <v>45995</v>
      </c>
      <c r="C466" t="s">
        <v>56</v>
      </c>
      <c r="D466" t="s">
        <v>39</v>
      </c>
      <c r="E466" t="s">
        <v>52</v>
      </c>
      <c r="F466" t="s">
        <v>28</v>
      </c>
      <c r="G466" t="s">
        <v>74</v>
      </c>
      <c r="H466" t="s">
        <v>159</v>
      </c>
      <c r="I466">
        <v>1</v>
      </c>
      <c r="J466">
        <v>0</v>
      </c>
      <c r="K466">
        <v>3410.88</v>
      </c>
      <c r="L466">
        <v>338.67</v>
      </c>
      <c r="M466">
        <v>2025</v>
      </c>
      <c r="N466" t="s">
        <v>624</v>
      </c>
      <c r="O466" t="s">
        <v>625</v>
      </c>
      <c r="P466">
        <v>9.929109203490008E-2</v>
      </c>
    </row>
    <row r="467" spans="1:16" x14ac:dyDescent="0.3">
      <c r="A467" t="s">
        <v>567</v>
      </c>
      <c r="B467" s="12">
        <v>45996</v>
      </c>
      <c r="C467" t="s">
        <v>20</v>
      </c>
      <c r="D467" t="s">
        <v>39</v>
      </c>
      <c r="E467" t="s">
        <v>128</v>
      </c>
      <c r="F467" t="s">
        <v>28</v>
      </c>
      <c r="G467" t="s">
        <v>29</v>
      </c>
      <c r="H467" t="s">
        <v>30</v>
      </c>
      <c r="I467">
        <v>2</v>
      </c>
      <c r="J467">
        <v>0.1</v>
      </c>
      <c r="K467">
        <v>4164.78</v>
      </c>
      <c r="L467">
        <v>196.88</v>
      </c>
      <c r="M467">
        <v>2025</v>
      </c>
      <c r="N467" t="s">
        <v>624</v>
      </c>
      <c r="O467" t="s">
        <v>625</v>
      </c>
      <c r="P467">
        <v>4.7272605035560106E-2</v>
      </c>
    </row>
    <row r="468" spans="1:16" x14ac:dyDescent="0.3">
      <c r="A468" t="s">
        <v>568</v>
      </c>
      <c r="B468" s="12">
        <v>45997</v>
      </c>
      <c r="C468" t="s">
        <v>100</v>
      </c>
      <c r="D468" t="s">
        <v>33</v>
      </c>
      <c r="E468" t="s">
        <v>86</v>
      </c>
      <c r="F468" t="s">
        <v>23</v>
      </c>
      <c r="G468" t="s">
        <v>35</v>
      </c>
      <c r="H468" t="s">
        <v>36</v>
      </c>
      <c r="I468">
        <v>2</v>
      </c>
      <c r="J468">
        <v>0</v>
      </c>
      <c r="K468">
        <v>13613.46</v>
      </c>
      <c r="L468">
        <v>1825.03</v>
      </c>
      <c r="M468">
        <v>2025</v>
      </c>
      <c r="N468" t="s">
        <v>624</v>
      </c>
      <c r="O468" t="s">
        <v>625</v>
      </c>
      <c r="P468">
        <v>0.13406070168788831</v>
      </c>
    </row>
    <row r="469" spans="1:16" x14ac:dyDescent="0.3">
      <c r="A469" t="s">
        <v>569</v>
      </c>
      <c r="B469" s="12">
        <v>45997</v>
      </c>
      <c r="C469" t="s">
        <v>82</v>
      </c>
      <c r="D469" t="s">
        <v>21</v>
      </c>
      <c r="E469" t="s">
        <v>67</v>
      </c>
      <c r="F469" t="s">
        <v>28</v>
      </c>
      <c r="G469" t="s">
        <v>92</v>
      </c>
      <c r="H469" t="s">
        <v>93</v>
      </c>
      <c r="I469">
        <v>5</v>
      </c>
      <c r="J469">
        <v>0.2</v>
      </c>
      <c r="K469">
        <v>24510.799999999999</v>
      </c>
      <c r="L469">
        <v>1692.72</v>
      </c>
      <c r="M469">
        <v>2025</v>
      </c>
      <c r="N469" t="s">
        <v>624</v>
      </c>
      <c r="O469" t="s">
        <v>625</v>
      </c>
      <c r="P469">
        <v>6.9060169394715806E-2</v>
      </c>
    </row>
    <row r="470" spans="1:16" x14ac:dyDescent="0.3">
      <c r="A470" t="s">
        <v>570</v>
      </c>
      <c r="B470" s="12">
        <v>45998</v>
      </c>
      <c r="C470" t="s">
        <v>13</v>
      </c>
      <c r="D470" t="s">
        <v>39</v>
      </c>
      <c r="E470" t="s">
        <v>128</v>
      </c>
      <c r="F470" t="s">
        <v>23</v>
      </c>
      <c r="G470" t="s">
        <v>35</v>
      </c>
      <c r="H470" t="s">
        <v>155</v>
      </c>
      <c r="I470">
        <v>4</v>
      </c>
      <c r="J470">
        <v>0.15</v>
      </c>
      <c r="K470">
        <v>172707.72</v>
      </c>
      <c r="L470">
        <v>17503.68</v>
      </c>
      <c r="M470">
        <v>2025</v>
      </c>
      <c r="N470" t="s">
        <v>624</v>
      </c>
      <c r="O470" t="s">
        <v>625</v>
      </c>
      <c r="P470">
        <v>0.10134856739467119</v>
      </c>
    </row>
    <row r="471" spans="1:16" x14ac:dyDescent="0.3">
      <c r="A471" t="s">
        <v>571</v>
      </c>
      <c r="B471" s="12">
        <v>45998</v>
      </c>
      <c r="C471" t="s">
        <v>95</v>
      </c>
      <c r="D471" t="s">
        <v>33</v>
      </c>
      <c r="E471" t="s">
        <v>45</v>
      </c>
      <c r="F471" t="s">
        <v>16</v>
      </c>
      <c r="G471" t="s">
        <v>68</v>
      </c>
      <c r="H471" t="s">
        <v>69</v>
      </c>
      <c r="I471">
        <v>3</v>
      </c>
      <c r="J471">
        <v>0</v>
      </c>
      <c r="K471">
        <v>9747.42</v>
      </c>
      <c r="L471">
        <v>1286.07</v>
      </c>
      <c r="M471">
        <v>2025</v>
      </c>
      <c r="N471" t="s">
        <v>624</v>
      </c>
      <c r="O471" t="s">
        <v>625</v>
      </c>
      <c r="P471">
        <v>0.13193952861372546</v>
      </c>
    </row>
    <row r="472" spans="1:16" x14ac:dyDescent="0.3">
      <c r="A472" t="s">
        <v>572</v>
      </c>
      <c r="B472" s="12">
        <v>45998</v>
      </c>
      <c r="C472" t="s">
        <v>147</v>
      </c>
      <c r="D472" t="s">
        <v>39</v>
      </c>
      <c r="E472" t="s">
        <v>52</v>
      </c>
      <c r="F472" t="s">
        <v>16</v>
      </c>
      <c r="G472" t="s">
        <v>68</v>
      </c>
      <c r="H472" t="s">
        <v>175</v>
      </c>
      <c r="I472">
        <v>1</v>
      </c>
      <c r="J472">
        <v>0.05</v>
      </c>
      <c r="K472">
        <v>3012.86</v>
      </c>
      <c r="L472">
        <v>338.62</v>
      </c>
      <c r="M472">
        <v>2025</v>
      </c>
      <c r="N472" t="s">
        <v>624</v>
      </c>
      <c r="O472" t="s">
        <v>625</v>
      </c>
      <c r="P472">
        <v>0.11239154822992106</v>
      </c>
    </row>
    <row r="473" spans="1:16" x14ac:dyDescent="0.3">
      <c r="A473" t="s">
        <v>573</v>
      </c>
      <c r="B473" s="12">
        <v>45999</v>
      </c>
      <c r="C473" t="s">
        <v>20</v>
      </c>
      <c r="D473" t="s">
        <v>39</v>
      </c>
      <c r="E473" t="s">
        <v>52</v>
      </c>
      <c r="F473" t="s">
        <v>23</v>
      </c>
      <c r="G473" t="s">
        <v>35</v>
      </c>
      <c r="H473" t="s">
        <v>155</v>
      </c>
      <c r="I473">
        <v>1</v>
      </c>
      <c r="J473">
        <v>0.2</v>
      </c>
      <c r="K473">
        <v>8428.0499999999993</v>
      </c>
      <c r="L473">
        <v>1286.28</v>
      </c>
      <c r="M473">
        <v>2025</v>
      </c>
      <c r="N473" t="s">
        <v>624</v>
      </c>
      <c r="O473" t="s">
        <v>625</v>
      </c>
      <c r="P473">
        <v>0.15261893320518982</v>
      </c>
    </row>
    <row r="474" spans="1:16" x14ac:dyDescent="0.3">
      <c r="A474" t="s">
        <v>574</v>
      </c>
      <c r="B474" s="12">
        <v>46000</v>
      </c>
      <c r="C474" t="s">
        <v>20</v>
      </c>
      <c r="D474" t="s">
        <v>33</v>
      </c>
      <c r="E474" t="s">
        <v>86</v>
      </c>
      <c r="F474" t="s">
        <v>16</v>
      </c>
      <c r="G474" t="s">
        <v>17</v>
      </c>
      <c r="H474" t="s">
        <v>18</v>
      </c>
      <c r="I474">
        <v>3</v>
      </c>
      <c r="J474">
        <v>0.2</v>
      </c>
      <c r="K474">
        <v>11930.49</v>
      </c>
      <c r="L474">
        <v>514.04</v>
      </c>
      <c r="M474">
        <v>2025</v>
      </c>
      <c r="N474" t="s">
        <v>624</v>
      </c>
      <c r="O474" t="s">
        <v>625</v>
      </c>
      <c r="P474">
        <v>4.3086243733492922E-2</v>
      </c>
    </row>
    <row r="475" spans="1:16" x14ac:dyDescent="0.3">
      <c r="A475" t="s">
        <v>575</v>
      </c>
      <c r="B475" s="12">
        <v>46000</v>
      </c>
      <c r="C475" t="s">
        <v>229</v>
      </c>
      <c r="D475" t="s">
        <v>21</v>
      </c>
      <c r="E475" t="s">
        <v>105</v>
      </c>
      <c r="F475" t="s">
        <v>23</v>
      </c>
      <c r="G475" t="s">
        <v>58</v>
      </c>
      <c r="H475" t="s">
        <v>90</v>
      </c>
      <c r="I475">
        <v>6</v>
      </c>
      <c r="J475">
        <v>0</v>
      </c>
      <c r="K475">
        <v>100827.12</v>
      </c>
      <c r="L475">
        <v>12399.55</v>
      </c>
      <c r="M475">
        <v>2025</v>
      </c>
      <c r="N475" t="s">
        <v>624</v>
      </c>
      <c r="O475" t="s">
        <v>625</v>
      </c>
      <c r="P475">
        <v>0.12297832170550939</v>
      </c>
    </row>
    <row r="476" spans="1:16" x14ac:dyDescent="0.3">
      <c r="A476" t="s">
        <v>576</v>
      </c>
      <c r="B476" s="12">
        <v>46001</v>
      </c>
      <c r="C476" t="s">
        <v>85</v>
      </c>
      <c r="D476" t="s">
        <v>21</v>
      </c>
      <c r="E476" t="s">
        <v>67</v>
      </c>
      <c r="F476" t="s">
        <v>16</v>
      </c>
      <c r="G476" t="s">
        <v>17</v>
      </c>
      <c r="H476" t="s">
        <v>18</v>
      </c>
      <c r="I476">
        <v>3</v>
      </c>
      <c r="J476">
        <v>0.15</v>
      </c>
      <c r="K476">
        <v>5146.4399999999996</v>
      </c>
      <c r="L476">
        <v>589.66999999999996</v>
      </c>
      <c r="M476">
        <v>2025</v>
      </c>
      <c r="N476" t="s">
        <v>624</v>
      </c>
      <c r="O476" t="s">
        <v>625</v>
      </c>
      <c r="P476">
        <v>0.11457823272009389</v>
      </c>
    </row>
    <row r="477" spans="1:16" x14ac:dyDescent="0.3">
      <c r="A477" t="s">
        <v>577</v>
      </c>
      <c r="B477" s="12">
        <v>46001</v>
      </c>
      <c r="C477" t="s">
        <v>143</v>
      </c>
      <c r="D477" t="s">
        <v>39</v>
      </c>
      <c r="E477" t="s">
        <v>47</v>
      </c>
      <c r="F477" t="s">
        <v>16</v>
      </c>
      <c r="G477" t="s">
        <v>41</v>
      </c>
      <c r="H477" t="s">
        <v>177</v>
      </c>
      <c r="I477">
        <v>4</v>
      </c>
      <c r="J477">
        <v>0.1</v>
      </c>
      <c r="K477">
        <v>15500.44</v>
      </c>
      <c r="L477">
        <v>1221.48</v>
      </c>
      <c r="M477">
        <v>2025</v>
      </c>
      <c r="N477" t="s">
        <v>624</v>
      </c>
      <c r="O477" t="s">
        <v>625</v>
      </c>
      <c r="P477">
        <v>7.8802924304084268E-2</v>
      </c>
    </row>
    <row r="478" spans="1:16" x14ac:dyDescent="0.3">
      <c r="A478" t="s">
        <v>578</v>
      </c>
      <c r="B478" s="12">
        <v>46002</v>
      </c>
      <c r="C478" t="s">
        <v>147</v>
      </c>
      <c r="D478" t="s">
        <v>39</v>
      </c>
      <c r="E478" t="s">
        <v>52</v>
      </c>
      <c r="F478" t="s">
        <v>28</v>
      </c>
      <c r="G478" t="s">
        <v>71</v>
      </c>
      <c r="H478" t="s">
        <v>72</v>
      </c>
      <c r="I478">
        <v>2</v>
      </c>
      <c r="J478">
        <v>0.1</v>
      </c>
      <c r="K478">
        <v>1237.18</v>
      </c>
      <c r="L478">
        <v>213.98</v>
      </c>
      <c r="M478">
        <v>2025</v>
      </c>
      <c r="N478" t="s">
        <v>624</v>
      </c>
      <c r="O478" t="s">
        <v>625</v>
      </c>
      <c r="P478">
        <v>0.17295785576876443</v>
      </c>
    </row>
    <row r="479" spans="1:16" x14ac:dyDescent="0.3">
      <c r="A479" t="s">
        <v>579</v>
      </c>
      <c r="B479" s="12">
        <v>46003</v>
      </c>
      <c r="C479" t="s">
        <v>20</v>
      </c>
      <c r="D479" t="s">
        <v>33</v>
      </c>
      <c r="E479" t="s">
        <v>34</v>
      </c>
      <c r="F479" t="s">
        <v>23</v>
      </c>
      <c r="G479" t="s">
        <v>58</v>
      </c>
      <c r="H479" t="s">
        <v>59</v>
      </c>
      <c r="I479">
        <v>7</v>
      </c>
      <c r="J479">
        <v>0.2</v>
      </c>
      <c r="K479">
        <v>155225.21</v>
      </c>
      <c r="L479">
        <v>1851.86</v>
      </c>
      <c r="M479">
        <v>2025</v>
      </c>
      <c r="N479" t="s">
        <v>624</v>
      </c>
      <c r="O479" t="s">
        <v>625</v>
      </c>
      <c r="P479">
        <v>1.1930149748227108E-2</v>
      </c>
    </row>
    <row r="480" spans="1:16" x14ac:dyDescent="0.3">
      <c r="A480" t="s">
        <v>580</v>
      </c>
      <c r="B480" s="12">
        <v>46004</v>
      </c>
      <c r="C480" t="s">
        <v>32</v>
      </c>
      <c r="D480" t="s">
        <v>39</v>
      </c>
      <c r="E480" t="s">
        <v>52</v>
      </c>
      <c r="F480" t="s">
        <v>23</v>
      </c>
      <c r="G480" t="s">
        <v>58</v>
      </c>
      <c r="H480" t="s">
        <v>90</v>
      </c>
      <c r="I480">
        <v>7</v>
      </c>
      <c r="J480">
        <v>0.2</v>
      </c>
      <c r="K480">
        <v>19496.82</v>
      </c>
      <c r="L480">
        <v>1249.31</v>
      </c>
      <c r="M480">
        <v>2025</v>
      </c>
      <c r="N480" t="s">
        <v>624</v>
      </c>
      <c r="O480" t="s">
        <v>625</v>
      </c>
      <c r="P480">
        <v>6.4077629069766245E-2</v>
      </c>
    </row>
    <row r="481" spans="1:16" x14ac:dyDescent="0.3">
      <c r="A481" t="s">
        <v>581</v>
      </c>
      <c r="B481" s="12">
        <v>46004</v>
      </c>
      <c r="C481" t="s">
        <v>100</v>
      </c>
      <c r="D481" t="s">
        <v>14</v>
      </c>
      <c r="E481" t="s">
        <v>114</v>
      </c>
      <c r="F481" t="s">
        <v>23</v>
      </c>
      <c r="G481" t="s">
        <v>58</v>
      </c>
      <c r="H481" t="s">
        <v>78</v>
      </c>
      <c r="I481">
        <v>2</v>
      </c>
      <c r="J481">
        <v>0</v>
      </c>
      <c r="K481">
        <v>66709.740000000005</v>
      </c>
      <c r="L481">
        <v>9569.58</v>
      </c>
      <c r="M481">
        <v>2025</v>
      </c>
      <c r="N481" t="s">
        <v>624</v>
      </c>
      <c r="O481" t="s">
        <v>625</v>
      </c>
      <c r="P481">
        <v>0.14345101629836962</v>
      </c>
    </row>
    <row r="482" spans="1:16" x14ac:dyDescent="0.3">
      <c r="A482" t="s">
        <v>582</v>
      </c>
      <c r="B482" s="12">
        <v>46005</v>
      </c>
      <c r="C482" t="s">
        <v>44</v>
      </c>
      <c r="D482" t="s">
        <v>14</v>
      </c>
      <c r="E482" t="s">
        <v>97</v>
      </c>
      <c r="F482" t="s">
        <v>28</v>
      </c>
      <c r="G482" t="s">
        <v>74</v>
      </c>
      <c r="H482" t="s">
        <v>75</v>
      </c>
      <c r="I482">
        <v>6</v>
      </c>
      <c r="J482">
        <v>0.1</v>
      </c>
      <c r="K482">
        <v>18600.36</v>
      </c>
      <c r="L482">
        <v>3666.48</v>
      </c>
      <c r="M482">
        <v>2025</v>
      </c>
      <c r="N482" t="s">
        <v>624</v>
      </c>
      <c r="O482" t="s">
        <v>625</v>
      </c>
      <c r="P482">
        <v>0.19711876544324949</v>
      </c>
    </row>
    <row r="483" spans="1:16" x14ac:dyDescent="0.3">
      <c r="A483" t="s">
        <v>583</v>
      </c>
      <c r="B483" s="12">
        <v>46006</v>
      </c>
      <c r="C483" t="s">
        <v>104</v>
      </c>
      <c r="D483" t="s">
        <v>14</v>
      </c>
      <c r="E483" t="s">
        <v>114</v>
      </c>
      <c r="F483" t="s">
        <v>23</v>
      </c>
      <c r="G483" t="s">
        <v>58</v>
      </c>
      <c r="H483" t="s">
        <v>101</v>
      </c>
      <c r="I483">
        <v>6</v>
      </c>
      <c r="J483">
        <v>0</v>
      </c>
      <c r="K483">
        <v>296611.62</v>
      </c>
      <c r="L483">
        <v>36468.35</v>
      </c>
      <c r="M483">
        <v>2025</v>
      </c>
      <c r="N483" t="s">
        <v>624</v>
      </c>
      <c r="O483" t="s">
        <v>625</v>
      </c>
      <c r="P483">
        <v>0.12294983588303114</v>
      </c>
    </row>
    <row r="484" spans="1:16" x14ac:dyDescent="0.3">
      <c r="A484" t="s">
        <v>584</v>
      </c>
      <c r="B484" s="12">
        <v>46007</v>
      </c>
      <c r="C484" t="s">
        <v>20</v>
      </c>
      <c r="D484" t="s">
        <v>33</v>
      </c>
      <c r="E484" t="s">
        <v>45</v>
      </c>
      <c r="F484" t="s">
        <v>23</v>
      </c>
      <c r="G484" t="s">
        <v>24</v>
      </c>
      <c r="H484" t="s">
        <v>25</v>
      </c>
      <c r="I484">
        <v>6</v>
      </c>
      <c r="J484">
        <v>0.05</v>
      </c>
      <c r="K484">
        <v>118628.4</v>
      </c>
      <c r="L484">
        <v>15808.07</v>
      </c>
      <c r="M484">
        <v>2025</v>
      </c>
      <c r="N484" t="s">
        <v>624</v>
      </c>
      <c r="O484" t="s">
        <v>625</v>
      </c>
      <c r="P484">
        <v>0.13325704468744415</v>
      </c>
    </row>
    <row r="485" spans="1:16" x14ac:dyDescent="0.3">
      <c r="A485" t="s">
        <v>585</v>
      </c>
      <c r="B485" s="12">
        <v>46009</v>
      </c>
      <c r="C485" t="s">
        <v>179</v>
      </c>
      <c r="D485" t="s">
        <v>39</v>
      </c>
      <c r="E485" t="s">
        <v>128</v>
      </c>
      <c r="F485" t="s">
        <v>16</v>
      </c>
      <c r="G485" t="s">
        <v>68</v>
      </c>
      <c r="H485" t="s">
        <v>69</v>
      </c>
      <c r="I485">
        <v>6</v>
      </c>
      <c r="J485">
        <v>0.15</v>
      </c>
      <c r="K485">
        <v>24590.639999999999</v>
      </c>
      <c r="L485">
        <v>1719.36</v>
      </c>
      <c r="M485">
        <v>2025</v>
      </c>
      <c r="N485" t="s">
        <v>624</v>
      </c>
      <c r="O485" t="s">
        <v>625</v>
      </c>
      <c r="P485">
        <v>6.9919286362616018E-2</v>
      </c>
    </row>
    <row r="486" spans="1:16" x14ac:dyDescent="0.3">
      <c r="A486" t="s">
        <v>586</v>
      </c>
      <c r="B486" s="12">
        <v>46009</v>
      </c>
      <c r="C486" t="s">
        <v>56</v>
      </c>
      <c r="D486" t="s">
        <v>39</v>
      </c>
      <c r="E486" t="s">
        <v>128</v>
      </c>
      <c r="F486" t="s">
        <v>16</v>
      </c>
      <c r="G486" t="s">
        <v>68</v>
      </c>
      <c r="H486" t="s">
        <v>83</v>
      </c>
      <c r="I486">
        <v>2</v>
      </c>
      <c r="J486">
        <v>0.15</v>
      </c>
      <c r="K486">
        <v>1481.74</v>
      </c>
      <c r="L486">
        <v>267.18</v>
      </c>
      <c r="M486">
        <v>2025</v>
      </c>
      <c r="N486" t="s">
        <v>624</v>
      </c>
      <c r="O486" t="s">
        <v>625</v>
      </c>
      <c r="P486">
        <v>0.1803150350263879</v>
      </c>
    </row>
    <row r="487" spans="1:16" x14ac:dyDescent="0.3">
      <c r="A487" t="s">
        <v>587</v>
      </c>
      <c r="B487" s="12">
        <v>46009</v>
      </c>
      <c r="C487" t="s">
        <v>66</v>
      </c>
      <c r="D487" t="s">
        <v>21</v>
      </c>
      <c r="E487" t="s">
        <v>105</v>
      </c>
      <c r="F487" t="s">
        <v>23</v>
      </c>
      <c r="G487" t="s">
        <v>48</v>
      </c>
      <c r="H487" t="s">
        <v>118</v>
      </c>
      <c r="I487">
        <v>7</v>
      </c>
      <c r="J487">
        <v>0.1</v>
      </c>
      <c r="K487">
        <v>85514.52</v>
      </c>
      <c r="L487">
        <v>13538.84</v>
      </c>
      <c r="M487">
        <v>2025</v>
      </c>
      <c r="N487" t="s">
        <v>624</v>
      </c>
      <c r="O487" t="s">
        <v>625</v>
      </c>
      <c r="P487">
        <v>0.15832211886355674</v>
      </c>
    </row>
    <row r="488" spans="1:16" x14ac:dyDescent="0.3">
      <c r="A488" t="s">
        <v>588</v>
      </c>
      <c r="B488" s="12">
        <v>46011</v>
      </c>
      <c r="C488" t="s">
        <v>82</v>
      </c>
      <c r="D488" t="s">
        <v>21</v>
      </c>
      <c r="E488" t="s">
        <v>105</v>
      </c>
      <c r="F488" t="s">
        <v>16</v>
      </c>
      <c r="G488" t="s">
        <v>41</v>
      </c>
      <c r="H488" t="s">
        <v>177</v>
      </c>
      <c r="I488">
        <v>6</v>
      </c>
      <c r="J488">
        <v>0.15</v>
      </c>
      <c r="K488">
        <v>34764.720000000001</v>
      </c>
      <c r="L488">
        <v>3211.36</v>
      </c>
      <c r="M488">
        <v>2025</v>
      </c>
      <c r="N488" t="s">
        <v>624</v>
      </c>
      <c r="O488" t="s">
        <v>625</v>
      </c>
      <c r="P488">
        <v>9.2374108003746333E-2</v>
      </c>
    </row>
    <row r="489" spans="1:16" x14ac:dyDescent="0.3">
      <c r="A489" t="s">
        <v>589</v>
      </c>
      <c r="B489" s="12">
        <v>46011</v>
      </c>
      <c r="C489" t="s">
        <v>51</v>
      </c>
      <c r="D489" t="s">
        <v>33</v>
      </c>
      <c r="E489" t="s">
        <v>34</v>
      </c>
      <c r="F489" t="s">
        <v>23</v>
      </c>
      <c r="G489" t="s">
        <v>48</v>
      </c>
      <c r="H489" t="s">
        <v>118</v>
      </c>
      <c r="I489">
        <v>3</v>
      </c>
      <c r="J489">
        <v>0.1</v>
      </c>
      <c r="K489">
        <v>48834.45</v>
      </c>
      <c r="L489">
        <v>9812.9599999999991</v>
      </c>
      <c r="M489">
        <v>2025</v>
      </c>
      <c r="N489" t="s">
        <v>624</v>
      </c>
      <c r="O489" t="s">
        <v>625</v>
      </c>
      <c r="P489">
        <v>0.20094339139685202</v>
      </c>
    </row>
    <row r="490" spans="1:16" x14ac:dyDescent="0.3">
      <c r="A490" t="s">
        <v>590</v>
      </c>
      <c r="B490" s="12">
        <v>46012</v>
      </c>
      <c r="C490" t="s">
        <v>32</v>
      </c>
      <c r="D490" t="s">
        <v>14</v>
      </c>
      <c r="E490" t="s">
        <v>54</v>
      </c>
      <c r="F490" t="s">
        <v>16</v>
      </c>
      <c r="G490" t="s">
        <v>62</v>
      </c>
      <c r="H490" t="s">
        <v>167</v>
      </c>
      <c r="I490">
        <v>5</v>
      </c>
      <c r="J490">
        <v>0.05</v>
      </c>
      <c r="K490">
        <v>52204.9</v>
      </c>
      <c r="L490">
        <v>6729.26</v>
      </c>
      <c r="M490">
        <v>2025</v>
      </c>
      <c r="N490" t="s">
        <v>624</v>
      </c>
      <c r="O490" t="s">
        <v>625</v>
      </c>
      <c r="P490">
        <v>0.1289009269244841</v>
      </c>
    </row>
    <row r="491" spans="1:16" x14ac:dyDescent="0.3">
      <c r="A491" t="s">
        <v>591</v>
      </c>
      <c r="B491" s="12">
        <v>46012</v>
      </c>
      <c r="C491" t="s">
        <v>51</v>
      </c>
      <c r="D491" t="s">
        <v>21</v>
      </c>
      <c r="E491" t="s">
        <v>57</v>
      </c>
      <c r="F491" t="s">
        <v>23</v>
      </c>
      <c r="G491" t="s">
        <v>48</v>
      </c>
      <c r="H491" t="s">
        <v>118</v>
      </c>
      <c r="I491">
        <v>4</v>
      </c>
      <c r="J491">
        <v>0</v>
      </c>
      <c r="K491">
        <v>99205.8</v>
      </c>
      <c r="L491">
        <v>15386.51</v>
      </c>
      <c r="M491">
        <v>2025</v>
      </c>
      <c r="N491" t="s">
        <v>624</v>
      </c>
      <c r="O491" t="s">
        <v>625</v>
      </c>
      <c r="P491">
        <v>0.15509687941632444</v>
      </c>
    </row>
    <row r="492" spans="1:16" x14ac:dyDescent="0.3">
      <c r="A492" t="s">
        <v>592</v>
      </c>
      <c r="B492" s="12">
        <v>46012</v>
      </c>
      <c r="C492" t="s">
        <v>135</v>
      </c>
      <c r="D492" t="s">
        <v>39</v>
      </c>
      <c r="E492" t="s">
        <v>52</v>
      </c>
      <c r="F492" t="s">
        <v>28</v>
      </c>
      <c r="G492" t="s">
        <v>29</v>
      </c>
      <c r="H492" t="s">
        <v>98</v>
      </c>
      <c r="I492">
        <v>3</v>
      </c>
      <c r="J492">
        <v>0.05</v>
      </c>
      <c r="K492">
        <v>12788.16</v>
      </c>
      <c r="L492">
        <v>1545.78</v>
      </c>
      <c r="M492">
        <v>2025</v>
      </c>
      <c r="N492" t="s">
        <v>624</v>
      </c>
      <c r="O492" t="s">
        <v>625</v>
      </c>
      <c r="P492">
        <v>0.12087587268223106</v>
      </c>
    </row>
    <row r="493" spans="1:16" x14ac:dyDescent="0.3">
      <c r="A493" t="s">
        <v>593</v>
      </c>
      <c r="B493" s="12">
        <v>46016</v>
      </c>
      <c r="C493" t="s">
        <v>44</v>
      </c>
      <c r="D493" t="s">
        <v>14</v>
      </c>
      <c r="E493" t="s">
        <v>54</v>
      </c>
      <c r="F493" t="s">
        <v>28</v>
      </c>
      <c r="G493" t="s">
        <v>29</v>
      </c>
      <c r="H493" t="s">
        <v>98</v>
      </c>
      <c r="I493">
        <v>5</v>
      </c>
      <c r="J493">
        <v>0</v>
      </c>
      <c r="K493">
        <v>18440.650000000001</v>
      </c>
      <c r="L493">
        <v>1821.58</v>
      </c>
      <c r="M493">
        <v>2025</v>
      </c>
      <c r="N493" t="s">
        <v>624</v>
      </c>
      <c r="O493" t="s">
        <v>625</v>
      </c>
      <c r="P493">
        <v>9.8780682893498867E-2</v>
      </c>
    </row>
    <row r="494" spans="1:16" x14ac:dyDescent="0.3">
      <c r="A494" t="s">
        <v>594</v>
      </c>
      <c r="B494" s="12">
        <v>46017</v>
      </c>
      <c r="C494" t="s">
        <v>100</v>
      </c>
      <c r="D494" t="s">
        <v>21</v>
      </c>
      <c r="E494" t="s">
        <v>57</v>
      </c>
      <c r="F494" t="s">
        <v>28</v>
      </c>
      <c r="G494" t="s">
        <v>74</v>
      </c>
      <c r="H494" t="s">
        <v>159</v>
      </c>
      <c r="I494">
        <v>6</v>
      </c>
      <c r="J494">
        <v>0.2</v>
      </c>
      <c r="K494">
        <v>19139.099999999999</v>
      </c>
      <c r="L494">
        <v>947.88</v>
      </c>
      <c r="M494">
        <v>2025</v>
      </c>
      <c r="N494" t="s">
        <v>624</v>
      </c>
      <c r="O494" t="s">
        <v>625</v>
      </c>
      <c r="P494">
        <v>4.9525839773030086E-2</v>
      </c>
    </row>
    <row r="495" spans="1:16" x14ac:dyDescent="0.3">
      <c r="A495" t="s">
        <v>595</v>
      </c>
      <c r="B495" s="12">
        <v>46017</v>
      </c>
      <c r="C495" t="s">
        <v>135</v>
      </c>
      <c r="D495" t="s">
        <v>33</v>
      </c>
      <c r="E495" t="s">
        <v>86</v>
      </c>
      <c r="F495" t="s">
        <v>28</v>
      </c>
      <c r="G495" t="s">
        <v>29</v>
      </c>
      <c r="H495" t="s">
        <v>30</v>
      </c>
      <c r="I495">
        <v>2</v>
      </c>
      <c r="J495">
        <v>0.05</v>
      </c>
      <c r="K495">
        <v>6227.08</v>
      </c>
      <c r="L495">
        <v>658.25</v>
      </c>
      <c r="M495">
        <v>2025</v>
      </c>
      <c r="N495" t="s">
        <v>624</v>
      </c>
      <c r="O495" t="s">
        <v>625</v>
      </c>
      <c r="P495">
        <v>0.10570765109810698</v>
      </c>
    </row>
    <row r="496" spans="1:16" x14ac:dyDescent="0.3">
      <c r="A496" t="s">
        <v>596</v>
      </c>
      <c r="B496" s="12">
        <v>46017</v>
      </c>
      <c r="C496" t="s">
        <v>135</v>
      </c>
      <c r="D496" t="s">
        <v>33</v>
      </c>
      <c r="E496" t="s">
        <v>140</v>
      </c>
      <c r="F496" t="s">
        <v>16</v>
      </c>
      <c r="G496" t="s">
        <v>68</v>
      </c>
      <c r="H496" t="s">
        <v>83</v>
      </c>
      <c r="I496">
        <v>7</v>
      </c>
      <c r="J496">
        <v>0.1</v>
      </c>
      <c r="K496">
        <v>18037.88</v>
      </c>
      <c r="L496">
        <v>1793.15</v>
      </c>
      <c r="M496">
        <v>2025</v>
      </c>
      <c r="N496" t="s">
        <v>624</v>
      </c>
      <c r="O496" t="s">
        <v>625</v>
      </c>
      <c r="P496">
        <v>9.9410241114809506E-2</v>
      </c>
    </row>
    <row r="497" spans="1:16" x14ac:dyDescent="0.3">
      <c r="A497" t="s">
        <v>597</v>
      </c>
      <c r="B497" s="12">
        <v>46017</v>
      </c>
      <c r="C497" t="s">
        <v>20</v>
      </c>
      <c r="D497" t="s">
        <v>33</v>
      </c>
      <c r="E497" t="s">
        <v>140</v>
      </c>
      <c r="F497" t="s">
        <v>16</v>
      </c>
      <c r="G497" t="s">
        <v>62</v>
      </c>
      <c r="H497" t="s">
        <v>180</v>
      </c>
      <c r="I497">
        <v>6</v>
      </c>
      <c r="J497">
        <v>0.15</v>
      </c>
      <c r="K497">
        <v>62579.16</v>
      </c>
      <c r="L497">
        <v>2819.51</v>
      </c>
      <c r="M497">
        <v>2025</v>
      </c>
      <c r="N497" t="s">
        <v>624</v>
      </c>
      <c r="O497" t="s">
        <v>625</v>
      </c>
      <c r="P497">
        <v>4.5055095018852923E-2</v>
      </c>
    </row>
    <row r="498" spans="1:16" x14ac:dyDescent="0.3">
      <c r="A498" t="s">
        <v>598</v>
      </c>
      <c r="B498" s="12">
        <v>46018</v>
      </c>
      <c r="C498" t="s">
        <v>138</v>
      </c>
      <c r="D498" t="s">
        <v>14</v>
      </c>
      <c r="E498" t="s">
        <v>15</v>
      </c>
      <c r="F498" t="s">
        <v>23</v>
      </c>
      <c r="G498" t="s">
        <v>58</v>
      </c>
      <c r="H498" t="s">
        <v>78</v>
      </c>
      <c r="I498">
        <v>1</v>
      </c>
      <c r="J498">
        <v>0.2</v>
      </c>
      <c r="K498">
        <v>9952.33</v>
      </c>
      <c r="L498">
        <v>1490.57</v>
      </c>
      <c r="M498">
        <v>2025</v>
      </c>
      <c r="N498" t="s">
        <v>624</v>
      </c>
      <c r="O498" t="s">
        <v>625</v>
      </c>
      <c r="P498">
        <v>0.14977095815753697</v>
      </c>
    </row>
    <row r="499" spans="1:16" x14ac:dyDescent="0.3">
      <c r="A499" t="s">
        <v>599</v>
      </c>
      <c r="B499" s="12">
        <v>46018</v>
      </c>
      <c r="C499" t="s">
        <v>138</v>
      </c>
      <c r="D499" t="s">
        <v>14</v>
      </c>
      <c r="E499" t="s">
        <v>15</v>
      </c>
      <c r="F499" t="s">
        <v>16</v>
      </c>
      <c r="G499" t="s">
        <v>62</v>
      </c>
      <c r="H499" t="s">
        <v>63</v>
      </c>
      <c r="I499">
        <v>1</v>
      </c>
      <c r="J499">
        <v>0.15</v>
      </c>
      <c r="K499">
        <v>8331.9500000000007</v>
      </c>
      <c r="L499">
        <v>1591.98</v>
      </c>
      <c r="M499">
        <v>2025</v>
      </c>
      <c r="N499" t="s">
        <v>624</v>
      </c>
      <c r="O499" t="s">
        <v>625</v>
      </c>
      <c r="P499">
        <v>0.19106931750670611</v>
      </c>
    </row>
    <row r="500" spans="1:16" x14ac:dyDescent="0.3">
      <c r="A500" t="s">
        <v>600</v>
      </c>
      <c r="B500" s="12">
        <v>46019</v>
      </c>
      <c r="C500" t="s">
        <v>143</v>
      </c>
      <c r="D500" t="s">
        <v>33</v>
      </c>
      <c r="E500" t="s">
        <v>34</v>
      </c>
      <c r="F500" t="s">
        <v>23</v>
      </c>
      <c r="G500" t="s">
        <v>58</v>
      </c>
      <c r="H500" t="s">
        <v>78</v>
      </c>
      <c r="I500">
        <v>1</v>
      </c>
      <c r="J500">
        <v>0</v>
      </c>
      <c r="K500">
        <v>17102.27</v>
      </c>
      <c r="L500">
        <v>3178.09</v>
      </c>
      <c r="M500">
        <v>2025</v>
      </c>
      <c r="N500" t="s">
        <v>624</v>
      </c>
      <c r="O500" t="s">
        <v>625</v>
      </c>
      <c r="P500">
        <v>0.18582854790621361</v>
      </c>
    </row>
    <row r="501" spans="1:16" x14ac:dyDescent="0.3">
      <c r="A501" t="s">
        <v>601</v>
      </c>
      <c r="B501" s="12">
        <v>46020</v>
      </c>
      <c r="C501" t="s">
        <v>38</v>
      </c>
      <c r="D501" t="s">
        <v>33</v>
      </c>
      <c r="E501" t="s">
        <v>34</v>
      </c>
      <c r="F501" t="s">
        <v>23</v>
      </c>
      <c r="G501" t="s">
        <v>58</v>
      </c>
      <c r="H501" t="s">
        <v>90</v>
      </c>
      <c r="I501">
        <v>4</v>
      </c>
      <c r="J501">
        <v>0</v>
      </c>
      <c r="K501">
        <v>44533.760000000002</v>
      </c>
      <c r="L501">
        <v>9350.08</v>
      </c>
      <c r="M501">
        <v>2025</v>
      </c>
      <c r="N501" t="s">
        <v>624</v>
      </c>
      <c r="O501" t="s">
        <v>625</v>
      </c>
      <c r="P501">
        <v>0.20995487468383536</v>
      </c>
    </row>
    <row r="502" spans="1:16" x14ac:dyDescent="0.3">
      <c r="A502" t="s">
        <v>602</v>
      </c>
      <c r="B502" s="12">
        <v>46022</v>
      </c>
      <c r="C502" t="s">
        <v>32</v>
      </c>
      <c r="D502" t="s">
        <v>14</v>
      </c>
      <c r="E502" t="s">
        <v>15</v>
      </c>
      <c r="F502" t="s">
        <v>28</v>
      </c>
      <c r="G502" t="s">
        <v>71</v>
      </c>
      <c r="H502" t="s">
        <v>121</v>
      </c>
      <c r="I502">
        <v>3</v>
      </c>
      <c r="J502">
        <v>0</v>
      </c>
      <c r="K502">
        <v>4370.49</v>
      </c>
      <c r="L502">
        <v>794.03</v>
      </c>
      <c r="M502">
        <v>2025</v>
      </c>
      <c r="N502" t="s">
        <v>624</v>
      </c>
      <c r="O502" t="s">
        <v>625</v>
      </c>
      <c r="P502">
        <v>0.18167985740729301</v>
      </c>
    </row>
    <row r="503" spans="1:16" x14ac:dyDescent="0.3">
      <c r="A503" t="s">
        <v>603</v>
      </c>
      <c r="B503" s="12">
        <v>46022</v>
      </c>
      <c r="C503" t="s">
        <v>20</v>
      </c>
      <c r="D503" t="s">
        <v>39</v>
      </c>
      <c r="E503" t="s">
        <v>128</v>
      </c>
      <c r="F503" t="s">
        <v>16</v>
      </c>
      <c r="G503" t="s">
        <v>68</v>
      </c>
      <c r="H503" t="s">
        <v>83</v>
      </c>
      <c r="I503">
        <v>6</v>
      </c>
      <c r="J503">
        <v>0.1</v>
      </c>
      <c r="K503">
        <v>65520.84</v>
      </c>
      <c r="L503">
        <v>11801.48</v>
      </c>
      <c r="M503">
        <v>2025</v>
      </c>
      <c r="N503" t="s">
        <v>624</v>
      </c>
      <c r="O503" t="s">
        <v>625</v>
      </c>
      <c r="P503">
        <v>0.18011795941566072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6AEB-3A22-4CA5-8BB6-EBB2CBA60981}">
  <dimension ref="A1:P503"/>
  <sheetViews>
    <sheetView workbookViewId="0">
      <selection activeCell="A3" sqref="A3:P503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6.88671875" bestFit="1" customWidth="1"/>
    <col min="4" max="4" width="9" bestFit="1" customWidth="1"/>
    <col min="5" max="5" width="12" bestFit="1" customWidth="1"/>
    <col min="6" max="6" width="13.109375" bestFit="1" customWidth="1"/>
    <col min="7" max="7" width="14.6640625" bestFit="1" customWidth="1"/>
    <col min="8" max="8" width="17.21875" bestFit="1" customWidth="1"/>
    <col min="9" max="10" width="10.5546875" bestFit="1" customWidth="1"/>
    <col min="11" max="14" width="9" bestFit="1" customWidth="1"/>
    <col min="15" max="15" width="15.5546875" bestFit="1" customWidth="1"/>
    <col min="16" max="16" width="14.33203125" bestFit="1" customWidth="1"/>
  </cols>
  <sheetData>
    <row r="1" spans="1:16" x14ac:dyDescent="0.3">
      <c r="A1" s="13" t="s">
        <v>632</v>
      </c>
    </row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604</v>
      </c>
      <c r="N3" t="s">
        <v>605</v>
      </c>
      <c r="O3" t="s">
        <v>606</v>
      </c>
      <c r="P3" t="s">
        <v>607</v>
      </c>
    </row>
    <row r="4" spans="1:16" x14ac:dyDescent="0.3">
      <c r="A4" t="s">
        <v>12</v>
      </c>
      <c r="B4" s="12">
        <v>45658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>
        <v>6</v>
      </c>
      <c r="J4">
        <v>0</v>
      </c>
      <c r="K4">
        <v>14565.72</v>
      </c>
      <c r="L4">
        <v>2664.67</v>
      </c>
      <c r="M4">
        <v>2025</v>
      </c>
      <c r="N4" t="s">
        <v>613</v>
      </c>
      <c r="O4" t="s">
        <v>625</v>
      </c>
      <c r="P4">
        <v>0.18294117970138107</v>
      </c>
    </row>
    <row r="5" spans="1:16" x14ac:dyDescent="0.3">
      <c r="A5" t="s">
        <v>19</v>
      </c>
      <c r="B5" s="12">
        <v>45658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>
        <v>5</v>
      </c>
      <c r="J5">
        <v>0</v>
      </c>
      <c r="K5">
        <v>153118.95000000001</v>
      </c>
      <c r="L5">
        <v>29734.03</v>
      </c>
      <c r="M5">
        <v>2025</v>
      </c>
      <c r="N5" t="s">
        <v>613</v>
      </c>
      <c r="O5" t="s">
        <v>625</v>
      </c>
      <c r="P5">
        <v>0.19418909285885252</v>
      </c>
    </row>
    <row r="6" spans="1:16" x14ac:dyDescent="0.3">
      <c r="A6" t="s">
        <v>26</v>
      </c>
      <c r="B6" s="12">
        <v>45660</v>
      </c>
      <c r="C6" t="s">
        <v>27</v>
      </c>
      <c r="D6" t="s">
        <v>14</v>
      </c>
      <c r="E6" t="s">
        <v>15</v>
      </c>
      <c r="F6" t="s">
        <v>28</v>
      </c>
      <c r="G6" t="s">
        <v>29</v>
      </c>
      <c r="H6" t="s">
        <v>30</v>
      </c>
      <c r="I6">
        <v>4</v>
      </c>
      <c r="J6">
        <v>0.1</v>
      </c>
      <c r="K6">
        <v>14739.16</v>
      </c>
      <c r="L6">
        <v>2479.4299999999998</v>
      </c>
      <c r="M6">
        <v>2025</v>
      </c>
      <c r="N6" t="s">
        <v>613</v>
      </c>
      <c r="O6" t="s">
        <v>625</v>
      </c>
      <c r="P6">
        <v>0.16822057702067145</v>
      </c>
    </row>
    <row r="7" spans="1:16" x14ac:dyDescent="0.3">
      <c r="A7" t="s">
        <v>31</v>
      </c>
      <c r="B7" s="12">
        <v>45661</v>
      </c>
      <c r="C7" t="s">
        <v>32</v>
      </c>
      <c r="D7" t="s">
        <v>33</v>
      </c>
      <c r="E7" t="s">
        <v>34</v>
      </c>
      <c r="F7" t="s">
        <v>23</v>
      </c>
      <c r="G7" t="s">
        <v>35</v>
      </c>
      <c r="H7" t="s">
        <v>36</v>
      </c>
      <c r="I7">
        <v>2</v>
      </c>
      <c r="J7">
        <v>0.2</v>
      </c>
      <c r="K7">
        <v>87786.9</v>
      </c>
      <c r="L7">
        <v>5093.42</v>
      </c>
      <c r="M7">
        <v>2025</v>
      </c>
      <c r="N7" t="s">
        <v>613</v>
      </c>
      <c r="O7" t="s">
        <v>625</v>
      </c>
      <c r="P7">
        <v>5.8020274095565517E-2</v>
      </c>
    </row>
    <row r="8" spans="1:16" x14ac:dyDescent="0.3">
      <c r="A8" t="s">
        <v>37</v>
      </c>
      <c r="B8" s="12">
        <v>45661</v>
      </c>
      <c r="C8" t="s">
        <v>38</v>
      </c>
      <c r="D8" t="s">
        <v>39</v>
      </c>
      <c r="E8" t="s">
        <v>40</v>
      </c>
      <c r="F8" t="s">
        <v>16</v>
      </c>
      <c r="G8" t="s">
        <v>41</v>
      </c>
      <c r="H8" t="s">
        <v>42</v>
      </c>
      <c r="I8">
        <v>1</v>
      </c>
      <c r="J8">
        <v>0</v>
      </c>
      <c r="K8">
        <v>8985.34</v>
      </c>
      <c r="L8">
        <v>2072.17</v>
      </c>
      <c r="M8">
        <v>2025</v>
      </c>
      <c r="N8" t="s">
        <v>613</v>
      </c>
      <c r="O8" t="s">
        <v>625</v>
      </c>
      <c r="P8">
        <v>0.23061676018937513</v>
      </c>
    </row>
    <row r="9" spans="1:16" x14ac:dyDescent="0.3">
      <c r="A9" t="s">
        <v>43</v>
      </c>
      <c r="B9" s="12">
        <v>45662</v>
      </c>
      <c r="C9" t="s">
        <v>44</v>
      </c>
      <c r="D9" t="s">
        <v>33</v>
      </c>
      <c r="E9" t="s">
        <v>45</v>
      </c>
      <c r="F9" t="s">
        <v>23</v>
      </c>
      <c r="G9" t="s">
        <v>35</v>
      </c>
      <c r="H9" t="s">
        <v>36</v>
      </c>
      <c r="I9">
        <v>4</v>
      </c>
      <c r="J9">
        <v>0.2</v>
      </c>
      <c r="K9">
        <v>51151.64</v>
      </c>
      <c r="L9">
        <v>1319.61</v>
      </c>
      <c r="M9">
        <v>2025</v>
      </c>
      <c r="N9" t="s">
        <v>613</v>
      </c>
      <c r="O9" t="s">
        <v>625</v>
      </c>
      <c r="P9">
        <v>2.5797999829526481E-2</v>
      </c>
    </row>
    <row r="10" spans="1:16" x14ac:dyDescent="0.3">
      <c r="A10" t="s">
        <v>46</v>
      </c>
      <c r="B10" s="12">
        <v>45662</v>
      </c>
      <c r="C10" t="s">
        <v>44</v>
      </c>
      <c r="D10" t="s">
        <v>39</v>
      </c>
      <c r="E10" t="s">
        <v>47</v>
      </c>
      <c r="F10" t="s">
        <v>23</v>
      </c>
      <c r="G10" t="s">
        <v>48</v>
      </c>
      <c r="H10" t="s">
        <v>49</v>
      </c>
      <c r="I10">
        <v>4</v>
      </c>
      <c r="J10">
        <v>0</v>
      </c>
      <c r="K10">
        <v>48513.4</v>
      </c>
      <c r="L10">
        <v>11781.42</v>
      </c>
      <c r="M10">
        <v>2025</v>
      </c>
      <c r="N10" t="s">
        <v>613</v>
      </c>
      <c r="O10" t="s">
        <v>625</v>
      </c>
      <c r="P10">
        <v>0.24284877992472181</v>
      </c>
    </row>
    <row r="11" spans="1:16" x14ac:dyDescent="0.3">
      <c r="A11" t="s">
        <v>50</v>
      </c>
      <c r="B11" s="12">
        <v>45662</v>
      </c>
      <c r="C11" t="s">
        <v>51</v>
      </c>
      <c r="D11" t="s">
        <v>39</v>
      </c>
      <c r="E11" t="s">
        <v>52</v>
      </c>
      <c r="F11" t="s">
        <v>23</v>
      </c>
      <c r="G11" t="s">
        <v>35</v>
      </c>
      <c r="H11" t="s">
        <v>36</v>
      </c>
      <c r="I11">
        <v>3</v>
      </c>
      <c r="J11">
        <v>0.05</v>
      </c>
      <c r="K11">
        <v>96888.84</v>
      </c>
      <c r="L11">
        <v>17258.080000000002</v>
      </c>
      <c r="M11">
        <v>2025</v>
      </c>
      <c r="N11" t="s">
        <v>613</v>
      </c>
      <c r="O11" t="s">
        <v>625</v>
      </c>
      <c r="P11">
        <v>0.17812247519941413</v>
      </c>
    </row>
    <row r="12" spans="1:16" x14ac:dyDescent="0.3">
      <c r="A12" t="s">
        <v>53</v>
      </c>
      <c r="B12" s="12">
        <v>45663</v>
      </c>
      <c r="C12" t="s">
        <v>32</v>
      </c>
      <c r="D12" t="s">
        <v>14</v>
      </c>
      <c r="E12" t="s">
        <v>54</v>
      </c>
      <c r="F12" t="s">
        <v>23</v>
      </c>
      <c r="G12" t="s">
        <v>48</v>
      </c>
      <c r="H12" t="s">
        <v>49</v>
      </c>
      <c r="I12">
        <v>4</v>
      </c>
      <c r="J12">
        <v>0.2</v>
      </c>
      <c r="K12">
        <v>6241.88</v>
      </c>
      <c r="L12">
        <v>516.77</v>
      </c>
      <c r="M12">
        <v>2025</v>
      </c>
      <c r="N12" t="s">
        <v>613</v>
      </c>
      <c r="O12" t="s">
        <v>625</v>
      </c>
      <c r="P12">
        <v>8.2790761757675566E-2</v>
      </c>
    </row>
    <row r="13" spans="1:16" x14ac:dyDescent="0.3">
      <c r="A13" t="s">
        <v>55</v>
      </c>
      <c r="B13" s="12">
        <v>45663</v>
      </c>
      <c r="C13" t="s">
        <v>56</v>
      </c>
      <c r="D13" t="s">
        <v>21</v>
      </c>
      <c r="E13" t="s">
        <v>57</v>
      </c>
      <c r="F13" t="s">
        <v>23</v>
      </c>
      <c r="G13" t="s">
        <v>58</v>
      </c>
      <c r="H13" t="s">
        <v>59</v>
      </c>
      <c r="I13">
        <v>4</v>
      </c>
      <c r="J13">
        <v>0.15</v>
      </c>
      <c r="K13">
        <v>179862.36</v>
      </c>
      <c r="L13">
        <v>30742.15</v>
      </c>
      <c r="M13">
        <v>2025</v>
      </c>
      <c r="N13" t="s">
        <v>613</v>
      </c>
      <c r="O13" t="s">
        <v>625</v>
      </c>
      <c r="P13">
        <v>0.17092041936956684</v>
      </c>
    </row>
    <row r="14" spans="1:16" x14ac:dyDescent="0.3">
      <c r="A14" t="s">
        <v>60</v>
      </c>
      <c r="B14" s="12">
        <v>45663</v>
      </c>
      <c r="C14" t="s">
        <v>61</v>
      </c>
      <c r="D14" t="s">
        <v>14</v>
      </c>
      <c r="E14" t="s">
        <v>15</v>
      </c>
      <c r="F14" t="s">
        <v>16</v>
      </c>
      <c r="G14" t="s">
        <v>62</v>
      </c>
      <c r="H14" t="s">
        <v>63</v>
      </c>
      <c r="I14">
        <v>2</v>
      </c>
      <c r="J14">
        <v>0.05</v>
      </c>
      <c r="K14">
        <v>6738.58</v>
      </c>
      <c r="L14">
        <v>1010.09</v>
      </c>
      <c r="M14">
        <v>2025</v>
      </c>
      <c r="N14" t="s">
        <v>613</v>
      </c>
      <c r="O14" t="s">
        <v>625</v>
      </c>
      <c r="P14">
        <v>0.14989656574530541</v>
      </c>
    </row>
    <row r="15" spans="1:16" x14ac:dyDescent="0.3">
      <c r="A15" t="s">
        <v>64</v>
      </c>
      <c r="B15" s="12">
        <v>45664</v>
      </c>
      <c r="C15" t="s">
        <v>44</v>
      </c>
      <c r="D15" t="s">
        <v>14</v>
      </c>
      <c r="E15" t="s">
        <v>54</v>
      </c>
      <c r="F15" t="s">
        <v>16</v>
      </c>
      <c r="G15" t="s">
        <v>17</v>
      </c>
      <c r="H15" t="s">
        <v>18</v>
      </c>
      <c r="I15">
        <v>1</v>
      </c>
      <c r="J15">
        <v>0.1</v>
      </c>
      <c r="K15">
        <v>4775</v>
      </c>
      <c r="L15">
        <v>753.07</v>
      </c>
      <c r="M15">
        <v>2025</v>
      </c>
      <c r="N15" t="s">
        <v>613</v>
      </c>
      <c r="O15" t="s">
        <v>625</v>
      </c>
      <c r="P15">
        <v>0.15771099476439793</v>
      </c>
    </row>
    <row r="16" spans="1:16" x14ac:dyDescent="0.3">
      <c r="A16" t="s">
        <v>65</v>
      </c>
      <c r="B16" s="12">
        <v>45665</v>
      </c>
      <c r="C16" t="s">
        <v>66</v>
      </c>
      <c r="D16" t="s">
        <v>21</v>
      </c>
      <c r="E16" t="s">
        <v>67</v>
      </c>
      <c r="F16" t="s">
        <v>16</v>
      </c>
      <c r="G16" t="s">
        <v>68</v>
      </c>
      <c r="H16" t="s">
        <v>69</v>
      </c>
      <c r="I16">
        <v>2</v>
      </c>
      <c r="J16">
        <v>0.15</v>
      </c>
      <c r="K16">
        <v>9930.18</v>
      </c>
      <c r="L16">
        <v>1258.3699999999999</v>
      </c>
      <c r="M16">
        <v>2025</v>
      </c>
      <c r="N16" t="s">
        <v>613</v>
      </c>
      <c r="O16" t="s">
        <v>625</v>
      </c>
      <c r="P16">
        <v>0.12672177140797045</v>
      </c>
    </row>
    <row r="17" spans="1:16" x14ac:dyDescent="0.3">
      <c r="A17" t="s">
        <v>70</v>
      </c>
      <c r="B17" s="12">
        <v>45667</v>
      </c>
      <c r="C17" t="s">
        <v>32</v>
      </c>
      <c r="D17" t="s">
        <v>14</v>
      </c>
      <c r="E17" t="s">
        <v>54</v>
      </c>
      <c r="F17" t="s">
        <v>28</v>
      </c>
      <c r="G17" t="s">
        <v>71</v>
      </c>
      <c r="H17" t="s">
        <v>72</v>
      </c>
      <c r="I17">
        <v>6</v>
      </c>
      <c r="J17">
        <v>0.05</v>
      </c>
      <c r="K17">
        <v>5590.86</v>
      </c>
      <c r="L17">
        <v>775.97</v>
      </c>
      <c r="M17">
        <v>2025</v>
      </c>
      <c r="N17" t="s">
        <v>613</v>
      </c>
      <c r="O17" t="s">
        <v>625</v>
      </c>
      <c r="P17">
        <v>0.13879260078055972</v>
      </c>
    </row>
    <row r="18" spans="1:16" x14ac:dyDescent="0.3">
      <c r="A18" t="s">
        <v>73</v>
      </c>
      <c r="B18" s="12">
        <v>45668</v>
      </c>
      <c r="C18" t="s">
        <v>61</v>
      </c>
      <c r="D18" t="s">
        <v>33</v>
      </c>
      <c r="E18" t="s">
        <v>34</v>
      </c>
      <c r="F18" t="s">
        <v>28</v>
      </c>
      <c r="G18" t="s">
        <v>74</v>
      </c>
      <c r="H18" t="s">
        <v>75</v>
      </c>
      <c r="I18">
        <v>7</v>
      </c>
      <c r="J18">
        <v>0.05</v>
      </c>
      <c r="K18">
        <v>4500.72</v>
      </c>
      <c r="L18">
        <v>453.15</v>
      </c>
      <c r="M18">
        <v>2025</v>
      </c>
      <c r="N18" t="s">
        <v>613</v>
      </c>
      <c r="O18" t="s">
        <v>625</v>
      </c>
      <c r="P18">
        <v>0.10068389057750758</v>
      </c>
    </row>
    <row r="19" spans="1:16" x14ac:dyDescent="0.3">
      <c r="A19" t="s">
        <v>76</v>
      </c>
      <c r="B19" s="12">
        <v>45669</v>
      </c>
      <c r="C19" t="s">
        <v>77</v>
      </c>
      <c r="D19" t="s">
        <v>21</v>
      </c>
      <c r="E19" t="s">
        <v>22</v>
      </c>
      <c r="F19" t="s">
        <v>23</v>
      </c>
      <c r="G19" t="s">
        <v>58</v>
      </c>
      <c r="H19" t="s">
        <v>78</v>
      </c>
      <c r="I19">
        <v>4</v>
      </c>
      <c r="J19">
        <v>0.1</v>
      </c>
      <c r="K19">
        <v>196307.32</v>
      </c>
      <c r="L19">
        <v>39775.83</v>
      </c>
      <c r="M19">
        <v>2025</v>
      </c>
      <c r="N19" t="s">
        <v>613</v>
      </c>
      <c r="O19" t="s">
        <v>625</v>
      </c>
      <c r="P19">
        <v>0.20262020794741634</v>
      </c>
    </row>
    <row r="20" spans="1:16" x14ac:dyDescent="0.3">
      <c r="A20" t="s">
        <v>79</v>
      </c>
      <c r="B20" s="12">
        <v>45669</v>
      </c>
      <c r="C20" t="s">
        <v>38</v>
      </c>
      <c r="D20" t="s">
        <v>14</v>
      </c>
      <c r="E20" t="s">
        <v>15</v>
      </c>
      <c r="F20" t="s">
        <v>28</v>
      </c>
      <c r="G20" t="s">
        <v>74</v>
      </c>
      <c r="H20" t="s">
        <v>80</v>
      </c>
      <c r="I20">
        <v>1</v>
      </c>
      <c r="J20">
        <v>0</v>
      </c>
      <c r="K20">
        <v>2952.64</v>
      </c>
      <c r="L20">
        <v>265.27999999999997</v>
      </c>
      <c r="M20">
        <v>2025</v>
      </c>
      <c r="N20" t="s">
        <v>613</v>
      </c>
      <c r="O20" t="s">
        <v>625</v>
      </c>
      <c r="P20">
        <v>8.9845020049853688E-2</v>
      </c>
    </row>
    <row r="21" spans="1:16" x14ac:dyDescent="0.3">
      <c r="A21" t="s">
        <v>81</v>
      </c>
      <c r="B21" s="12">
        <v>45670</v>
      </c>
      <c r="C21" t="s">
        <v>82</v>
      </c>
      <c r="D21" t="s">
        <v>14</v>
      </c>
      <c r="E21" t="s">
        <v>15</v>
      </c>
      <c r="F21" t="s">
        <v>16</v>
      </c>
      <c r="G21" t="s">
        <v>68</v>
      </c>
      <c r="H21" t="s">
        <v>83</v>
      </c>
      <c r="I21">
        <v>7</v>
      </c>
      <c r="J21">
        <v>0.05</v>
      </c>
      <c r="K21">
        <v>20494.53</v>
      </c>
      <c r="L21">
        <v>2259.9499999999998</v>
      </c>
      <c r="M21">
        <v>2025</v>
      </c>
      <c r="N21" t="s">
        <v>613</v>
      </c>
      <c r="O21" t="s">
        <v>625</v>
      </c>
      <c r="P21">
        <v>0.11027088691470358</v>
      </c>
    </row>
    <row r="22" spans="1:16" x14ac:dyDescent="0.3">
      <c r="A22" t="s">
        <v>84</v>
      </c>
      <c r="B22" s="12">
        <v>45670</v>
      </c>
      <c r="C22" t="s">
        <v>85</v>
      </c>
      <c r="D22" t="s">
        <v>33</v>
      </c>
      <c r="E22" t="s">
        <v>86</v>
      </c>
      <c r="F22" t="s">
        <v>23</v>
      </c>
      <c r="G22" t="s">
        <v>58</v>
      </c>
      <c r="H22" t="s">
        <v>59</v>
      </c>
      <c r="I22">
        <v>7</v>
      </c>
      <c r="J22">
        <v>0</v>
      </c>
      <c r="K22">
        <v>212336.95</v>
      </c>
      <c r="L22">
        <v>39631.83</v>
      </c>
      <c r="M22">
        <v>2025</v>
      </c>
      <c r="N22" t="s">
        <v>613</v>
      </c>
      <c r="O22" t="s">
        <v>625</v>
      </c>
      <c r="P22">
        <v>0.18664594174494831</v>
      </c>
    </row>
    <row r="23" spans="1:16" x14ac:dyDescent="0.3">
      <c r="A23" t="s">
        <v>87</v>
      </c>
      <c r="B23" s="12">
        <v>45670</v>
      </c>
      <c r="C23" t="s">
        <v>66</v>
      </c>
      <c r="D23" t="s">
        <v>14</v>
      </c>
      <c r="E23" t="s">
        <v>15</v>
      </c>
      <c r="F23" t="s">
        <v>16</v>
      </c>
      <c r="G23" t="s">
        <v>17</v>
      </c>
      <c r="H23" t="s">
        <v>88</v>
      </c>
      <c r="I23">
        <v>5</v>
      </c>
      <c r="J23">
        <v>0.15</v>
      </c>
      <c r="K23">
        <v>12281.65</v>
      </c>
      <c r="L23">
        <v>644.5</v>
      </c>
      <c r="M23">
        <v>2025</v>
      </c>
      <c r="N23" t="s">
        <v>613</v>
      </c>
      <c r="O23" t="s">
        <v>625</v>
      </c>
      <c r="P23">
        <v>5.247666233771521E-2</v>
      </c>
    </row>
    <row r="24" spans="1:16" x14ac:dyDescent="0.3">
      <c r="A24" t="s">
        <v>89</v>
      </c>
      <c r="B24" s="12">
        <v>45671</v>
      </c>
      <c r="C24" t="s">
        <v>27</v>
      </c>
      <c r="D24" t="s">
        <v>14</v>
      </c>
      <c r="E24" t="s">
        <v>54</v>
      </c>
      <c r="F24" t="s">
        <v>23</v>
      </c>
      <c r="G24" t="s">
        <v>58</v>
      </c>
      <c r="H24" t="s">
        <v>90</v>
      </c>
      <c r="I24">
        <v>2</v>
      </c>
      <c r="J24">
        <v>0</v>
      </c>
      <c r="K24">
        <v>63934.26</v>
      </c>
      <c r="L24">
        <v>6629.38</v>
      </c>
      <c r="M24">
        <v>2025</v>
      </c>
      <c r="N24" t="s">
        <v>613</v>
      </c>
      <c r="O24" t="s">
        <v>625</v>
      </c>
      <c r="P24">
        <v>0.10369057215959018</v>
      </c>
    </row>
    <row r="25" spans="1:16" x14ac:dyDescent="0.3">
      <c r="A25" t="s">
        <v>91</v>
      </c>
      <c r="B25" s="12">
        <v>45674</v>
      </c>
      <c r="C25" t="s">
        <v>82</v>
      </c>
      <c r="D25" t="s">
        <v>33</v>
      </c>
      <c r="E25" t="s">
        <v>86</v>
      </c>
      <c r="F25" t="s">
        <v>28</v>
      </c>
      <c r="G25" t="s">
        <v>92</v>
      </c>
      <c r="H25" t="s">
        <v>93</v>
      </c>
      <c r="I25">
        <v>1</v>
      </c>
      <c r="J25">
        <v>0.05</v>
      </c>
      <c r="K25">
        <v>4719.87</v>
      </c>
      <c r="L25">
        <v>646.11</v>
      </c>
      <c r="M25">
        <v>2025</v>
      </c>
      <c r="N25" t="s">
        <v>613</v>
      </c>
      <c r="O25" t="s">
        <v>625</v>
      </c>
      <c r="P25">
        <v>0.13689148218065328</v>
      </c>
    </row>
    <row r="26" spans="1:16" x14ac:dyDescent="0.3">
      <c r="A26" t="s">
        <v>94</v>
      </c>
      <c r="B26" s="12">
        <v>45675</v>
      </c>
      <c r="C26" t="s">
        <v>95</v>
      </c>
      <c r="D26" t="s">
        <v>21</v>
      </c>
      <c r="E26" t="s">
        <v>67</v>
      </c>
      <c r="F26" t="s">
        <v>16</v>
      </c>
      <c r="G26" t="s">
        <v>41</v>
      </c>
      <c r="H26" t="s">
        <v>42</v>
      </c>
      <c r="I26">
        <v>7</v>
      </c>
      <c r="J26">
        <v>0.1</v>
      </c>
      <c r="K26">
        <v>27036.87</v>
      </c>
      <c r="L26">
        <v>3969.11</v>
      </c>
      <c r="M26">
        <v>2025</v>
      </c>
      <c r="N26" t="s">
        <v>613</v>
      </c>
      <c r="O26" t="s">
        <v>625</v>
      </c>
      <c r="P26">
        <v>0.1468036055948784</v>
      </c>
    </row>
    <row r="27" spans="1:16" x14ac:dyDescent="0.3">
      <c r="A27" t="s">
        <v>96</v>
      </c>
      <c r="B27" s="12">
        <v>45675</v>
      </c>
      <c r="C27" t="s">
        <v>38</v>
      </c>
      <c r="D27" t="s">
        <v>14</v>
      </c>
      <c r="E27" t="s">
        <v>97</v>
      </c>
      <c r="F27" t="s">
        <v>28</v>
      </c>
      <c r="G27" t="s">
        <v>29</v>
      </c>
      <c r="H27" t="s">
        <v>98</v>
      </c>
      <c r="I27">
        <v>6</v>
      </c>
      <c r="J27">
        <v>0</v>
      </c>
      <c r="K27">
        <v>3056.52</v>
      </c>
      <c r="L27">
        <v>459.74</v>
      </c>
      <c r="M27">
        <v>2025</v>
      </c>
      <c r="N27" t="s">
        <v>613</v>
      </c>
      <c r="O27" t="s">
        <v>625</v>
      </c>
      <c r="P27">
        <v>0.15041288785939566</v>
      </c>
    </row>
    <row r="28" spans="1:16" x14ac:dyDescent="0.3">
      <c r="A28" t="s">
        <v>99</v>
      </c>
      <c r="B28" s="12">
        <v>45676</v>
      </c>
      <c r="C28" t="s">
        <v>100</v>
      </c>
      <c r="D28" t="s">
        <v>33</v>
      </c>
      <c r="E28" t="s">
        <v>45</v>
      </c>
      <c r="F28" t="s">
        <v>23</v>
      </c>
      <c r="G28" t="s">
        <v>58</v>
      </c>
      <c r="H28" t="s">
        <v>101</v>
      </c>
      <c r="I28">
        <v>7</v>
      </c>
      <c r="J28">
        <v>0</v>
      </c>
      <c r="K28">
        <v>233516.22</v>
      </c>
      <c r="L28">
        <v>44414.81</v>
      </c>
      <c r="M28">
        <v>2025</v>
      </c>
      <c r="N28" t="s">
        <v>613</v>
      </c>
      <c r="O28" t="s">
        <v>625</v>
      </c>
      <c r="P28">
        <v>0.19020010687052058</v>
      </c>
    </row>
    <row r="29" spans="1:16" x14ac:dyDescent="0.3">
      <c r="A29" t="s">
        <v>102</v>
      </c>
      <c r="B29" s="12">
        <v>45677</v>
      </c>
      <c r="C29" t="s">
        <v>77</v>
      </c>
      <c r="D29" t="s">
        <v>21</v>
      </c>
      <c r="E29" t="s">
        <v>22</v>
      </c>
      <c r="F29" t="s">
        <v>28</v>
      </c>
      <c r="G29" t="s">
        <v>74</v>
      </c>
      <c r="H29" t="s">
        <v>80</v>
      </c>
      <c r="I29">
        <v>4</v>
      </c>
      <c r="J29">
        <v>0.05</v>
      </c>
      <c r="K29">
        <v>2650.8</v>
      </c>
      <c r="L29">
        <v>511.66</v>
      </c>
      <c r="M29">
        <v>2025</v>
      </c>
      <c r="N29" t="s">
        <v>613</v>
      </c>
      <c r="O29" t="s">
        <v>625</v>
      </c>
      <c r="P29">
        <v>0.19302097480006036</v>
      </c>
    </row>
    <row r="30" spans="1:16" x14ac:dyDescent="0.3">
      <c r="A30" t="s">
        <v>103</v>
      </c>
      <c r="B30" s="12">
        <v>45677</v>
      </c>
      <c r="C30" t="s">
        <v>104</v>
      </c>
      <c r="D30" t="s">
        <v>21</v>
      </c>
      <c r="E30" t="s">
        <v>105</v>
      </c>
      <c r="F30" t="s">
        <v>23</v>
      </c>
      <c r="G30" t="s">
        <v>58</v>
      </c>
      <c r="H30" t="s">
        <v>101</v>
      </c>
      <c r="I30">
        <v>5</v>
      </c>
      <c r="J30">
        <v>0</v>
      </c>
      <c r="K30">
        <v>104715.25</v>
      </c>
      <c r="L30">
        <v>16140.97</v>
      </c>
      <c r="M30">
        <v>2025</v>
      </c>
      <c r="N30" t="s">
        <v>613</v>
      </c>
      <c r="O30" t="s">
        <v>625</v>
      </c>
      <c r="P30">
        <v>0.15414154098853797</v>
      </c>
    </row>
    <row r="31" spans="1:16" x14ac:dyDescent="0.3">
      <c r="A31" t="s">
        <v>106</v>
      </c>
      <c r="B31" s="12">
        <v>45677</v>
      </c>
      <c r="C31" t="s">
        <v>77</v>
      </c>
      <c r="D31" t="s">
        <v>39</v>
      </c>
      <c r="E31" t="s">
        <v>47</v>
      </c>
      <c r="F31" t="s">
        <v>16</v>
      </c>
      <c r="G31" t="s">
        <v>68</v>
      </c>
      <c r="H31" t="s">
        <v>69</v>
      </c>
      <c r="I31">
        <v>7</v>
      </c>
      <c r="J31">
        <v>0.2</v>
      </c>
      <c r="K31">
        <v>73878.14</v>
      </c>
      <c r="L31">
        <v>8805.93</v>
      </c>
      <c r="M31">
        <v>2025</v>
      </c>
      <c r="N31" t="s">
        <v>613</v>
      </c>
      <c r="O31" t="s">
        <v>625</v>
      </c>
      <c r="P31">
        <v>0.11919533978521929</v>
      </c>
    </row>
    <row r="32" spans="1:16" x14ac:dyDescent="0.3">
      <c r="A32" t="s">
        <v>107</v>
      </c>
      <c r="B32" s="12">
        <v>45677</v>
      </c>
      <c r="C32" t="s">
        <v>100</v>
      </c>
      <c r="D32" t="s">
        <v>21</v>
      </c>
      <c r="E32" t="s">
        <v>67</v>
      </c>
      <c r="F32" t="s">
        <v>28</v>
      </c>
      <c r="G32" t="s">
        <v>29</v>
      </c>
      <c r="H32" t="s">
        <v>30</v>
      </c>
      <c r="I32">
        <v>3</v>
      </c>
      <c r="J32">
        <v>0.1</v>
      </c>
      <c r="K32">
        <v>12676.95</v>
      </c>
      <c r="L32">
        <v>2717.64</v>
      </c>
      <c r="M32">
        <v>2025</v>
      </c>
      <c r="N32" t="s">
        <v>613</v>
      </c>
      <c r="O32" t="s">
        <v>625</v>
      </c>
      <c r="P32">
        <v>0.21437648645770471</v>
      </c>
    </row>
    <row r="33" spans="1:16" x14ac:dyDescent="0.3">
      <c r="A33" t="s">
        <v>108</v>
      </c>
      <c r="B33" s="12">
        <v>45678</v>
      </c>
      <c r="C33" t="s">
        <v>109</v>
      </c>
      <c r="D33" t="s">
        <v>21</v>
      </c>
      <c r="E33" t="s">
        <v>22</v>
      </c>
      <c r="F33" t="s">
        <v>28</v>
      </c>
      <c r="G33" t="s">
        <v>71</v>
      </c>
      <c r="H33" t="s">
        <v>72</v>
      </c>
      <c r="I33">
        <v>3</v>
      </c>
      <c r="J33">
        <v>0.2</v>
      </c>
      <c r="K33">
        <v>411.18</v>
      </c>
      <c r="L33">
        <v>66.88</v>
      </c>
      <c r="M33">
        <v>2025</v>
      </c>
      <c r="N33" t="s">
        <v>613</v>
      </c>
      <c r="O33" t="s">
        <v>626</v>
      </c>
      <c r="P33">
        <v>0.16265382557517388</v>
      </c>
    </row>
    <row r="34" spans="1:16" x14ac:dyDescent="0.3">
      <c r="A34" t="s">
        <v>110</v>
      </c>
      <c r="B34" s="12">
        <v>45679</v>
      </c>
      <c r="C34" t="s">
        <v>111</v>
      </c>
      <c r="D34" t="s">
        <v>21</v>
      </c>
      <c r="E34" t="s">
        <v>22</v>
      </c>
      <c r="F34" t="s">
        <v>28</v>
      </c>
      <c r="G34" t="s">
        <v>71</v>
      </c>
      <c r="H34" t="s">
        <v>72</v>
      </c>
      <c r="I34">
        <v>3</v>
      </c>
      <c r="J34">
        <v>0</v>
      </c>
      <c r="K34">
        <v>5457.03</v>
      </c>
      <c r="L34">
        <v>741.01</v>
      </c>
      <c r="M34">
        <v>2025</v>
      </c>
      <c r="N34" t="s">
        <v>613</v>
      </c>
      <c r="O34" t="s">
        <v>625</v>
      </c>
      <c r="P34">
        <v>0.13578998099698922</v>
      </c>
    </row>
    <row r="35" spans="1:16" x14ac:dyDescent="0.3">
      <c r="A35" t="s">
        <v>112</v>
      </c>
      <c r="B35" s="12">
        <v>45679</v>
      </c>
      <c r="C35" t="s">
        <v>38</v>
      </c>
      <c r="D35" t="s">
        <v>33</v>
      </c>
      <c r="E35" t="s">
        <v>45</v>
      </c>
      <c r="F35" t="s">
        <v>28</v>
      </c>
      <c r="G35" t="s">
        <v>29</v>
      </c>
      <c r="H35" t="s">
        <v>98</v>
      </c>
      <c r="I35">
        <v>3</v>
      </c>
      <c r="J35">
        <v>0.05</v>
      </c>
      <c r="K35">
        <v>13119.12</v>
      </c>
      <c r="L35">
        <v>1119.77</v>
      </c>
      <c r="M35">
        <v>2025</v>
      </c>
      <c r="N35" t="s">
        <v>613</v>
      </c>
      <c r="O35" t="s">
        <v>625</v>
      </c>
      <c r="P35">
        <v>8.5354048137375058E-2</v>
      </c>
    </row>
    <row r="36" spans="1:16" x14ac:dyDescent="0.3">
      <c r="A36" t="s">
        <v>113</v>
      </c>
      <c r="B36" s="12">
        <v>45681</v>
      </c>
      <c r="C36" t="s">
        <v>38</v>
      </c>
      <c r="D36" t="s">
        <v>14</v>
      </c>
      <c r="E36" t="s">
        <v>114</v>
      </c>
      <c r="F36" t="s">
        <v>23</v>
      </c>
      <c r="G36" t="s">
        <v>35</v>
      </c>
      <c r="H36" t="s">
        <v>36</v>
      </c>
      <c r="I36">
        <v>3</v>
      </c>
      <c r="J36">
        <v>0.2</v>
      </c>
      <c r="K36">
        <v>22742.67</v>
      </c>
      <c r="L36">
        <v>234.69</v>
      </c>
      <c r="M36">
        <v>2025</v>
      </c>
      <c r="N36" t="s">
        <v>613</v>
      </c>
      <c r="O36" t="s">
        <v>625</v>
      </c>
      <c r="P36">
        <v>1.031936883400234E-2</v>
      </c>
    </row>
    <row r="37" spans="1:16" x14ac:dyDescent="0.3">
      <c r="A37" t="s">
        <v>115</v>
      </c>
      <c r="B37" s="12">
        <v>45682</v>
      </c>
      <c r="C37" t="s">
        <v>100</v>
      </c>
      <c r="D37" t="s">
        <v>33</v>
      </c>
      <c r="E37" t="s">
        <v>86</v>
      </c>
      <c r="F37" t="s">
        <v>23</v>
      </c>
      <c r="G37" t="s">
        <v>58</v>
      </c>
      <c r="H37" t="s">
        <v>78</v>
      </c>
      <c r="I37">
        <v>6</v>
      </c>
      <c r="J37">
        <v>0.05</v>
      </c>
      <c r="K37">
        <v>107041.32</v>
      </c>
      <c r="L37">
        <v>15439.88</v>
      </c>
      <c r="M37">
        <v>2025</v>
      </c>
      <c r="N37" t="s">
        <v>613</v>
      </c>
      <c r="O37" t="s">
        <v>625</v>
      </c>
      <c r="P37">
        <v>0.14424224215471182</v>
      </c>
    </row>
    <row r="38" spans="1:16" x14ac:dyDescent="0.3">
      <c r="A38" t="s">
        <v>116</v>
      </c>
      <c r="B38" s="12">
        <v>45682</v>
      </c>
      <c r="C38" t="s">
        <v>95</v>
      </c>
      <c r="D38" t="s">
        <v>21</v>
      </c>
      <c r="E38" t="s">
        <v>22</v>
      </c>
      <c r="F38" t="s">
        <v>28</v>
      </c>
      <c r="G38" t="s">
        <v>74</v>
      </c>
      <c r="H38" t="s">
        <v>75</v>
      </c>
      <c r="I38">
        <v>1</v>
      </c>
      <c r="J38">
        <v>0</v>
      </c>
      <c r="K38">
        <v>2448.84</v>
      </c>
      <c r="L38">
        <v>580.04999999999995</v>
      </c>
      <c r="M38">
        <v>2025</v>
      </c>
      <c r="N38" t="s">
        <v>613</v>
      </c>
      <c r="O38" t="s">
        <v>625</v>
      </c>
      <c r="P38">
        <v>0.23686725143333168</v>
      </c>
    </row>
    <row r="39" spans="1:16" x14ac:dyDescent="0.3">
      <c r="A39" t="s">
        <v>117</v>
      </c>
      <c r="B39" s="12">
        <v>45682</v>
      </c>
      <c r="C39" t="s">
        <v>85</v>
      </c>
      <c r="D39" t="s">
        <v>21</v>
      </c>
      <c r="E39" t="s">
        <v>57</v>
      </c>
      <c r="F39" t="s">
        <v>23</v>
      </c>
      <c r="G39" t="s">
        <v>48</v>
      </c>
      <c r="H39" t="s">
        <v>118</v>
      </c>
      <c r="I39">
        <v>5</v>
      </c>
      <c r="J39">
        <v>0.2</v>
      </c>
      <c r="K39">
        <v>33953.449999999997</v>
      </c>
      <c r="L39">
        <v>488.52</v>
      </c>
      <c r="M39">
        <v>2025</v>
      </c>
      <c r="N39" t="s">
        <v>613</v>
      </c>
      <c r="O39" t="s">
        <v>625</v>
      </c>
      <c r="P39">
        <v>1.4387934068555626E-2</v>
      </c>
    </row>
    <row r="40" spans="1:16" x14ac:dyDescent="0.3">
      <c r="A40" t="s">
        <v>119</v>
      </c>
      <c r="B40" s="12">
        <v>45682</v>
      </c>
      <c r="C40" t="s">
        <v>85</v>
      </c>
      <c r="D40" t="s">
        <v>39</v>
      </c>
      <c r="E40" t="s">
        <v>52</v>
      </c>
      <c r="F40" t="s">
        <v>23</v>
      </c>
      <c r="G40" t="s">
        <v>48</v>
      </c>
      <c r="H40" t="s">
        <v>118</v>
      </c>
      <c r="I40">
        <v>4</v>
      </c>
      <c r="J40">
        <v>0.2</v>
      </c>
      <c r="K40">
        <v>126689.36</v>
      </c>
      <c r="L40">
        <v>13821.48</v>
      </c>
      <c r="M40">
        <v>2025</v>
      </c>
      <c r="N40" t="s">
        <v>613</v>
      </c>
      <c r="O40" t="s">
        <v>625</v>
      </c>
      <c r="P40">
        <v>0.10909740170760986</v>
      </c>
    </row>
    <row r="41" spans="1:16" x14ac:dyDescent="0.3">
      <c r="A41" t="s">
        <v>120</v>
      </c>
      <c r="B41" s="12">
        <v>45683</v>
      </c>
      <c r="C41" t="s">
        <v>13</v>
      </c>
      <c r="D41" t="s">
        <v>33</v>
      </c>
      <c r="E41" t="s">
        <v>45</v>
      </c>
      <c r="F41" t="s">
        <v>28</v>
      </c>
      <c r="G41" t="s">
        <v>71</v>
      </c>
      <c r="H41" t="s">
        <v>121</v>
      </c>
      <c r="I41">
        <v>2</v>
      </c>
      <c r="J41">
        <v>0.1</v>
      </c>
      <c r="K41">
        <v>3288.44</v>
      </c>
      <c r="L41">
        <v>230.14</v>
      </c>
      <c r="M41">
        <v>2025</v>
      </c>
      <c r="N41" t="s">
        <v>613</v>
      </c>
      <c r="O41" t="s">
        <v>625</v>
      </c>
      <c r="P41">
        <v>6.9984551945603379E-2</v>
      </c>
    </row>
    <row r="42" spans="1:16" x14ac:dyDescent="0.3">
      <c r="A42" t="s">
        <v>122</v>
      </c>
      <c r="B42" s="12">
        <v>45684</v>
      </c>
      <c r="C42" t="s">
        <v>38</v>
      </c>
      <c r="D42" t="s">
        <v>14</v>
      </c>
      <c r="E42" t="s">
        <v>114</v>
      </c>
      <c r="F42" t="s">
        <v>28</v>
      </c>
      <c r="G42" t="s">
        <v>29</v>
      </c>
      <c r="H42" t="s">
        <v>30</v>
      </c>
      <c r="I42">
        <v>5</v>
      </c>
      <c r="J42">
        <v>0</v>
      </c>
      <c r="K42">
        <v>14789.8</v>
      </c>
      <c r="L42">
        <v>2563.4699999999998</v>
      </c>
      <c r="M42">
        <v>2025</v>
      </c>
      <c r="N42" t="s">
        <v>613</v>
      </c>
      <c r="O42" t="s">
        <v>625</v>
      </c>
      <c r="P42">
        <v>0.1733268874494584</v>
      </c>
    </row>
    <row r="43" spans="1:16" x14ac:dyDescent="0.3">
      <c r="A43" t="s">
        <v>123</v>
      </c>
      <c r="B43" s="12">
        <v>45684</v>
      </c>
      <c r="C43" t="s">
        <v>32</v>
      </c>
      <c r="D43" t="s">
        <v>21</v>
      </c>
      <c r="E43" t="s">
        <v>105</v>
      </c>
      <c r="F43" t="s">
        <v>23</v>
      </c>
      <c r="G43" t="s">
        <v>48</v>
      </c>
      <c r="H43" t="s">
        <v>124</v>
      </c>
      <c r="I43">
        <v>1</v>
      </c>
      <c r="J43">
        <v>0.15</v>
      </c>
      <c r="K43">
        <v>48191.24</v>
      </c>
      <c r="L43">
        <v>7316.2</v>
      </c>
      <c r="M43">
        <v>2025</v>
      </c>
      <c r="N43" t="s">
        <v>613</v>
      </c>
      <c r="O43" t="s">
        <v>625</v>
      </c>
      <c r="P43">
        <v>0.15181597319346835</v>
      </c>
    </row>
    <row r="44" spans="1:16" x14ac:dyDescent="0.3">
      <c r="A44" t="s">
        <v>125</v>
      </c>
      <c r="B44" s="12">
        <v>45685</v>
      </c>
      <c r="C44" t="s">
        <v>109</v>
      </c>
      <c r="D44" t="s">
        <v>39</v>
      </c>
      <c r="E44" t="s">
        <v>40</v>
      </c>
      <c r="F44" t="s">
        <v>23</v>
      </c>
      <c r="G44" t="s">
        <v>48</v>
      </c>
      <c r="H44" t="s">
        <v>118</v>
      </c>
      <c r="I44">
        <v>6</v>
      </c>
      <c r="J44">
        <v>0.2</v>
      </c>
      <c r="K44">
        <v>141340.26</v>
      </c>
      <c r="L44">
        <v>2911.33</v>
      </c>
      <c r="M44">
        <v>2025</v>
      </c>
      <c r="N44" t="s">
        <v>613</v>
      </c>
      <c r="O44" t="s">
        <v>625</v>
      </c>
      <c r="P44">
        <v>2.0598023521394396E-2</v>
      </c>
    </row>
    <row r="45" spans="1:16" x14ac:dyDescent="0.3">
      <c r="A45" t="s">
        <v>126</v>
      </c>
      <c r="B45" s="12">
        <v>45685</v>
      </c>
      <c r="C45" t="s">
        <v>61</v>
      </c>
      <c r="D45" t="s">
        <v>39</v>
      </c>
      <c r="E45" t="s">
        <v>40</v>
      </c>
      <c r="F45" t="s">
        <v>16</v>
      </c>
      <c r="G45" t="s">
        <v>17</v>
      </c>
      <c r="H45" t="s">
        <v>18</v>
      </c>
      <c r="I45">
        <v>7</v>
      </c>
      <c r="J45">
        <v>0.05</v>
      </c>
      <c r="K45">
        <v>29427.37</v>
      </c>
      <c r="L45">
        <v>4517.3100000000004</v>
      </c>
      <c r="M45">
        <v>2025</v>
      </c>
      <c r="N45" t="s">
        <v>613</v>
      </c>
      <c r="O45" t="s">
        <v>625</v>
      </c>
      <c r="P45">
        <v>0.15350709220701683</v>
      </c>
    </row>
    <row r="46" spans="1:16" x14ac:dyDescent="0.3">
      <c r="A46" t="s">
        <v>127</v>
      </c>
      <c r="B46" s="12">
        <v>45685</v>
      </c>
      <c r="C46" t="s">
        <v>95</v>
      </c>
      <c r="D46" t="s">
        <v>39</v>
      </c>
      <c r="E46" t="s">
        <v>128</v>
      </c>
      <c r="F46" t="s">
        <v>23</v>
      </c>
      <c r="G46" t="s">
        <v>24</v>
      </c>
      <c r="H46" t="s">
        <v>129</v>
      </c>
      <c r="I46">
        <v>3</v>
      </c>
      <c r="J46">
        <v>0</v>
      </c>
      <c r="K46">
        <v>99334.32</v>
      </c>
      <c r="L46">
        <v>21008.26</v>
      </c>
      <c r="M46">
        <v>2025</v>
      </c>
      <c r="N46" t="s">
        <v>613</v>
      </c>
      <c r="O46" t="s">
        <v>625</v>
      </c>
      <c r="P46">
        <v>0.21149044962506411</v>
      </c>
    </row>
    <row r="47" spans="1:16" x14ac:dyDescent="0.3">
      <c r="A47" t="s">
        <v>130</v>
      </c>
      <c r="B47" s="12">
        <v>45686</v>
      </c>
      <c r="C47" t="s">
        <v>77</v>
      </c>
      <c r="D47" t="s">
        <v>14</v>
      </c>
      <c r="E47" t="s">
        <v>54</v>
      </c>
      <c r="F47" t="s">
        <v>28</v>
      </c>
      <c r="G47" t="s">
        <v>71</v>
      </c>
      <c r="H47" t="s">
        <v>121</v>
      </c>
      <c r="I47">
        <v>5</v>
      </c>
      <c r="J47">
        <v>0.15</v>
      </c>
      <c r="K47">
        <v>1421.1</v>
      </c>
      <c r="L47">
        <v>190.68</v>
      </c>
      <c r="M47">
        <v>2025</v>
      </c>
      <c r="N47" t="s">
        <v>613</v>
      </c>
      <c r="O47" t="s">
        <v>625</v>
      </c>
      <c r="P47">
        <v>0.13417774963056789</v>
      </c>
    </row>
    <row r="48" spans="1:16" x14ac:dyDescent="0.3">
      <c r="A48" t="s">
        <v>131</v>
      </c>
      <c r="B48" s="12">
        <v>45687</v>
      </c>
      <c r="C48" t="s">
        <v>109</v>
      </c>
      <c r="D48" t="s">
        <v>21</v>
      </c>
      <c r="E48" t="s">
        <v>67</v>
      </c>
      <c r="F48" t="s">
        <v>23</v>
      </c>
      <c r="G48" t="s">
        <v>24</v>
      </c>
      <c r="H48" t="s">
        <v>132</v>
      </c>
      <c r="I48">
        <v>2</v>
      </c>
      <c r="J48">
        <v>0.2</v>
      </c>
      <c r="K48">
        <v>86456.58</v>
      </c>
      <c r="L48">
        <v>12570.8</v>
      </c>
      <c r="M48">
        <v>2025</v>
      </c>
      <c r="N48" t="s">
        <v>613</v>
      </c>
      <c r="O48" t="s">
        <v>625</v>
      </c>
      <c r="P48">
        <v>0.14540015346431698</v>
      </c>
    </row>
    <row r="49" spans="1:16" x14ac:dyDescent="0.3">
      <c r="A49" t="s">
        <v>133</v>
      </c>
      <c r="B49" s="12">
        <v>45688</v>
      </c>
      <c r="C49" t="s">
        <v>109</v>
      </c>
      <c r="D49" t="s">
        <v>39</v>
      </c>
      <c r="E49" t="s">
        <v>47</v>
      </c>
      <c r="F49" t="s">
        <v>28</v>
      </c>
      <c r="G49" t="s">
        <v>29</v>
      </c>
      <c r="H49" t="s">
        <v>30</v>
      </c>
      <c r="I49">
        <v>2</v>
      </c>
      <c r="J49">
        <v>0.1</v>
      </c>
      <c r="K49">
        <v>1462.92</v>
      </c>
      <c r="L49">
        <v>122.69</v>
      </c>
      <c r="M49">
        <v>2025</v>
      </c>
      <c r="N49" t="s">
        <v>613</v>
      </c>
      <c r="O49" t="s">
        <v>625</v>
      </c>
      <c r="P49">
        <v>8.3866513548245966E-2</v>
      </c>
    </row>
    <row r="50" spans="1:16" x14ac:dyDescent="0.3">
      <c r="A50" t="s">
        <v>134</v>
      </c>
      <c r="B50" s="12">
        <v>45688</v>
      </c>
      <c r="C50" t="s">
        <v>135</v>
      </c>
      <c r="D50" t="s">
        <v>33</v>
      </c>
      <c r="E50" t="s">
        <v>45</v>
      </c>
      <c r="F50" t="s">
        <v>28</v>
      </c>
      <c r="G50" t="s">
        <v>74</v>
      </c>
      <c r="H50" t="s">
        <v>80</v>
      </c>
      <c r="I50">
        <v>4</v>
      </c>
      <c r="J50">
        <v>0.15</v>
      </c>
      <c r="K50">
        <v>9014.44</v>
      </c>
      <c r="L50">
        <v>1552.7</v>
      </c>
      <c r="M50">
        <v>2025</v>
      </c>
      <c r="N50" t="s">
        <v>613</v>
      </c>
      <c r="O50" t="s">
        <v>625</v>
      </c>
      <c r="P50">
        <v>0.17224586330376596</v>
      </c>
    </row>
    <row r="51" spans="1:16" x14ac:dyDescent="0.3">
      <c r="A51" t="s">
        <v>136</v>
      </c>
      <c r="B51" s="12">
        <v>45688</v>
      </c>
      <c r="C51" t="s">
        <v>44</v>
      </c>
      <c r="D51" t="s">
        <v>33</v>
      </c>
      <c r="E51" t="s">
        <v>86</v>
      </c>
      <c r="F51" t="s">
        <v>16</v>
      </c>
      <c r="G51" t="s">
        <v>62</v>
      </c>
      <c r="H51" t="s">
        <v>63</v>
      </c>
      <c r="I51">
        <v>1</v>
      </c>
      <c r="J51">
        <v>0.15</v>
      </c>
      <c r="K51">
        <v>11501.07</v>
      </c>
      <c r="L51">
        <v>403.47</v>
      </c>
      <c r="M51">
        <v>2025</v>
      </c>
      <c r="N51" t="s">
        <v>613</v>
      </c>
      <c r="O51" t="s">
        <v>625</v>
      </c>
      <c r="P51">
        <v>3.5081083760032765E-2</v>
      </c>
    </row>
    <row r="52" spans="1:16" x14ac:dyDescent="0.3">
      <c r="A52" t="s">
        <v>137</v>
      </c>
      <c r="B52" s="12">
        <v>45689</v>
      </c>
      <c r="C52" t="s">
        <v>138</v>
      </c>
      <c r="D52" t="s">
        <v>39</v>
      </c>
      <c r="E52" t="s">
        <v>52</v>
      </c>
      <c r="F52" t="s">
        <v>28</v>
      </c>
      <c r="G52" t="s">
        <v>92</v>
      </c>
      <c r="H52" t="s">
        <v>93</v>
      </c>
      <c r="I52">
        <v>5</v>
      </c>
      <c r="J52">
        <v>0.15</v>
      </c>
      <c r="K52">
        <v>4535.3</v>
      </c>
      <c r="L52">
        <v>708.18</v>
      </c>
      <c r="M52">
        <v>2025</v>
      </c>
      <c r="N52" t="s">
        <v>614</v>
      </c>
      <c r="O52" t="s">
        <v>625</v>
      </c>
      <c r="P52">
        <v>0.15614843560514188</v>
      </c>
    </row>
    <row r="53" spans="1:16" x14ac:dyDescent="0.3">
      <c r="A53" t="s">
        <v>139</v>
      </c>
      <c r="B53" s="12">
        <v>45689</v>
      </c>
      <c r="C53" t="s">
        <v>66</v>
      </c>
      <c r="D53" t="s">
        <v>33</v>
      </c>
      <c r="E53" t="s">
        <v>140</v>
      </c>
      <c r="F53" t="s">
        <v>23</v>
      </c>
      <c r="G53" t="s">
        <v>58</v>
      </c>
      <c r="H53" t="s">
        <v>78</v>
      </c>
      <c r="I53">
        <v>2</v>
      </c>
      <c r="J53">
        <v>0.1</v>
      </c>
      <c r="K53">
        <v>3180.48</v>
      </c>
      <c r="L53">
        <v>596.75</v>
      </c>
      <c r="M53">
        <v>2025</v>
      </c>
      <c r="N53" t="s">
        <v>614</v>
      </c>
      <c r="O53" t="s">
        <v>625</v>
      </c>
      <c r="P53">
        <v>0.18762891135929169</v>
      </c>
    </row>
    <row r="54" spans="1:16" x14ac:dyDescent="0.3">
      <c r="A54" t="s">
        <v>141</v>
      </c>
      <c r="B54" s="12">
        <v>45692</v>
      </c>
      <c r="C54" t="s">
        <v>38</v>
      </c>
      <c r="D54" t="s">
        <v>33</v>
      </c>
      <c r="E54" t="s">
        <v>45</v>
      </c>
      <c r="F54" t="s">
        <v>23</v>
      </c>
      <c r="G54" t="s">
        <v>48</v>
      </c>
      <c r="H54" t="s">
        <v>124</v>
      </c>
      <c r="I54">
        <v>7</v>
      </c>
      <c r="J54">
        <v>0.15</v>
      </c>
      <c r="K54">
        <v>75712.350000000006</v>
      </c>
      <c r="L54">
        <v>4324.1499999999996</v>
      </c>
      <c r="M54">
        <v>2025</v>
      </c>
      <c r="N54" t="s">
        <v>614</v>
      </c>
      <c r="O54" t="s">
        <v>625</v>
      </c>
      <c r="P54">
        <v>5.7112875244263311E-2</v>
      </c>
    </row>
    <row r="55" spans="1:16" x14ac:dyDescent="0.3">
      <c r="A55" t="s">
        <v>142</v>
      </c>
      <c r="B55" s="12">
        <v>45692</v>
      </c>
      <c r="C55" t="s">
        <v>143</v>
      </c>
      <c r="D55" t="s">
        <v>33</v>
      </c>
      <c r="E55" t="s">
        <v>34</v>
      </c>
      <c r="F55" t="s">
        <v>28</v>
      </c>
      <c r="G55" t="s">
        <v>29</v>
      </c>
      <c r="H55" t="s">
        <v>98</v>
      </c>
      <c r="I55">
        <v>6</v>
      </c>
      <c r="J55">
        <v>0.2</v>
      </c>
      <c r="K55">
        <v>2013.96</v>
      </c>
      <c r="L55">
        <v>67.989999999999995</v>
      </c>
      <c r="M55">
        <v>2025</v>
      </c>
      <c r="N55" t="s">
        <v>614</v>
      </c>
      <c r="O55" t="s">
        <v>625</v>
      </c>
      <c r="P55">
        <v>3.3759359669506842E-2</v>
      </c>
    </row>
    <row r="56" spans="1:16" x14ac:dyDescent="0.3">
      <c r="A56" t="s">
        <v>144</v>
      </c>
      <c r="B56" s="12">
        <v>45693</v>
      </c>
      <c r="C56" t="s">
        <v>104</v>
      </c>
      <c r="D56" t="s">
        <v>39</v>
      </c>
      <c r="E56" t="s">
        <v>128</v>
      </c>
      <c r="F56" t="s">
        <v>23</v>
      </c>
      <c r="G56" t="s">
        <v>48</v>
      </c>
      <c r="H56" t="s">
        <v>118</v>
      </c>
      <c r="I56">
        <v>5</v>
      </c>
      <c r="J56">
        <v>0</v>
      </c>
      <c r="K56">
        <v>160200.15</v>
      </c>
      <c r="L56">
        <v>17458.810000000001</v>
      </c>
      <c r="M56">
        <v>2025</v>
      </c>
      <c r="N56" t="s">
        <v>614</v>
      </c>
      <c r="O56" t="s">
        <v>625</v>
      </c>
      <c r="P56">
        <v>0.10898123378785851</v>
      </c>
    </row>
    <row r="57" spans="1:16" x14ac:dyDescent="0.3">
      <c r="A57" t="s">
        <v>145</v>
      </c>
      <c r="B57" s="12">
        <v>45694</v>
      </c>
      <c r="C57" t="s">
        <v>109</v>
      </c>
      <c r="D57" t="s">
        <v>21</v>
      </c>
      <c r="E57" t="s">
        <v>57</v>
      </c>
      <c r="F57" t="s">
        <v>16</v>
      </c>
      <c r="G57" t="s">
        <v>62</v>
      </c>
      <c r="H57" t="s">
        <v>63</v>
      </c>
      <c r="I57">
        <v>1</v>
      </c>
      <c r="J57">
        <v>0.1</v>
      </c>
      <c r="K57">
        <v>3707.02</v>
      </c>
      <c r="L57">
        <v>624.30999999999995</v>
      </c>
      <c r="M57">
        <v>2025</v>
      </c>
      <c r="N57" t="s">
        <v>614</v>
      </c>
      <c r="O57" t="s">
        <v>625</v>
      </c>
      <c r="P57">
        <v>0.16841290308657628</v>
      </c>
    </row>
    <row r="58" spans="1:16" x14ac:dyDescent="0.3">
      <c r="A58" t="s">
        <v>146</v>
      </c>
      <c r="B58" s="12">
        <v>45695</v>
      </c>
      <c r="C58" t="s">
        <v>147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>
        <v>5</v>
      </c>
      <c r="J58">
        <v>0.05</v>
      </c>
      <c r="K58">
        <v>21341</v>
      </c>
      <c r="L58">
        <v>4753.29</v>
      </c>
      <c r="M58">
        <v>2025</v>
      </c>
      <c r="N58" t="s">
        <v>614</v>
      </c>
      <c r="O58" t="s">
        <v>625</v>
      </c>
      <c r="P58">
        <v>0.22273042500351437</v>
      </c>
    </row>
    <row r="59" spans="1:16" x14ac:dyDescent="0.3">
      <c r="A59" t="s">
        <v>148</v>
      </c>
      <c r="B59" s="12">
        <v>45696</v>
      </c>
      <c r="C59" t="s">
        <v>32</v>
      </c>
      <c r="D59" t="s">
        <v>21</v>
      </c>
      <c r="E59" t="s">
        <v>22</v>
      </c>
      <c r="F59" t="s">
        <v>16</v>
      </c>
      <c r="G59" t="s">
        <v>17</v>
      </c>
      <c r="H59" t="s">
        <v>88</v>
      </c>
      <c r="I59">
        <v>4</v>
      </c>
      <c r="J59">
        <v>0.2</v>
      </c>
      <c r="K59">
        <v>31342.36</v>
      </c>
      <c r="L59">
        <v>5121.88</v>
      </c>
      <c r="M59">
        <v>2025</v>
      </c>
      <c r="N59" t="s">
        <v>614</v>
      </c>
      <c r="O59" t="s">
        <v>625</v>
      </c>
      <c r="P59">
        <v>0.16341717726425195</v>
      </c>
    </row>
    <row r="60" spans="1:16" x14ac:dyDescent="0.3">
      <c r="A60" t="s">
        <v>149</v>
      </c>
      <c r="B60" s="12">
        <v>45696</v>
      </c>
      <c r="C60" t="s">
        <v>150</v>
      </c>
      <c r="D60" t="s">
        <v>21</v>
      </c>
      <c r="E60" t="s">
        <v>57</v>
      </c>
      <c r="F60" t="s">
        <v>28</v>
      </c>
      <c r="G60" t="s">
        <v>71</v>
      </c>
      <c r="H60" t="s">
        <v>72</v>
      </c>
      <c r="I60">
        <v>7</v>
      </c>
      <c r="J60">
        <v>0.1</v>
      </c>
      <c r="K60">
        <v>29029.07</v>
      </c>
      <c r="L60">
        <v>2395.79</v>
      </c>
      <c r="M60">
        <v>2025</v>
      </c>
      <c r="N60" t="s">
        <v>614</v>
      </c>
      <c r="O60" t="s">
        <v>625</v>
      </c>
      <c r="P60">
        <v>8.2530718345437862E-2</v>
      </c>
    </row>
    <row r="61" spans="1:16" x14ac:dyDescent="0.3">
      <c r="A61" t="s">
        <v>151</v>
      </c>
      <c r="B61" s="12">
        <v>45696</v>
      </c>
      <c r="C61" t="s">
        <v>27</v>
      </c>
      <c r="D61" t="s">
        <v>33</v>
      </c>
      <c r="E61" t="s">
        <v>140</v>
      </c>
      <c r="F61" t="s">
        <v>23</v>
      </c>
      <c r="G61" t="s">
        <v>48</v>
      </c>
      <c r="H61" t="s">
        <v>49</v>
      </c>
      <c r="I61">
        <v>3</v>
      </c>
      <c r="J61">
        <v>0.05</v>
      </c>
      <c r="K61">
        <v>11122.26</v>
      </c>
      <c r="L61">
        <v>1925.6</v>
      </c>
      <c r="M61">
        <v>2025</v>
      </c>
      <c r="N61" t="s">
        <v>614</v>
      </c>
      <c r="O61" t="s">
        <v>625</v>
      </c>
      <c r="P61">
        <v>0.17313028107596837</v>
      </c>
    </row>
    <row r="62" spans="1:16" x14ac:dyDescent="0.3">
      <c r="A62" t="s">
        <v>152</v>
      </c>
      <c r="B62" s="12">
        <v>45697</v>
      </c>
      <c r="C62" t="s">
        <v>85</v>
      </c>
      <c r="D62" t="s">
        <v>33</v>
      </c>
      <c r="E62" t="s">
        <v>34</v>
      </c>
      <c r="F62" t="s">
        <v>16</v>
      </c>
      <c r="G62" t="s">
        <v>17</v>
      </c>
      <c r="H62" t="s">
        <v>153</v>
      </c>
      <c r="I62">
        <v>6</v>
      </c>
      <c r="J62">
        <v>0.05</v>
      </c>
      <c r="K62">
        <v>43876.14</v>
      </c>
      <c r="L62">
        <v>7003.69</v>
      </c>
      <c r="M62">
        <v>2025</v>
      </c>
      <c r="N62" t="s">
        <v>614</v>
      </c>
      <c r="O62" t="s">
        <v>625</v>
      </c>
      <c r="P62">
        <v>0.15962411460989959</v>
      </c>
    </row>
    <row r="63" spans="1:16" x14ac:dyDescent="0.3">
      <c r="A63" t="s">
        <v>154</v>
      </c>
      <c r="B63" s="12">
        <v>45698</v>
      </c>
      <c r="C63" t="s">
        <v>109</v>
      </c>
      <c r="D63" t="s">
        <v>14</v>
      </c>
      <c r="E63" t="s">
        <v>114</v>
      </c>
      <c r="F63" t="s">
        <v>23</v>
      </c>
      <c r="G63" t="s">
        <v>35</v>
      </c>
      <c r="H63" t="s">
        <v>155</v>
      </c>
      <c r="I63">
        <v>3</v>
      </c>
      <c r="J63">
        <v>0.05</v>
      </c>
      <c r="K63">
        <v>88332.54</v>
      </c>
      <c r="L63">
        <v>11077.69</v>
      </c>
      <c r="M63">
        <v>2025</v>
      </c>
      <c r="N63" t="s">
        <v>614</v>
      </c>
      <c r="O63" t="s">
        <v>625</v>
      </c>
      <c r="P63">
        <v>0.12540893763498709</v>
      </c>
    </row>
    <row r="64" spans="1:16" x14ac:dyDescent="0.3">
      <c r="A64" t="s">
        <v>156</v>
      </c>
      <c r="B64" s="12">
        <v>45698</v>
      </c>
      <c r="C64" t="s">
        <v>77</v>
      </c>
      <c r="D64" t="s">
        <v>21</v>
      </c>
      <c r="E64" t="s">
        <v>57</v>
      </c>
      <c r="F64" t="s">
        <v>23</v>
      </c>
      <c r="G64" t="s">
        <v>24</v>
      </c>
      <c r="H64" t="s">
        <v>129</v>
      </c>
      <c r="I64">
        <v>5</v>
      </c>
      <c r="J64">
        <v>0</v>
      </c>
      <c r="K64">
        <v>88924.9</v>
      </c>
      <c r="L64">
        <v>7562.49</v>
      </c>
      <c r="M64">
        <v>2025</v>
      </c>
      <c r="N64" t="s">
        <v>614</v>
      </c>
      <c r="O64" t="s">
        <v>625</v>
      </c>
      <c r="P64">
        <v>8.5043559228067736E-2</v>
      </c>
    </row>
    <row r="65" spans="1:16" x14ac:dyDescent="0.3">
      <c r="A65" t="s">
        <v>157</v>
      </c>
      <c r="B65" s="12">
        <v>45699</v>
      </c>
      <c r="C65" t="s">
        <v>20</v>
      </c>
      <c r="D65" t="s">
        <v>39</v>
      </c>
      <c r="E65" t="s">
        <v>128</v>
      </c>
      <c r="F65" t="s">
        <v>23</v>
      </c>
      <c r="G65" t="s">
        <v>58</v>
      </c>
      <c r="H65" t="s">
        <v>78</v>
      </c>
      <c r="I65">
        <v>3</v>
      </c>
      <c r="J65">
        <v>0</v>
      </c>
      <c r="K65">
        <v>86305.41</v>
      </c>
      <c r="L65">
        <v>9997</v>
      </c>
      <c r="M65">
        <v>2025</v>
      </c>
      <c r="N65" t="s">
        <v>614</v>
      </c>
      <c r="O65" t="s">
        <v>625</v>
      </c>
      <c r="P65">
        <v>0.11583283133699265</v>
      </c>
    </row>
    <row r="66" spans="1:16" x14ac:dyDescent="0.3">
      <c r="A66" t="s">
        <v>158</v>
      </c>
      <c r="B66" s="12">
        <v>45700</v>
      </c>
      <c r="C66" t="s">
        <v>61</v>
      </c>
      <c r="D66" t="s">
        <v>21</v>
      </c>
      <c r="E66" t="s">
        <v>105</v>
      </c>
      <c r="F66" t="s">
        <v>28</v>
      </c>
      <c r="G66" t="s">
        <v>74</v>
      </c>
      <c r="H66" t="s">
        <v>159</v>
      </c>
      <c r="I66">
        <v>1</v>
      </c>
      <c r="J66">
        <v>0.15</v>
      </c>
      <c r="K66">
        <v>870.64</v>
      </c>
      <c r="L66">
        <v>116.45</v>
      </c>
      <c r="M66">
        <v>2025</v>
      </c>
      <c r="N66" t="s">
        <v>614</v>
      </c>
      <c r="O66" t="s">
        <v>627</v>
      </c>
      <c r="P66">
        <v>0.13375218230267391</v>
      </c>
    </row>
    <row r="67" spans="1:16" x14ac:dyDescent="0.3">
      <c r="A67" t="s">
        <v>160</v>
      </c>
      <c r="B67" s="12">
        <v>45700</v>
      </c>
      <c r="C67" t="s">
        <v>13</v>
      </c>
      <c r="D67" t="s">
        <v>33</v>
      </c>
      <c r="E67" t="s">
        <v>45</v>
      </c>
      <c r="F67" t="s">
        <v>16</v>
      </c>
      <c r="G67" t="s">
        <v>62</v>
      </c>
      <c r="H67" t="s">
        <v>63</v>
      </c>
      <c r="I67">
        <v>1</v>
      </c>
      <c r="J67">
        <v>0.15</v>
      </c>
      <c r="K67">
        <v>3283.25</v>
      </c>
      <c r="L67">
        <v>204.17</v>
      </c>
      <c r="M67">
        <v>2025</v>
      </c>
      <c r="N67" t="s">
        <v>614</v>
      </c>
      <c r="O67" t="s">
        <v>625</v>
      </c>
      <c r="P67">
        <v>6.2185334653163782E-2</v>
      </c>
    </row>
    <row r="68" spans="1:16" x14ac:dyDescent="0.3">
      <c r="A68" t="s">
        <v>161</v>
      </c>
      <c r="B68" s="12">
        <v>45700</v>
      </c>
      <c r="C68" t="s">
        <v>143</v>
      </c>
      <c r="D68" t="s">
        <v>33</v>
      </c>
      <c r="E68" t="s">
        <v>34</v>
      </c>
      <c r="F68" t="s">
        <v>16</v>
      </c>
      <c r="G68" t="s">
        <v>17</v>
      </c>
      <c r="H68" t="s">
        <v>18</v>
      </c>
      <c r="I68">
        <v>5</v>
      </c>
      <c r="J68">
        <v>0.1</v>
      </c>
      <c r="K68">
        <v>48622.5</v>
      </c>
      <c r="L68">
        <v>2288.1</v>
      </c>
      <c r="M68">
        <v>2025</v>
      </c>
      <c r="N68" t="s">
        <v>614</v>
      </c>
      <c r="O68" t="s">
        <v>625</v>
      </c>
      <c r="P68">
        <v>4.7058460589233381E-2</v>
      </c>
    </row>
    <row r="69" spans="1:16" x14ac:dyDescent="0.3">
      <c r="A69" t="s">
        <v>162</v>
      </c>
      <c r="B69" s="12">
        <v>45703</v>
      </c>
      <c r="C69" t="s">
        <v>150</v>
      </c>
      <c r="D69" t="s">
        <v>39</v>
      </c>
      <c r="E69" t="s">
        <v>47</v>
      </c>
      <c r="F69" t="s">
        <v>16</v>
      </c>
      <c r="G69" t="s">
        <v>17</v>
      </c>
      <c r="H69" t="s">
        <v>153</v>
      </c>
      <c r="I69">
        <v>1</v>
      </c>
      <c r="J69">
        <v>0</v>
      </c>
      <c r="K69">
        <v>514.16999999999996</v>
      </c>
      <c r="L69">
        <v>94.22</v>
      </c>
      <c r="M69">
        <v>2025</v>
      </c>
      <c r="N69" t="s">
        <v>614</v>
      </c>
      <c r="O69" t="s">
        <v>627</v>
      </c>
      <c r="P69">
        <v>0.18324678608242412</v>
      </c>
    </row>
    <row r="70" spans="1:16" x14ac:dyDescent="0.3">
      <c r="A70" t="s">
        <v>163</v>
      </c>
      <c r="B70" s="12">
        <v>45703</v>
      </c>
      <c r="C70" t="s">
        <v>85</v>
      </c>
      <c r="D70" t="s">
        <v>21</v>
      </c>
      <c r="E70" t="s">
        <v>57</v>
      </c>
      <c r="F70" t="s">
        <v>16</v>
      </c>
      <c r="G70" t="s">
        <v>17</v>
      </c>
      <c r="H70" t="s">
        <v>153</v>
      </c>
      <c r="I70">
        <v>5</v>
      </c>
      <c r="J70">
        <v>0.05</v>
      </c>
      <c r="K70">
        <v>54886.45</v>
      </c>
      <c r="L70">
        <v>3610.74</v>
      </c>
      <c r="M70">
        <v>2025</v>
      </c>
      <c r="N70" t="s">
        <v>614</v>
      </c>
      <c r="O70" t="s">
        <v>625</v>
      </c>
      <c r="P70">
        <v>6.5785635616805241E-2</v>
      </c>
    </row>
    <row r="71" spans="1:16" x14ac:dyDescent="0.3">
      <c r="A71" t="s">
        <v>164</v>
      </c>
      <c r="B71" s="12">
        <v>45704</v>
      </c>
      <c r="C71" t="s">
        <v>138</v>
      </c>
      <c r="D71" t="s">
        <v>21</v>
      </c>
      <c r="E71" t="s">
        <v>67</v>
      </c>
      <c r="F71" t="s">
        <v>23</v>
      </c>
      <c r="G71" t="s">
        <v>48</v>
      </c>
      <c r="H71" t="s">
        <v>49</v>
      </c>
      <c r="I71">
        <v>4</v>
      </c>
      <c r="J71">
        <v>0.15</v>
      </c>
      <c r="K71">
        <v>196467.36</v>
      </c>
      <c r="L71">
        <v>27829.89</v>
      </c>
      <c r="M71">
        <v>2025</v>
      </c>
      <c r="N71" t="s">
        <v>614</v>
      </c>
      <c r="O71" t="s">
        <v>625</v>
      </c>
      <c r="P71">
        <v>0.14165146821334598</v>
      </c>
    </row>
    <row r="72" spans="1:16" x14ac:dyDescent="0.3">
      <c r="A72" t="s">
        <v>165</v>
      </c>
      <c r="B72" s="12">
        <v>45704</v>
      </c>
      <c r="C72" t="s">
        <v>150</v>
      </c>
      <c r="D72" t="s">
        <v>39</v>
      </c>
      <c r="E72" t="s">
        <v>40</v>
      </c>
      <c r="F72" t="s">
        <v>16</v>
      </c>
      <c r="G72" t="s">
        <v>68</v>
      </c>
      <c r="H72" t="s">
        <v>83</v>
      </c>
      <c r="I72">
        <v>1</v>
      </c>
      <c r="J72">
        <v>0.15</v>
      </c>
      <c r="K72">
        <v>4419.38</v>
      </c>
      <c r="L72">
        <v>454.64</v>
      </c>
      <c r="M72">
        <v>2025</v>
      </c>
      <c r="N72" t="s">
        <v>614</v>
      </c>
      <c r="O72" t="s">
        <v>625</v>
      </c>
      <c r="P72">
        <v>0.10287415881865782</v>
      </c>
    </row>
    <row r="73" spans="1:16" x14ac:dyDescent="0.3">
      <c r="A73" t="s">
        <v>166</v>
      </c>
      <c r="B73" s="12">
        <v>45704</v>
      </c>
      <c r="C73" t="s">
        <v>38</v>
      </c>
      <c r="D73" t="s">
        <v>39</v>
      </c>
      <c r="E73" t="s">
        <v>128</v>
      </c>
      <c r="F73" t="s">
        <v>16</v>
      </c>
      <c r="G73" t="s">
        <v>62</v>
      </c>
      <c r="H73" t="s">
        <v>167</v>
      </c>
      <c r="I73">
        <v>4</v>
      </c>
      <c r="J73">
        <v>0.2</v>
      </c>
      <c r="K73">
        <v>47303.48</v>
      </c>
      <c r="L73">
        <v>4835.37</v>
      </c>
      <c r="M73">
        <v>2025</v>
      </c>
      <c r="N73" t="s">
        <v>614</v>
      </c>
      <c r="O73" t="s">
        <v>625</v>
      </c>
      <c r="P73">
        <v>0.10222017492159138</v>
      </c>
    </row>
    <row r="74" spans="1:16" x14ac:dyDescent="0.3">
      <c r="A74" t="s">
        <v>168</v>
      </c>
      <c r="B74" s="12">
        <v>45704</v>
      </c>
      <c r="C74" t="s">
        <v>143</v>
      </c>
      <c r="D74" t="s">
        <v>39</v>
      </c>
      <c r="E74" t="s">
        <v>47</v>
      </c>
      <c r="F74" t="s">
        <v>28</v>
      </c>
      <c r="G74" t="s">
        <v>71</v>
      </c>
      <c r="H74" t="s">
        <v>121</v>
      </c>
      <c r="I74">
        <v>1</v>
      </c>
      <c r="J74">
        <v>0.1</v>
      </c>
      <c r="K74">
        <v>177.48</v>
      </c>
      <c r="L74">
        <v>15.46</v>
      </c>
      <c r="M74">
        <v>2025</v>
      </c>
      <c r="N74" t="s">
        <v>614</v>
      </c>
      <c r="O74" t="s">
        <v>626</v>
      </c>
      <c r="P74">
        <v>8.7108406581023229E-2</v>
      </c>
    </row>
    <row r="75" spans="1:16" x14ac:dyDescent="0.3">
      <c r="A75" t="s">
        <v>169</v>
      </c>
      <c r="B75" s="12">
        <v>45705</v>
      </c>
      <c r="C75" t="s">
        <v>95</v>
      </c>
      <c r="D75" t="s">
        <v>21</v>
      </c>
      <c r="E75" t="s">
        <v>22</v>
      </c>
      <c r="F75" t="s">
        <v>23</v>
      </c>
      <c r="G75" t="s">
        <v>48</v>
      </c>
      <c r="H75" t="s">
        <v>124</v>
      </c>
      <c r="I75">
        <v>6</v>
      </c>
      <c r="J75">
        <v>0</v>
      </c>
      <c r="K75">
        <v>146277.6</v>
      </c>
      <c r="L75">
        <v>30180.560000000001</v>
      </c>
      <c r="M75">
        <v>2025</v>
      </c>
      <c r="N75" t="s">
        <v>614</v>
      </c>
      <c r="O75" t="s">
        <v>625</v>
      </c>
      <c r="P75">
        <v>0.20632386640196448</v>
      </c>
    </row>
    <row r="76" spans="1:16" x14ac:dyDescent="0.3">
      <c r="A76" t="s">
        <v>170</v>
      </c>
      <c r="B76" s="12">
        <v>45705</v>
      </c>
      <c r="C76" t="s">
        <v>13</v>
      </c>
      <c r="D76" t="s">
        <v>39</v>
      </c>
      <c r="E76" t="s">
        <v>52</v>
      </c>
      <c r="F76" t="s">
        <v>16</v>
      </c>
      <c r="G76" t="s">
        <v>62</v>
      </c>
      <c r="H76" t="s">
        <v>167</v>
      </c>
      <c r="I76">
        <v>4</v>
      </c>
      <c r="J76">
        <v>0.05</v>
      </c>
      <c r="K76">
        <v>37259.68</v>
      </c>
      <c r="L76">
        <v>5800.05</v>
      </c>
      <c r="M76">
        <v>2025</v>
      </c>
      <c r="N76" t="s">
        <v>614</v>
      </c>
      <c r="O76" t="s">
        <v>625</v>
      </c>
      <c r="P76">
        <v>0.15566558811025752</v>
      </c>
    </row>
    <row r="77" spans="1:16" x14ac:dyDescent="0.3">
      <c r="A77" t="s">
        <v>171</v>
      </c>
      <c r="B77" s="12">
        <v>45706</v>
      </c>
      <c r="C77" t="s">
        <v>13</v>
      </c>
      <c r="D77" t="s">
        <v>33</v>
      </c>
      <c r="E77" t="s">
        <v>45</v>
      </c>
      <c r="F77" t="s">
        <v>16</v>
      </c>
      <c r="G77" t="s">
        <v>17</v>
      </c>
      <c r="H77" t="s">
        <v>153</v>
      </c>
      <c r="I77">
        <v>7</v>
      </c>
      <c r="J77">
        <v>0.15</v>
      </c>
      <c r="K77">
        <v>69246.240000000005</v>
      </c>
      <c r="L77">
        <v>6464.6</v>
      </c>
      <c r="M77">
        <v>2025</v>
      </c>
      <c r="N77" t="s">
        <v>614</v>
      </c>
      <c r="O77" t="s">
        <v>625</v>
      </c>
      <c r="P77">
        <v>9.3356693446460054E-2</v>
      </c>
    </row>
    <row r="78" spans="1:16" x14ac:dyDescent="0.3">
      <c r="A78" t="s">
        <v>172</v>
      </c>
      <c r="B78" s="12">
        <v>45706</v>
      </c>
      <c r="C78" t="s">
        <v>66</v>
      </c>
      <c r="D78" t="s">
        <v>14</v>
      </c>
      <c r="E78" t="s">
        <v>54</v>
      </c>
      <c r="F78" t="s">
        <v>16</v>
      </c>
      <c r="G78" t="s">
        <v>17</v>
      </c>
      <c r="H78" t="s">
        <v>153</v>
      </c>
      <c r="I78">
        <v>6</v>
      </c>
      <c r="J78">
        <v>0</v>
      </c>
      <c r="K78">
        <v>20989.200000000001</v>
      </c>
      <c r="L78">
        <v>3976.69</v>
      </c>
      <c r="M78">
        <v>2025</v>
      </c>
      <c r="N78" t="s">
        <v>614</v>
      </c>
      <c r="O78" t="s">
        <v>625</v>
      </c>
      <c r="P78">
        <v>0.18946362891391763</v>
      </c>
    </row>
    <row r="79" spans="1:16" x14ac:dyDescent="0.3">
      <c r="A79" t="s">
        <v>173</v>
      </c>
      <c r="B79" s="12">
        <v>45707</v>
      </c>
      <c r="C79" t="s">
        <v>147</v>
      </c>
      <c r="D79" t="s">
        <v>14</v>
      </c>
      <c r="E79" t="s">
        <v>15</v>
      </c>
      <c r="F79" t="s">
        <v>23</v>
      </c>
      <c r="G79" t="s">
        <v>58</v>
      </c>
      <c r="H79" t="s">
        <v>78</v>
      </c>
      <c r="I79">
        <v>7</v>
      </c>
      <c r="J79">
        <v>0.15</v>
      </c>
      <c r="K79">
        <v>232499.33</v>
      </c>
      <c r="L79">
        <v>15098.11</v>
      </c>
      <c r="M79">
        <v>2025</v>
      </c>
      <c r="N79" t="s">
        <v>614</v>
      </c>
      <c r="O79" t="s">
        <v>625</v>
      </c>
      <c r="P79">
        <v>6.4938294660892154E-2</v>
      </c>
    </row>
    <row r="80" spans="1:16" x14ac:dyDescent="0.3">
      <c r="A80" t="s">
        <v>174</v>
      </c>
      <c r="B80" s="12">
        <v>45708</v>
      </c>
      <c r="C80" t="s">
        <v>51</v>
      </c>
      <c r="D80" t="s">
        <v>14</v>
      </c>
      <c r="E80" t="s">
        <v>54</v>
      </c>
      <c r="F80" t="s">
        <v>16</v>
      </c>
      <c r="G80" t="s">
        <v>68</v>
      </c>
      <c r="H80" t="s">
        <v>175</v>
      </c>
      <c r="I80">
        <v>7</v>
      </c>
      <c r="J80">
        <v>0</v>
      </c>
      <c r="K80">
        <v>82650.12</v>
      </c>
      <c r="L80">
        <v>7264.66</v>
      </c>
      <c r="M80">
        <v>2025</v>
      </c>
      <c r="N80" t="s">
        <v>614</v>
      </c>
      <c r="O80" t="s">
        <v>625</v>
      </c>
      <c r="P80">
        <v>8.7896545098785098E-2</v>
      </c>
    </row>
    <row r="81" spans="1:16" x14ac:dyDescent="0.3">
      <c r="A81" t="s">
        <v>176</v>
      </c>
      <c r="B81" s="12">
        <v>45709</v>
      </c>
      <c r="C81" t="s">
        <v>66</v>
      </c>
      <c r="D81" t="s">
        <v>33</v>
      </c>
      <c r="E81" t="s">
        <v>45</v>
      </c>
      <c r="F81" t="s">
        <v>16</v>
      </c>
      <c r="G81" t="s">
        <v>41</v>
      </c>
      <c r="H81" t="s">
        <v>177</v>
      </c>
      <c r="I81">
        <v>6</v>
      </c>
      <c r="J81">
        <v>0.2</v>
      </c>
      <c r="K81">
        <v>12613.86</v>
      </c>
      <c r="L81">
        <v>1283.75</v>
      </c>
      <c r="M81">
        <v>2025</v>
      </c>
      <c r="N81" t="s">
        <v>614</v>
      </c>
      <c r="O81" t="s">
        <v>625</v>
      </c>
      <c r="P81">
        <v>0.10177297036751637</v>
      </c>
    </row>
    <row r="82" spans="1:16" x14ac:dyDescent="0.3">
      <c r="A82" t="s">
        <v>178</v>
      </c>
      <c r="B82" s="12">
        <v>45710</v>
      </c>
      <c r="C82" t="s">
        <v>179</v>
      </c>
      <c r="D82" t="s">
        <v>33</v>
      </c>
      <c r="E82" t="s">
        <v>140</v>
      </c>
      <c r="F82" t="s">
        <v>16</v>
      </c>
      <c r="G82" t="s">
        <v>62</v>
      </c>
      <c r="H82" t="s">
        <v>180</v>
      </c>
      <c r="I82">
        <v>5</v>
      </c>
      <c r="J82">
        <v>0.15</v>
      </c>
      <c r="K82">
        <v>35688.15</v>
      </c>
      <c r="L82">
        <v>1947.82</v>
      </c>
      <c r="M82">
        <v>2025</v>
      </c>
      <c r="N82" t="s">
        <v>614</v>
      </c>
      <c r="O82" t="s">
        <v>625</v>
      </c>
      <c r="P82">
        <v>5.4578900839634438E-2</v>
      </c>
    </row>
    <row r="83" spans="1:16" x14ac:dyDescent="0.3">
      <c r="A83" t="s">
        <v>181</v>
      </c>
      <c r="B83" s="12">
        <v>45711</v>
      </c>
      <c r="C83" t="s">
        <v>38</v>
      </c>
      <c r="D83" t="s">
        <v>33</v>
      </c>
      <c r="E83" t="s">
        <v>140</v>
      </c>
      <c r="F83" t="s">
        <v>23</v>
      </c>
      <c r="G83" t="s">
        <v>58</v>
      </c>
      <c r="H83" t="s">
        <v>90</v>
      </c>
      <c r="I83">
        <v>3</v>
      </c>
      <c r="J83">
        <v>0</v>
      </c>
      <c r="K83">
        <v>135410.91</v>
      </c>
      <c r="L83">
        <v>31901.89</v>
      </c>
      <c r="M83">
        <v>2025</v>
      </c>
      <c r="N83" t="s">
        <v>614</v>
      </c>
      <c r="O83" t="s">
        <v>625</v>
      </c>
      <c r="P83">
        <v>0.23559320294059022</v>
      </c>
    </row>
    <row r="84" spans="1:16" x14ac:dyDescent="0.3">
      <c r="A84" t="s">
        <v>182</v>
      </c>
      <c r="B84" s="12">
        <v>45711</v>
      </c>
      <c r="C84" t="s">
        <v>44</v>
      </c>
      <c r="D84" t="s">
        <v>14</v>
      </c>
      <c r="E84" t="s">
        <v>15</v>
      </c>
      <c r="F84" t="s">
        <v>23</v>
      </c>
      <c r="G84" t="s">
        <v>35</v>
      </c>
      <c r="H84" t="s">
        <v>36</v>
      </c>
      <c r="I84">
        <v>4</v>
      </c>
      <c r="J84">
        <v>0.05</v>
      </c>
      <c r="K84">
        <v>137539.07999999999</v>
      </c>
      <c r="L84">
        <v>25289.58</v>
      </c>
      <c r="M84">
        <v>2025</v>
      </c>
      <c r="N84" t="s">
        <v>614</v>
      </c>
      <c r="O84" t="s">
        <v>625</v>
      </c>
      <c r="P84">
        <v>0.18387195842810641</v>
      </c>
    </row>
    <row r="85" spans="1:16" x14ac:dyDescent="0.3">
      <c r="A85" t="s">
        <v>183</v>
      </c>
      <c r="B85" s="12">
        <v>45713</v>
      </c>
      <c r="C85" t="s">
        <v>111</v>
      </c>
      <c r="D85" t="s">
        <v>21</v>
      </c>
      <c r="E85" t="s">
        <v>57</v>
      </c>
      <c r="F85" t="s">
        <v>28</v>
      </c>
      <c r="G85" t="s">
        <v>74</v>
      </c>
      <c r="H85" t="s">
        <v>159</v>
      </c>
      <c r="I85">
        <v>6</v>
      </c>
      <c r="J85">
        <v>0.2</v>
      </c>
      <c r="K85">
        <v>2545.2600000000002</v>
      </c>
      <c r="L85">
        <v>349.72</v>
      </c>
      <c r="M85">
        <v>2025</v>
      </c>
      <c r="N85" t="s">
        <v>614</v>
      </c>
      <c r="O85" t="s">
        <v>625</v>
      </c>
      <c r="P85">
        <v>0.13740050132402976</v>
      </c>
    </row>
    <row r="86" spans="1:16" x14ac:dyDescent="0.3">
      <c r="A86" t="s">
        <v>184</v>
      </c>
      <c r="B86" s="12">
        <v>45714</v>
      </c>
      <c r="C86" t="s">
        <v>135</v>
      </c>
      <c r="D86" t="s">
        <v>39</v>
      </c>
      <c r="E86" t="s">
        <v>52</v>
      </c>
      <c r="F86" t="s">
        <v>23</v>
      </c>
      <c r="G86" t="s">
        <v>24</v>
      </c>
      <c r="H86" t="s">
        <v>129</v>
      </c>
      <c r="I86">
        <v>5</v>
      </c>
      <c r="J86">
        <v>0.1</v>
      </c>
      <c r="K86">
        <v>20814.900000000001</v>
      </c>
      <c r="L86">
        <v>2195.87</v>
      </c>
      <c r="M86">
        <v>2025</v>
      </c>
      <c r="N86" t="s">
        <v>614</v>
      </c>
      <c r="O86" t="s">
        <v>625</v>
      </c>
      <c r="P86">
        <v>0.10549510206630826</v>
      </c>
    </row>
    <row r="87" spans="1:16" x14ac:dyDescent="0.3">
      <c r="A87" t="s">
        <v>185</v>
      </c>
      <c r="B87" s="12">
        <v>45715</v>
      </c>
      <c r="C87" t="s">
        <v>85</v>
      </c>
      <c r="D87" t="s">
        <v>14</v>
      </c>
      <c r="E87" t="s">
        <v>15</v>
      </c>
      <c r="F87" t="s">
        <v>16</v>
      </c>
      <c r="G87" t="s">
        <v>41</v>
      </c>
      <c r="H87" t="s">
        <v>42</v>
      </c>
      <c r="I87">
        <v>4</v>
      </c>
      <c r="J87">
        <v>0</v>
      </c>
      <c r="K87">
        <v>33193.24</v>
      </c>
      <c r="L87">
        <v>6640.7</v>
      </c>
      <c r="M87">
        <v>2025</v>
      </c>
      <c r="N87" t="s">
        <v>614</v>
      </c>
      <c r="O87" t="s">
        <v>625</v>
      </c>
      <c r="P87">
        <v>0.20006181981632407</v>
      </c>
    </row>
    <row r="88" spans="1:16" x14ac:dyDescent="0.3">
      <c r="A88" t="s">
        <v>186</v>
      </c>
      <c r="B88" s="12">
        <v>45716</v>
      </c>
      <c r="C88" t="s">
        <v>13</v>
      </c>
      <c r="D88" t="s">
        <v>39</v>
      </c>
      <c r="E88" t="s">
        <v>47</v>
      </c>
      <c r="F88" t="s">
        <v>23</v>
      </c>
      <c r="G88" t="s">
        <v>58</v>
      </c>
      <c r="H88" t="s">
        <v>90</v>
      </c>
      <c r="I88">
        <v>1</v>
      </c>
      <c r="J88">
        <v>0.1</v>
      </c>
      <c r="K88">
        <v>4234.1899999999996</v>
      </c>
      <c r="L88">
        <v>728.81</v>
      </c>
      <c r="M88">
        <v>2025</v>
      </c>
      <c r="N88" t="s">
        <v>614</v>
      </c>
      <c r="O88" t="s">
        <v>625</v>
      </c>
      <c r="P88">
        <v>0.17212501092298646</v>
      </c>
    </row>
    <row r="89" spans="1:16" x14ac:dyDescent="0.3">
      <c r="A89" t="s">
        <v>187</v>
      </c>
      <c r="B89" s="12">
        <v>45717</v>
      </c>
      <c r="C89" t="s">
        <v>95</v>
      </c>
      <c r="D89" t="s">
        <v>21</v>
      </c>
      <c r="E89" t="s">
        <v>22</v>
      </c>
      <c r="F89" t="s">
        <v>16</v>
      </c>
      <c r="G89" t="s">
        <v>17</v>
      </c>
      <c r="H89" t="s">
        <v>88</v>
      </c>
      <c r="I89">
        <v>3</v>
      </c>
      <c r="J89">
        <v>0.2</v>
      </c>
      <c r="K89">
        <v>32329.02</v>
      </c>
      <c r="L89">
        <v>367.58</v>
      </c>
      <c r="M89">
        <v>2025</v>
      </c>
      <c r="N89" t="s">
        <v>615</v>
      </c>
      <c r="O89" t="s">
        <v>625</v>
      </c>
      <c r="P89">
        <v>1.1369970385740117E-2</v>
      </c>
    </row>
    <row r="90" spans="1:16" x14ac:dyDescent="0.3">
      <c r="A90" t="s">
        <v>188</v>
      </c>
      <c r="B90" s="12">
        <v>45717</v>
      </c>
      <c r="C90" t="s">
        <v>150</v>
      </c>
      <c r="D90" t="s">
        <v>21</v>
      </c>
      <c r="E90" t="s">
        <v>57</v>
      </c>
      <c r="F90" t="s">
        <v>28</v>
      </c>
      <c r="G90" t="s">
        <v>71</v>
      </c>
      <c r="H90" t="s">
        <v>121</v>
      </c>
      <c r="I90">
        <v>6</v>
      </c>
      <c r="J90">
        <v>0.15</v>
      </c>
      <c r="K90">
        <v>22758.720000000001</v>
      </c>
      <c r="L90">
        <v>1298.1099999999999</v>
      </c>
      <c r="M90">
        <v>2025</v>
      </c>
      <c r="N90" t="s">
        <v>615</v>
      </c>
      <c r="O90" t="s">
        <v>625</v>
      </c>
      <c r="P90">
        <v>5.7037917773934556E-2</v>
      </c>
    </row>
    <row r="91" spans="1:16" x14ac:dyDescent="0.3">
      <c r="A91" t="s">
        <v>189</v>
      </c>
      <c r="B91" s="12">
        <v>45718</v>
      </c>
      <c r="C91" t="s">
        <v>100</v>
      </c>
      <c r="D91" t="s">
        <v>33</v>
      </c>
      <c r="E91" t="s">
        <v>140</v>
      </c>
      <c r="F91" t="s">
        <v>23</v>
      </c>
      <c r="G91" t="s">
        <v>24</v>
      </c>
      <c r="H91" t="s">
        <v>129</v>
      </c>
      <c r="I91">
        <v>2</v>
      </c>
      <c r="J91">
        <v>0.1</v>
      </c>
      <c r="K91">
        <v>46832.66</v>
      </c>
      <c r="L91">
        <v>8628.7999999999993</v>
      </c>
      <c r="M91">
        <v>2025</v>
      </c>
      <c r="N91" t="s">
        <v>615</v>
      </c>
      <c r="O91" t="s">
        <v>625</v>
      </c>
      <c r="P91">
        <v>0.18424748882510622</v>
      </c>
    </row>
    <row r="92" spans="1:16" x14ac:dyDescent="0.3">
      <c r="A92" t="s">
        <v>190</v>
      </c>
      <c r="B92" s="12">
        <v>45718</v>
      </c>
      <c r="C92" t="s">
        <v>95</v>
      </c>
      <c r="D92" t="s">
        <v>21</v>
      </c>
      <c r="E92" t="s">
        <v>105</v>
      </c>
      <c r="F92" t="s">
        <v>23</v>
      </c>
      <c r="G92" t="s">
        <v>35</v>
      </c>
      <c r="H92" t="s">
        <v>155</v>
      </c>
      <c r="I92">
        <v>4</v>
      </c>
      <c r="J92">
        <v>0</v>
      </c>
      <c r="K92">
        <v>145449.84</v>
      </c>
      <c r="L92">
        <v>31211.94</v>
      </c>
      <c r="M92">
        <v>2025</v>
      </c>
      <c r="N92" t="s">
        <v>615</v>
      </c>
      <c r="O92" t="s">
        <v>625</v>
      </c>
      <c r="P92">
        <v>0.21458902945510286</v>
      </c>
    </row>
    <row r="93" spans="1:16" x14ac:dyDescent="0.3">
      <c r="A93" t="s">
        <v>191</v>
      </c>
      <c r="B93" s="12">
        <v>45718</v>
      </c>
      <c r="C93" t="s">
        <v>44</v>
      </c>
      <c r="D93" t="s">
        <v>39</v>
      </c>
      <c r="E93" t="s">
        <v>52</v>
      </c>
      <c r="F93" t="s">
        <v>23</v>
      </c>
      <c r="G93" t="s">
        <v>24</v>
      </c>
      <c r="H93" t="s">
        <v>129</v>
      </c>
      <c r="I93">
        <v>1</v>
      </c>
      <c r="J93">
        <v>0.2</v>
      </c>
      <c r="K93">
        <v>41543.35</v>
      </c>
      <c r="L93">
        <v>2723.01</v>
      </c>
      <c r="M93">
        <v>2025</v>
      </c>
      <c r="N93" t="s">
        <v>615</v>
      </c>
      <c r="O93" t="s">
        <v>625</v>
      </c>
      <c r="P93">
        <v>6.5546230624155252E-2</v>
      </c>
    </row>
    <row r="94" spans="1:16" x14ac:dyDescent="0.3">
      <c r="A94" t="s">
        <v>192</v>
      </c>
      <c r="B94" s="12">
        <v>45720</v>
      </c>
      <c r="C94" t="s">
        <v>85</v>
      </c>
      <c r="D94" t="s">
        <v>14</v>
      </c>
      <c r="E94" t="s">
        <v>114</v>
      </c>
      <c r="F94" t="s">
        <v>23</v>
      </c>
      <c r="G94" t="s">
        <v>35</v>
      </c>
      <c r="H94" t="s">
        <v>155</v>
      </c>
      <c r="I94">
        <v>7</v>
      </c>
      <c r="J94">
        <v>0.2</v>
      </c>
      <c r="K94">
        <v>47766.25</v>
      </c>
      <c r="L94">
        <v>3100.6</v>
      </c>
      <c r="M94">
        <v>2025</v>
      </c>
      <c r="N94" t="s">
        <v>615</v>
      </c>
      <c r="O94" t="s">
        <v>625</v>
      </c>
      <c r="P94">
        <v>6.4911940962499665E-2</v>
      </c>
    </row>
    <row r="95" spans="1:16" x14ac:dyDescent="0.3">
      <c r="A95" t="s">
        <v>193</v>
      </c>
      <c r="B95" s="12">
        <v>45720</v>
      </c>
      <c r="C95" t="s">
        <v>111</v>
      </c>
      <c r="D95" t="s">
        <v>33</v>
      </c>
      <c r="E95" t="s">
        <v>140</v>
      </c>
      <c r="F95" t="s">
        <v>23</v>
      </c>
      <c r="G95" t="s">
        <v>24</v>
      </c>
      <c r="H95" t="s">
        <v>132</v>
      </c>
      <c r="I95">
        <v>3</v>
      </c>
      <c r="J95">
        <v>0.2</v>
      </c>
      <c r="K95">
        <v>68571.899999999994</v>
      </c>
      <c r="L95">
        <v>12011.1</v>
      </c>
      <c r="M95">
        <v>2025</v>
      </c>
      <c r="N95" t="s">
        <v>615</v>
      </c>
      <c r="O95" t="s">
        <v>625</v>
      </c>
      <c r="P95">
        <v>0.17516067077038847</v>
      </c>
    </row>
    <row r="96" spans="1:16" x14ac:dyDescent="0.3">
      <c r="A96" t="s">
        <v>194</v>
      </c>
      <c r="B96" s="12">
        <v>45722</v>
      </c>
      <c r="C96" t="s">
        <v>85</v>
      </c>
      <c r="D96" t="s">
        <v>21</v>
      </c>
      <c r="E96" t="s">
        <v>105</v>
      </c>
      <c r="F96" t="s">
        <v>23</v>
      </c>
      <c r="G96" t="s">
        <v>58</v>
      </c>
      <c r="H96" t="s">
        <v>59</v>
      </c>
      <c r="I96">
        <v>5</v>
      </c>
      <c r="J96">
        <v>0.2</v>
      </c>
      <c r="K96">
        <v>209238.65</v>
      </c>
      <c r="L96">
        <v>36804.769999999997</v>
      </c>
      <c r="M96">
        <v>2025</v>
      </c>
      <c r="N96" t="s">
        <v>615</v>
      </c>
      <c r="O96" t="s">
        <v>625</v>
      </c>
      <c r="P96">
        <v>0.17589852543973114</v>
      </c>
    </row>
    <row r="97" spans="1:16" x14ac:dyDescent="0.3">
      <c r="A97" t="s">
        <v>195</v>
      </c>
      <c r="B97" s="12">
        <v>45723</v>
      </c>
      <c r="C97" t="s">
        <v>32</v>
      </c>
      <c r="D97" t="s">
        <v>39</v>
      </c>
      <c r="E97" t="s">
        <v>40</v>
      </c>
      <c r="F97" t="s">
        <v>16</v>
      </c>
      <c r="G97" t="s">
        <v>17</v>
      </c>
      <c r="H97" t="s">
        <v>153</v>
      </c>
      <c r="I97">
        <v>4</v>
      </c>
      <c r="J97">
        <v>0</v>
      </c>
      <c r="K97">
        <v>33356.800000000003</v>
      </c>
      <c r="L97">
        <v>6384.43</v>
      </c>
      <c r="M97">
        <v>2025</v>
      </c>
      <c r="N97" t="s">
        <v>615</v>
      </c>
      <c r="O97" t="s">
        <v>625</v>
      </c>
      <c r="P97">
        <v>0.19139815569838833</v>
      </c>
    </row>
    <row r="98" spans="1:16" x14ac:dyDescent="0.3">
      <c r="A98" t="s">
        <v>196</v>
      </c>
      <c r="B98" s="12">
        <v>45724</v>
      </c>
      <c r="C98" t="s">
        <v>100</v>
      </c>
      <c r="D98" t="s">
        <v>21</v>
      </c>
      <c r="E98" t="s">
        <v>57</v>
      </c>
      <c r="F98" t="s">
        <v>16</v>
      </c>
      <c r="G98" t="s">
        <v>62</v>
      </c>
      <c r="H98" t="s">
        <v>167</v>
      </c>
      <c r="I98">
        <v>5</v>
      </c>
      <c r="J98">
        <v>0.1</v>
      </c>
      <c r="K98">
        <v>24591.9</v>
      </c>
      <c r="L98">
        <v>1979.82</v>
      </c>
      <c r="M98">
        <v>2025</v>
      </c>
      <c r="N98" t="s">
        <v>615</v>
      </c>
      <c r="O98" t="s">
        <v>625</v>
      </c>
      <c r="P98">
        <v>8.0506996206067841E-2</v>
      </c>
    </row>
    <row r="99" spans="1:16" x14ac:dyDescent="0.3">
      <c r="A99" t="s">
        <v>197</v>
      </c>
      <c r="B99" s="12">
        <v>45724</v>
      </c>
      <c r="C99" t="s">
        <v>27</v>
      </c>
      <c r="D99" t="s">
        <v>33</v>
      </c>
      <c r="E99" t="s">
        <v>140</v>
      </c>
      <c r="F99" t="s">
        <v>23</v>
      </c>
      <c r="G99" t="s">
        <v>24</v>
      </c>
      <c r="H99" t="s">
        <v>25</v>
      </c>
      <c r="I99">
        <v>5</v>
      </c>
      <c r="J99">
        <v>0.15</v>
      </c>
      <c r="K99">
        <v>121977.2</v>
      </c>
      <c r="L99">
        <v>14491.88</v>
      </c>
      <c r="M99">
        <v>2025</v>
      </c>
      <c r="N99" t="s">
        <v>615</v>
      </c>
      <c r="O99" t="s">
        <v>625</v>
      </c>
      <c r="P99">
        <v>0.11880810512128495</v>
      </c>
    </row>
    <row r="100" spans="1:16" x14ac:dyDescent="0.3">
      <c r="A100" t="s">
        <v>198</v>
      </c>
      <c r="B100" s="12">
        <v>45724</v>
      </c>
      <c r="C100" t="s">
        <v>66</v>
      </c>
      <c r="D100" t="s">
        <v>33</v>
      </c>
      <c r="E100" t="s">
        <v>34</v>
      </c>
      <c r="F100" t="s">
        <v>16</v>
      </c>
      <c r="G100" t="s">
        <v>62</v>
      </c>
      <c r="H100" t="s">
        <v>167</v>
      </c>
      <c r="I100">
        <v>2</v>
      </c>
      <c r="J100">
        <v>0.2</v>
      </c>
      <c r="K100">
        <v>12791.06</v>
      </c>
      <c r="L100">
        <v>200.08</v>
      </c>
      <c r="M100">
        <v>2025</v>
      </c>
      <c r="N100" t="s">
        <v>615</v>
      </c>
      <c r="O100" t="s">
        <v>625</v>
      </c>
      <c r="P100">
        <v>1.5642175081658598E-2</v>
      </c>
    </row>
    <row r="101" spans="1:16" x14ac:dyDescent="0.3">
      <c r="A101" t="s">
        <v>199</v>
      </c>
      <c r="B101" s="12">
        <v>45726</v>
      </c>
      <c r="C101" t="s">
        <v>104</v>
      </c>
      <c r="D101" t="s">
        <v>33</v>
      </c>
      <c r="E101" t="s">
        <v>45</v>
      </c>
      <c r="F101" t="s">
        <v>16</v>
      </c>
      <c r="G101" t="s">
        <v>68</v>
      </c>
      <c r="H101" t="s">
        <v>83</v>
      </c>
      <c r="I101">
        <v>4</v>
      </c>
      <c r="J101">
        <v>0.05</v>
      </c>
      <c r="K101">
        <v>38921.599999999999</v>
      </c>
      <c r="L101">
        <v>8634.76</v>
      </c>
      <c r="M101">
        <v>2025</v>
      </c>
      <c r="N101" t="s">
        <v>615</v>
      </c>
      <c r="O101" t="s">
        <v>625</v>
      </c>
      <c r="P101">
        <v>0.22185007810573051</v>
      </c>
    </row>
    <row r="102" spans="1:16" x14ac:dyDescent="0.3">
      <c r="A102" t="s">
        <v>200</v>
      </c>
      <c r="B102" s="12">
        <v>45726</v>
      </c>
      <c r="C102" t="s">
        <v>32</v>
      </c>
      <c r="D102" t="s">
        <v>14</v>
      </c>
      <c r="E102" t="s">
        <v>54</v>
      </c>
      <c r="F102" t="s">
        <v>23</v>
      </c>
      <c r="G102" t="s">
        <v>58</v>
      </c>
      <c r="H102" t="s">
        <v>78</v>
      </c>
      <c r="I102">
        <v>4</v>
      </c>
      <c r="J102">
        <v>0.1</v>
      </c>
      <c r="K102">
        <v>67881.2</v>
      </c>
      <c r="L102">
        <v>5509.49</v>
      </c>
      <c r="M102">
        <v>2025</v>
      </c>
      <c r="N102" t="s">
        <v>615</v>
      </c>
      <c r="O102" t="s">
        <v>625</v>
      </c>
      <c r="P102">
        <v>8.1163709539607429E-2</v>
      </c>
    </row>
    <row r="103" spans="1:16" x14ac:dyDescent="0.3">
      <c r="A103" t="s">
        <v>201</v>
      </c>
      <c r="B103" s="12">
        <v>45727</v>
      </c>
      <c r="C103" t="s">
        <v>147</v>
      </c>
      <c r="D103" t="s">
        <v>14</v>
      </c>
      <c r="E103" t="s">
        <v>54</v>
      </c>
      <c r="F103" t="s">
        <v>16</v>
      </c>
      <c r="G103" t="s">
        <v>41</v>
      </c>
      <c r="H103" t="s">
        <v>42</v>
      </c>
      <c r="I103">
        <v>3</v>
      </c>
      <c r="J103">
        <v>0.15</v>
      </c>
      <c r="K103">
        <v>29939.279999999999</v>
      </c>
      <c r="L103">
        <v>1021.72</v>
      </c>
      <c r="M103">
        <v>2025</v>
      </c>
      <c r="N103" t="s">
        <v>615</v>
      </c>
      <c r="O103" t="s">
        <v>625</v>
      </c>
      <c r="P103">
        <v>3.4126405177412417E-2</v>
      </c>
    </row>
    <row r="104" spans="1:16" x14ac:dyDescent="0.3">
      <c r="A104" t="s">
        <v>202</v>
      </c>
      <c r="B104" s="12">
        <v>45727</v>
      </c>
      <c r="C104" t="s">
        <v>77</v>
      </c>
      <c r="D104" t="s">
        <v>33</v>
      </c>
      <c r="E104" t="s">
        <v>140</v>
      </c>
      <c r="F104" t="s">
        <v>23</v>
      </c>
      <c r="G104" t="s">
        <v>48</v>
      </c>
      <c r="H104" t="s">
        <v>49</v>
      </c>
      <c r="I104">
        <v>3</v>
      </c>
      <c r="J104">
        <v>0.15</v>
      </c>
      <c r="K104">
        <v>53168.160000000003</v>
      </c>
      <c r="L104">
        <v>6717.31</v>
      </c>
      <c r="M104">
        <v>2025</v>
      </c>
      <c r="N104" t="s">
        <v>615</v>
      </c>
      <c r="O104" t="s">
        <v>625</v>
      </c>
      <c r="P104">
        <v>0.12634084008173313</v>
      </c>
    </row>
    <row r="105" spans="1:16" x14ac:dyDescent="0.3">
      <c r="A105" t="s">
        <v>203</v>
      </c>
      <c r="B105" s="12">
        <v>45729</v>
      </c>
      <c r="C105" t="s">
        <v>109</v>
      </c>
      <c r="D105" t="s">
        <v>14</v>
      </c>
      <c r="E105" t="s">
        <v>54</v>
      </c>
      <c r="F105" t="s">
        <v>28</v>
      </c>
      <c r="G105" t="s">
        <v>92</v>
      </c>
      <c r="H105" t="s">
        <v>204</v>
      </c>
      <c r="I105">
        <v>1</v>
      </c>
      <c r="J105">
        <v>0.05</v>
      </c>
      <c r="K105">
        <v>2040.26</v>
      </c>
      <c r="L105">
        <v>182.3</v>
      </c>
      <c r="M105">
        <v>2025</v>
      </c>
      <c r="N105" t="s">
        <v>615</v>
      </c>
      <c r="O105" t="s">
        <v>625</v>
      </c>
      <c r="P105">
        <v>8.935135717996727E-2</v>
      </c>
    </row>
    <row r="106" spans="1:16" x14ac:dyDescent="0.3">
      <c r="A106" t="s">
        <v>205</v>
      </c>
      <c r="B106" s="12">
        <v>45729</v>
      </c>
      <c r="C106" t="s">
        <v>44</v>
      </c>
      <c r="D106" t="s">
        <v>21</v>
      </c>
      <c r="E106" t="s">
        <v>57</v>
      </c>
      <c r="F106" t="s">
        <v>28</v>
      </c>
      <c r="G106" t="s">
        <v>74</v>
      </c>
      <c r="H106" t="s">
        <v>159</v>
      </c>
      <c r="I106">
        <v>5</v>
      </c>
      <c r="J106">
        <v>0.2</v>
      </c>
      <c r="K106">
        <v>16416.349999999999</v>
      </c>
      <c r="L106">
        <v>2482.3000000000002</v>
      </c>
      <c r="M106">
        <v>2025</v>
      </c>
      <c r="N106" t="s">
        <v>615</v>
      </c>
      <c r="O106" t="s">
        <v>625</v>
      </c>
      <c r="P106">
        <v>0.15120900809254192</v>
      </c>
    </row>
    <row r="107" spans="1:16" x14ac:dyDescent="0.3">
      <c r="A107" t="s">
        <v>206</v>
      </c>
      <c r="B107" s="12">
        <v>45730</v>
      </c>
      <c r="C107" t="s">
        <v>150</v>
      </c>
      <c r="D107" t="s">
        <v>21</v>
      </c>
      <c r="E107" t="s">
        <v>105</v>
      </c>
      <c r="F107" t="s">
        <v>28</v>
      </c>
      <c r="G107" t="s">
        <v>74</v>
      </c>
      <c r="H107" t="s">
        <v>75</v>
      </c>
      <c r="I107">
        <v>5</v>
      </c>
      <c r="J107">
        <v>0.1</v>
      </c>
      <c r="K107">
        <v>1060.9000000000001</v>
      </c>
      <c r="L107">
        <v>173.08</v>
      </c>
      <c r="M107">
        <v>2025</v>
      </c>
      <c r="N107" t="s">
        <v>615</v>
      </c>
      <c r="O107" t="s">
        <v>625</v>
      </c>
      <c r="P107">
        <v>0.1631444999528702</v>
      </c>
    </row>
    <row r="108" spans="1:16" x14ac:dyDescent="0.3">
      <c r="A108" t="s">
        <v>207</v>
      </c>
      <c r="B108" s="12">
        <v>45730</v>
      </c>
      <c r="C108" t="s">
        <v>44</v>
      </c>
      <c r="D108" t="s">
        <v>21</v>
      </c>
      <c r="E108" t="s">
        <v>105</v>
      </c>
      <c r="F108" t="s">
        <v>16</v>
      </c>
      <c r="G108" t="s">
        <v>68</v>
      </c>
      <c r="H108" t="s">
        <v>83</v>
      </c>
      <c r="I108">
        <v>2</v>
      </c>
      <c r="J108">
        <v>0.2</v>
      </c>
      <c r="K108">
        <v>5075.42</v>
      </c>
      <c r="L108">
        <v>149.80000000000001</v>
      </c>
      <c r="M108">
        <v>2025</v>
      </c>
      <c r="N108" t="s">
        <v>615</v>
      </c>
      <c r="O108" t="s">
        <v>625</v>
      </c>
      <c r="P108">
        <v>2.9514798775273771E-2</v>
      </c>
    </row>
    <row r="109" spans="1:16" x14ac:dyDescent="0.3">
      <c r="A109" t="s">
        <v>208</v>
      </c>
      <c r="B109" s="12">
        <v>45730</v>
      </c>
      <c r="C109" t="s">
        <v>85</v>
      </c>
      <c r="D109" t="s">
        <v>33</v>
      </c>
      <c r="E109" t="s">
        <v>140</v>
      </c>
      <c r="F109" t="s">
        <v>23</v>
      </c>
      <c r="G109" t="s">
        <v>24</v>
      </c>
      <c r="H109" t="s">
        <v>25</v>
      </c>
      <c r="I109">
        <v>6</v>
      </c>
      <c r="J109">
        <v>0</v>
      </c>
      <c r="K109">
        <v>60457.2</v>
      </c>
      <c r="L109">
        <v>9955.2999999999993</v>
      </c>
      <c r="M109">
        <v>2025</v>
      </c>
      <c r="N109" t="s">
        <v>615</v>
      </c>
      <c r="O109" t="s">
        <v>625</v>
      </c>
      <c r="P109">
        <v>0.16466690485169674</v>
      </c>
    </row>
    <row r="110" spans="1:16" x14ac:dyDescent="0.3">
      <c r="A110" t="s">
        <v>209</v>
      </c>
      <c r="B110" s="12">
        <v>45730</v>
      </c>
      <c r="C110" t="s">
        <v>147</v>
      </c>
      <c r="D110" t="s">
        <v>39</v>
      </c>
      <c r="E110" t="s">
        <v>128</v>
      </c>
      <c r="F110" t="s">
        <v>23</v>
      </c>
      <c r="G110" t="s">
        <v>24</v>
      </c>
      <c r="H110" t="s">
        <v>132</v>
      </c>
      <c r="I110">
        <v>6</v>
      </c>
      <c r="J110">
        <v>0.15</v>
      </c>
      <c r="K110">
        <v>237708.42</v>
      </c>
      <c r="L110">
        <v>15681.02</v>
      </c>
      <c r="M110">
        <v>2025</v>
      </c>
      <c r="N110" t="s">
        <v>615</v>
      </c>
      <c r="O110" t="s">
        <v>625</v>
      </c>
      <c r="P110">
        <v>6.596745710564228E-2</v>
      </c>
    </row>
    <row r="111" spans="1:16" x14ac:dyDescent="0.3">
      <c r="A111" t="s">
        <v>210</v>
      </c>
      <c r="B111" s="12">
        <v>45731</v>
      </c>
      <c r="C111" t="s">
        <v>100</v>
      </c>
      <c r="D111" t="s">
        <v>14</v>
      </c>
      <c r="E111" t="s">
        <v>97</v>
      </c>
      <c r="F111" t="s">
        <v>23</v>
      </c>
      <c r="G111" t="s">
        <v>58</v>
      </c>
      <c r="H111" t="s">
        <v>101</v>
      </c>
      <c r="I111">
        <v>1</v>
      </c>
      <c r="J111">
        <v>0.1</v>
      </c>
      <c r="K111">
        <v>12060.67</v>
      </c>
      <c r="L111">
        <v>2323.2399999999998</v>
      </c>
      <c r="M111">
        <v>2025</v>
      </c>
      <c r="N111" t="s">
        <v>615</v>
      </c>
      <c r="O111" t="s">
        <v>625</v>
      </c>
      <c r="P111">
        <v>0.19262943103492591</v>
      </c>
    </row>
    <row r="112" spans="1:16" x14ac:dyDescent="0.3">
      <c r="A112" t="s">
        <v>211</v>
      </c>
      <c r="B112" s="12">
        <v>45733</v>
      </c>
      <c r="C112" t="s">
        <v>27</v>
      </c>
      <c r="D112" t="s">
        <v>39</v>
      </c>
      <c r="E112" t="s">
        <v>47</v>
      </c>
      <c r="F112" t="s">
        <v>23</v>
      </c>
      <c r="G112" t="s">
        <v>48</v>
      </c>
      <c r="H112" t="s">
        <v>124</v>
      </c>
      <c r="I112">
        <v>2</v>
      </c>
      <c r="J112">
        <v>0</v>
      </c>
      <c r="K112">
        <v>83957.24</v>
      </c>
      <c r="L112">
        <v>8159.88</v>
      </c>
      <c r="M112">
        <v>2025</v>
      </c>
      <c r="N112" t="s">
        <v>615</v>
      </c>
      <c r="O112" t="s">
        <v>625</v>
      </c>
      <c r="P112">
        <v>9.719090336938184E-2</v>
      </c>
    </row>
    <row r="113" spans="1:16" x14ac:dyDescent="0.3">
      <c r="A113" t="s">
        <v>212</v>
      </c>
      <c r="B113" s="12">
        <v>45734</v>
      </c>
      <c r="C113" t="s">
        <v>51</v>
      </c>
      <c r="D113" t="s">
        <v>39</v>
      </c>
      <c r="E113" t="s">
        <v>40</v>
      </c>
      <c r="F113" t="s">
        <v>16</v>
      </c>
      <c r="G113" t="s">
        <v>68</v>
      </c>
      <c r="H113" t="s">
        <v>83</v>
      </c>
      <c r="I113">
        <v>7</v>
      </c>
      <c r="J113">
        <v>0.2</v>
      </c>
      <c r="K113">
        <v>19047.21</v>
      </c>
      <c r="L113">
        <v>2188.1</v>
      </c>
      <c r="M113">
        <v>2025</v>
      </c>
      <c r="N113" t="s">
        <v>615</v>
      </c>
      <c r="O113" t="s">
        <v>625</v>
      </c>
      <c r="P113">
        <v>0.11487771699897255</v>
      </c>
    </row>
    <row r="114" spans="1:16" x14ac:dyDescent="0.3">
      <c r="A114" t="s">
        <v>213</v>
      </c>
      <c r="B114" s="12">
        <v>45736</v>
      </c>
      <c r="C114" t="s">
        <v>20</v>
      </c>
      <c r="D114" t="s">
        <v>39</v>
      </c>
      <c r="E114" t="s">
        <v>47</v>
      </c>
      <c r="F114" t="s">
        <v>16</v>
      </c>
      <c r="G114" t="s">
        <v>68</v>
      </c>
      <c r="H114" t="s">
        <v>175</v>
      </c>
      <c r="I114">
        <v>3</v>
      </c>
      <c r="J114">
        <v>0.05</v>
      </c>
      <c r="K114">
        <v>25073.7</v>
      </c>
      <c r="L114">
        <v>2244.59</v>
      </c>
      <c r="M114">
        <v>2025</v>
      </c>
      <c r="N114" t="s">
        <v>615</v>
      </c>
      <c r="O114" t="s">
        <v>625</v>
      </c>
      <c r="P114">
        <v>8.9519695936379554E-2</v>
      </c>
    </row>
    <row r="115" spans="1:16" x14ac:dyDescent="0.3">
      <c r="A115" t="s">
        <v>214</v>
      </c>
      <c r="B115" s="12">
        <v>45738</v>
      </c>
      <c r="C115" t="s">
        <v>27</v>
      </c>
      <c r="D115" t="s">
        <v>21</v>
      </c>
      <c r="E115" t="s">
        <v>105</v>
      </c>
      <c r="F115" t="s">
        <v>23</v>
      </c>
      <c r="G115" t="s">
        <v>35</v>
      </c>
      <c r="H115" t="s">
        <v>36</v>
      </c>
      <c r="I115">
        <v>6</v>
      </c>
      <c r="J115">
        <v>0.1</v>
      </c>
      <c r="K115">
        <v>161991.84</v>
      </c>
      <c r="L115">
        <v>20673.41</v>
      </c>
      <c r="M115">
        <v>2025</v>
      </c>
      <c r="N115" t="s">
        <v>615</v>
      </c>
      <c r="O115" t="s">
        <v>625</v>
      </c>
      <c r="P115">
        <v>0.12762007024551361</v>
      </c>
    </row>
    <row r="116" spans="1:16" x14ac:dyDescent="0.3">
      <c r="A116" t="s">
        <v>215</v>
      </c>
      <c r="B116" s="12">
        <v>45739</v>
      </c>
      <c r="C116" t="s">
        <v>44</v>
      </c>
      <c r="D116" t="s">
        <v>39</v>
      </c>
      <c r="E116" t="s">
        <v>52</v>
      </c>
      <c r="F116" t="s">
        <v>16</v>
      </c>
      <c r="G116" t="s">
        <v>41</v>
      </c>
      <c r="H116" t="s">
        <v>177</v>
      </c>
      <c r="I116">
        <v>7</v>
      </c>
      <c r="J116">
        <v>0.1</v>
      </c>
      <c r="K116">
        <v>40139.050000000003</v>
      </c>
      <c r="L116">
        <v>7462.48</v>
      </c>
      <c r="M116">
        <v>2025</v>
      </c>
      <c r="N116" t="s">
        <v>615</v>
      </c>
      <c r="O116" t="s">
        <v>625</v>
      </c>
      <c r="P116">
        <v>0.18591571051133496</v>
      </c>
    </row>
    <row r="117" spans="1:16" x14ac:dyDescent="0.3">
      <c r="A117" t="s">
        <v>216</v>
      </c>
      <c r="B117" s="12">
        <v>45739</v>
      </c>
      <c r="C117" t="s">
        <v>85</v>
      </c>
      <c r="D117" t="s">
        <v>21</v>
      </c>
      <c r="E117" t="s">
        <v>67</v>
      </c>
      <c r="F117" t="s">
        <v>28</v>
      </c>
      <c r="G117" t="s">
        <v>29</v>
      </c>
      <c r="H117" t="s">
        <v>98</v>
      </c>
      <c r="I117">
        <v>3</v>
      </c>
      <c r="J117">
        <v>0.05</v>
      </c>
      <c r="K117">
        <v>10212.27</v>
      </c>
      <c r="L117">
        <v>2145.29</v>
      </c>
      <c r="M117">
        <v>2025</v>
      </c>
      <c r="N117" t="s">
        <v>615</v>
      </c>
      <c r="O117" t="s">
        <v>625</v>
      </c>
      <c r="P117">
        <v>0.21006984735029527</v>
      </c>
    </row>
    <row r="118" spans="1:16" x14ac:dyDescent="0.3">
      <c r="A118" t="s">
        <v>217</v>
      </c>
      <c r="B118" s="12">
        <v>45739</v>
      </c>
      <c r="C118" t="s">
        <v>111</v>
      </c>
      <c r="D118" t="s">
        <v>39</v>
      </c>
      <c r="E118" t="s">
        <v>47</v>
      </c>
      <c r="F118" t="s">
        <v>23</v>
      </c>
      <c r="G118" t="s">
        <v>58</v>
      </c>
      <c r="H118" t="s">
        <v>78</v>
      </c>
      <c r="I118">
        <v>2</v>
      </c>
      <c r="J118">
        <v>0.2</v>
      </c>
      <c r="K118">
        <v>65881.08</v>
      </c>
      <c r="L118">
        <v>11817.54</v>
      </c>
      <c r="M118">
        <v>2025</v>
      </c>
      <c r="N118" t="s">
        <v>615</v>
      </c>
      <c r="O118" t="s">
        <v>625</v>
      </c>
      <c r="P118">
        <v>0.17937684081681721</v>
      </c>
    </row>
    <row r="119" spans="1:16" x14ac:dyDescent="0.3">
      <c r="A119" t="s">
        <v>218</v>
      </c>
      <c r="B119" s="12">
        <v>45739</v>
      </c>
      <c r="C119" t="s">
        <v>85</v>
      </c>
      <c r="D119" t="s">
        <v>33</v>
      </c>
      <c r="E119" t="s">
        <v>34</v>
      </c>
      <c r="F119" t="s">
        <v>23</v>
      </c>
      <c r="G119" t="s">
        <v>58</v>
      </c>
      <c r="H119" t="s">
        <v>90</v>
      </c>
      <c r="I119">
        <v>1</v>
      </c>
      <c r="J119">
        <v>0.15</v>
      </c>
      <c r="K119">
        <v>25034.400000000001</v>
      </c>
      <c r="L119">
        <v>3612.38</v>
      </c>
      <c r="M119">
        <v>2025</v>
      </c>
      <c r="N119" t="s">
        <v>615</v>
      </c>
      <c r="O119" t="s">
        <v>625</v>
      </c>
      <c r="P119">
        <v>0.14429664781260984</v>
      </c>
    </row>
    <row r="120" spans="1:16" x14ac:dyDescent="0.3">
      <c r="A120" t="s">
        <v>219</v>
      </c>
      <c r="B120" s="12">
        <v>45739</v>
      </c>
      <c r="C120" t="s">
        <v>95</v>
      </c>
      <c r="D120" t="s">
        <v>39</v>
      </c>
      <c r="E120" t="s">
        <v>52</v>
      </c>
      <c r="F120" t="s">
        <v>23</v>
      </c>
      <c r="G120" t="s">
        <v>24</v>
      </c>
      <c r="H120" t="s">
        <v>129</v>
      </c>
      <c r="I120">
        <v>5</v>
      </c>
      <c r="J120">
        <v>0.15</v>
      </c>
      <c r="K120">
        <v>201738.4</v>
      </c>
      <c r="L120">
        <v>39746.699999999997</v>
      </c>
      <c r="M120">
        <v>2025</v>
      </c>
      <c r="N120" t="s">
        <v>615</v>
      </c>
      <c r="O120" t="s">
        <v>625</v>
      </c>
      <c r="P120">
        <v>0.1970209935242869</v>
      </c>
    </row>
    <row r="121" spans="1:16" x14ac:dyDescent="0.3">
      <c r="A121" t="s">
        <v>220</v>
      </c>
      <c r="B121" s="12">
        <v>45739</v>
      </c>
      <c r="C121" t="s">
        <v>20</v>
      </c>
      <c r="D121" t="s">
        <v>33</v>
      </c>
      <c r="E121" t="s">
        <v>140</v>
      </c>
      <c r="F121" t="s">
        <v>28</v>
      </c>
      <c r="G121" t="s">
        <v>92</v>
      </c>
      <c r="H121" t="s">
        <v>93</v>
      </c>
      <c r="I121">
        <v>5</v>
      </c>
      <c r="J121">
        <v>0.05</v>
      </c>
      <c r="K121">
        <v>15528.65</v>
      </c>
      <c r="L121">
        <v>1188.99</v>
      </c>
      <c r="M121">
        <v>2025</v>
      </c>
      <c r="N121" t="s">
        <v>615</v>
      </c>
      <c r="O121" t="s">
        <v>625</v>
      </c>
      <c r="P121">
        <v>7.6567505868185587E-2</v>
      </c>
    </row>
    <row r="122" spans="1:16" x14ac:dyDescent="0.3">
      <c r="A122" t="s">
        <v>221</v>
      </c>
      <c r="B122" s="12">
        <v>45740</v>
      </c>
      <c r="C122" t="s">
        <v>77</v>
      </c>
      <c r="D122" t="s">
        <v>14</v>
      </c>
      <c r="E122" t="s">
        <v>54</v>
      </c>
      <c r="F122" t="s">
        <v>28</v>
      </c>
      <c r="G122" t="s">
        <v>71</v>
      </c>
      <c r="H122" t="s">
        <v>72</v>
      </c>
      <c r="I122">
        <v>6</v>
      </c>
      <c r="J122">
        <v>0.15</v>
      </c>
      <c r="K122">
        <v>11693.16</v>
      </c>
      <c r="L122">
        <v>1663.63</v>
      </c>
      <c r="M122">
        <v>2025</v>
      </c>
      <c r="N122" t="s">
        <v>615</v>
      </c>
      <c r="O122" t="s">
        <v>625</v>
      </c>
      <c r="P122">
        <v>0.14227377372754671</v>
      </c>
    </row>
    <row r="123" spans="1:16" x14ac:dyDescent="0.3">
      <c r="A123" t="s">
        <v>222</v>
      </c>
      <c r="B123" s="12">
        <v>45740</v>
      </c>
      <c r="C123" t="s">
        <v>111</v>
      </c>
      <c r="D123" t="s">
        <v>33</v>
      </c>
      <c r="E123" t="s">
        <v>140</v>
      </c>
      <c r="F123" t="s">
        <v>23</v>
      </c>
      <c r="G123" t="s">
        <v>24</v>
      </c>
      <c r="H123" t="s">
        <v>129</v>
      </c>
      <c r="I123">
        <v>2</v>
      </c>
      <c r="J123">
        <v>0.05</v>
      </c>
      <c r="K123">
        <v>9163.2199999999993</v>
      </c>
      <c r="L123">
        <v>1810.36</v>
      </c>
      <c r="M123">
        <v>2025</v>
      </c>
      <c r="N123" t="s">
        <v>615</v>
      </c>
      <c r="O123" t="s">
        <v>625</v>
      </c>
      <c r="P123">
        <v>0.19756810378884279</v>
      </c>
    </row>
    <row r="124" spans="1:16" x14ac:dyDescent="0.3">
      <c r="A124" t="s">
        <v>223</v>
      </c>
      <c r="B124" s="12">
        <v>45740</v>
      </c>
      <c r="C124" t="s">
        <v>27</v>
      </c>
      <c r="D124" t="s">
        <v>21</v>
      </c>
      <c r="E124" t="s">
        <v>105</v>
      </c>
      <c r="F124" t="s">
        <v>28</v>
      </c>
      <c r="G124" t="s">
        <v>71</v>
      </c>
      <c r="H124" t="s">
        <v>121</v>
      </c>
      <c r="I124">
        <v>3</v>
      </c>
      <c r="J124">
        <v>0.15</v>
      </c>
      <c r="K124">
        <v>1397.07</v>
      </c>
      <c r="L124">
        <v>110.45</v>
      </c>
      <c r="M124">
        <v>2025</v>
      </c>
      <c r="N124" t="s">
        <v>615</v>
      </c>
      <c r="O124" t="s">
        <v>625</v>
      </c>
      <c r="P124">
        <v>7.9058314901901849E-2</v>
      </c>
    </row>
    <row r="125" spans="1:16" x14ac:dyDescent="0.3">
      <c r="A125" t="s">
        <v>224</v>
      </c>
      <c r="B125" s="12">
        <v>45740</v>
      </c>
      <c r="C125" t="s">
        <v>61</v>
      </c>
      <c r="D125" t="s">
        <v>21</v>
      </c>
      <c r="E125" t="s">
        <v>105</v>
      </c>
      <c r="F125" t="s">
        <v>28</v>
      </c>
      <c r="G125" t="s">
        <v>92</v>
      </c>
      <c r="H125" t="s">
        <v>93</v>
      </c>
      <c r="I125">
        <v>1</v>
      </c>
      <c r="J125">
        <v>0.15</v>
      </c>
      <c r="K125">
        <v>1753.49</v>
      </c>
      <c r="L125">
        <v>240.76</v>
      </c>
      <c r="M125">
        <v>2025</v>
      </c>
      <c r="N125" t="s">
        <v>615</v>
      </c>
      <c r="O125" t="s">
        <v>625</v>
      </c>
      <c r="P125">
        <v>0.13730332080593557</v>
      </c>
    </row>
    <row r="126" spans="1:16" x14ac:dyDescent="0.3">
      <c r="A126" t="s">
        <v>225</v>
      </c>
      <c r="B126" s="12">
        <v>45740</v>
      </c>
      <c r="C126" t="s">
        <v>32</v>
      </c>
      <c r="D126" t="s">
        <v>21</v>
      </c>
      <c r="E126" t="s">
        <v>105</v>
      </c>
      <c r="F126" t="s">
        <v>28</v>
      </c>
      <c r="G126" t="s">
        <v>71</v>
      </c>
      <c r="H126" t="s">
        <v>121</v>
      </c>
      <c r="I126">
        <v>4</v>
      </c>
      <c r="J126">
        <v>0.15</v>
      </c>
      <c r="K126">
        <v>6068.08</v>
      </c>
      <c r="L126">
        <v>1120.6199999999999</v>
      </c>
      <c r="M126">
        <v>2025</v>
      </c>
      <c r="N126" t="s">
        <v>615</v>
      </c>
      <c r="O126" t="s">
        <v>625</v>
      </c>
      <c r="P126">
        <v>0.18467455933342999</v>
      </c>
    </row>
    <row r="127" spans="1:16" x14ac:dyDescent="0.3">
      <c r="A127" t="s">
        <v>226</v>
      </c>
      <c r="B127" s="12">
        <v>45741</v>
      </c>
      <c r="C127" t="s">
        <v>77</v>
      </c>
      <c r="D127" t="s">
        <v>21</v>
      </c>
      <c r="E127" t="s">
        <v>105</v>
      </c>
      <c r="F127" t="s">
        <v>23</v>
      </c>
      <c r="G127" t="s">
        <v>58</v>
      </c>
      <c r="H127" t="s">
        <v>59</v>
      </c>
      <c r="I127">
        <v>1</v>
      </c>
      <c r="J127">
        <v>0.05</v>
      </c>
      <c r="K127">
        <v>21535.05</v>
      </c>
      <c r="L127">
        <v>4883.32</v>
      </c>
      <c r="M127">
        <v>2025</v>
      </c>
      <c r="N127" t="s">
        <v>615</v>
      </c>
      <c r="O127" t="s">
        <v>625</v>
      </c>
      <c r="P127">
        <v>0.22676148882867697</v>
      </c>
    </row>
    <row r="128" spans="1:16" x14ac:dyDescent="0.3">
      <c r="A128" t="s">
        <v>227</v>
      </c>
      <c r="B128" s="12">
        <v>45741</v>
      </c>
      <c r="C128" t="s">
        <v>32</v>
      </c>
      <c r="D128" t="s">
        <v>21</v>
      </c>
      <c r="E128" t="s">
        <v>67</v>
      </c>
      <c r="F128" t="s">
        <v>16</v>
      </c>
      <c r="G128" t="s">
        <v>68</v>
      </c>
      <c r="H128" t="s">
        <v>175</v>
      </c>
      <c r="I128">
        <v>7</v>
      </c>
      <c r="J128">
        <v>0.2</v>
      </c>
      <c r="K128">
        <v>48047.02</v>
      </c>
      <c r="L128">
        <v>603.89</v>
      </c>
      <c r="M128">
        <v>2025</v>
      </c>
      <c r="N128" t="s">
        <v>615</v>
      </c>
      <c r="O128" t="s">
        <v>625</v>
      </c>
      <c r="P128">
        <v>1.2568729548679606E-2</v>
      </c>
    </row>
    <row r="129" spans="1:16" x14ac:dyDescent="0.3">
      <c r="A129" t="s">
        <v>228</v>
      </c>
      <c r="B129" s="12">
        <v>45741</v>
      </c>
      <c r="C129" t="s">
        <v>229</v>
      </c>
      <c r="D129" t="s">
        <v>21</v>
      </c>
      <c r="E129" t="s">
        <v>67</v>
      </c>
      <c r="F129" t="s">
        <v>16</v>
      </c>
      <c r="G129" t="s">
        <v>62</v>
      </c>
      <c r="H129" t="s">
        <v>167</v>
      </c>
      <c r="I129">
        <v>2</v>
      </c>
      <c r="J129">
        <v>0.2</v>
      </c>
      <c r="K129">
        <v>13925.84</v>
      </c>
      <c r="L129">
        <v>1399.71</v>
      </c>
      <c r="M129">
        <v>2025</v>
      </c>
      <c r="N129" t="s">
        <v>615</v>
      </c>
      <c r="O129" t="s">
        <v>625</v>
      </c>
      <c r="P129">
        <v>0.10051171060417181</v>
      </c>
    </row>
    <row r="130" spans="1:16" x14ac:dyDescent="0.3">
      <c r="A130" t="s">
        <v>230</v>
      </c>
      <c r="B130" s="12">
        <v>45742</v>
      </c>
      <c r="C130" t="s">
        <v>44</v>
      </c>
      <c r="D130" t="s">
        <v>33</v>
      </c>
      <c r="E130" t="s">
        <v>140</v>
      </c>
      <c r="F130" t="s">
        <v>28</v>
      </c>
      <c r="G130" t="s">
        <v>71</v>
      </c>
      <c r="H130" t="s">
        <v>72</v>
      </c>
      <c r="I130">
        <v>3</v>
      </c>
      <c r="J130">
        <v>0.15</v>
      </c>
      <c r="K130">
        <v>13276.2</v>
      </c>
      <c r="L130">
        <v>2547.2199999999998</v>
      </c>
      <c r="M130">
        <v>2025</v>
      </c>
      <c r="N130" t="s">
        <v>615</v>
      </c>
      <c r="O130" t="s">
        <v>625</v>
      </c>
      <c r="P130">
        <v>0.19186363567888398</v>
      </c>
    </row>
    <row r="131" spans="1:16" x14ac:dyDescent="0.3">
      <c r="A131" t="s">
        <v>231</v>
      </c>
      <c r="B131" s="12">
        <v>45743</v>
      </c>
      <c r="C131" t="s">
        <v>51</v>
      </c>
      <c r="D131" t="s">
        <v>39</v>
      </c>
      <c r="E131" t="s">
        <v>52</v>
      </c>
      <c r="F131" t="s">
        <v>23</v>
      </c>
      <c r="G131" t="s">
        <v>48</v>
      </c>
      <c r="H131" t="s">
        <v>49</v>
      </c>
      <c r="I131">
        <v>1</v>
      </c>
      <c r="J131">
        <v>0.15</v>
      </c>
      <c r="K131">
        <v>41902.07</v>
      </c>
      <c r="L131">
        <v>3695.55</v>
      </c>
      <c r="M131">
        <v>2025</v>
      </c>
      <c r="N131" t="s">
        <v>615</v>
      </c>
      <c r="O131" t="s">
        <v>625</v>
      </c>
      <c r="P131">
        <v>8.8194926885473687E-2</v>
      </c>
    </row>
    <row r="132" spans="1:16" x14ac:dyDescent="0.3">
      <c r="A132" t="s">
        <v>232</v>
      </c>
      <c r="B132" s="12">
        <v>45743</v>
      </c>
      <c r="C132" t="s">
        <v>150</v>
      </c>
      <c r="D132" t="s">
        <v>39</v>
      </c>
      <c r="E132" t="s">
        <v>52</v>
      </c>
      <c r="F132" t="s">
        <v>16</v>
      </c>
      <c r="G132" t="s">
        <v>68</v>
      </c>
      <c r="H132" t="s">
        <v>69</v>
      </c>
      <c r="I132">
        <v>2</v>
      </c>
      <c r="J132">
        <v>0.05</v>
      </c>
      <c r="K132">
        <v>16217.54</v>
      </c>
      <c r="L132">
        <v>2045.53</v>
      </c>
      <c r="M132">
        <v>2025</v>
      </c>
      <c r="N132" t="s">
        <v>615</v>
      </c>
      <c r="O132" t="s">
        <v>625</v>
      </c>
      <c r="P132">
        <v>0.12613072019554136</v>
      </c>
    </row>
    <row r="133" spans="1:16" x14ac:dyDescent="0.3">
      <c r="A133" t="s">
        <v>233</v>
      </c>
      <c r="B133" s="12">
        <v>45743</v>
      </c>
      <c r="C133" t="s">
        <v>13</v>
      </c>
      <c r="D133" t="s">
        <v>39</v>
      </c>
      <c r="E133" t="s">
        <v>40</v>
      </c>
      <c r="F133" t="s">
        <v>16</v>
      </c>
      <c r="G133" t="s">
        <v>62</v>
      </c>
      <c r="H133" t="s">
        <v>167</v>
      </c>
      <c r="I133">
        <v>5</v>
      </c>
      <c r="J133">
        <v>0.2</v>
      </c>
      <c r="K133">
        <v>9174.2000000000007</v>
      </c>
      <c r="L133">
        <v>238.59</v>
      </c>
      <c r="M133">
        <v>2025</v>
      </c>
      <c r="N133" t="s">
        <v>615</v>
      </c>
      <c r="O133" t="s">
        <v>625</v>
      </c>
      <c r="P133">
        <v>2.6006627280852825E-2</v>
      </c>
    </row>
    <row r="134" spans="1:16" x14ac:dyDescent="0.3">
      <c r="A134" t="s">
        <v>234</v>
      </c>
      <c r="B134" s="12">
        <v>45743</v>
      </c>
      <c r="C134" t="s">
        <v>104</v>
      </c>
      <c r="D134" t="s">
        <v>39</v>
      </c>
      <c r="E134" t="s">
        <v>52</v>
      </c>
      <c r="F134" t="s">
        <v>23</v>
      </c>
      <c r="G134" t="s">
        <v>58</v>
      </c>
      <c r="H134" t="s">
        <v>90</v>
      </c>
      <c r="I134">
        <v>6</v>
      </c>
      <c r="J134">
        <v>0.1</v>
      </c>
      <c r="K134">
        <v>78180.899999999994</v>
      </c>
      <c r="L134">
        <v>9081.39</v>
      </c>
      <c r="M134">
        <v>2025</v>
      </c>
      <c r="N134" t="s">
        <v>615</v>
      </c>
      <c r="O134" t="s">
        <v>625</v>
      </c>
      <c r="P134">
        <v>0.11615867814261539</v>
      </c>
    </row>
    <row r="135" spans="1:16" x14ac:dyDescent="0.3">
      <c r="A135" t="s">
        <v>235</v>
      </c>
      <c r="B135" s="12">
        <v>45744</v>
      </c>
      <c r="C135" t="s">
        <v>85</v>
      </c>
      <c r="D135" t="s">
        <v>39</v>
      </c>
      <c r="E135" t="s">
        <v>128</v>
      </c>
      <c r="F135" t="s">
        <v>16</v>
      </c>
      <c r="G135" t="s">
        <v>41</v>
      </c>
      <c r="H135" t="s">
        <v>177</v>
      </c>
      <c r="I135">
        <v>6</v>
      </c>
      <c r="J135">
        <v>0.2</v>
      </c>
      <c r="K135">
        <v>29551.439999999999</v>
      </c>
      <c r="L135">
        <v>1125.8599999999999</v>
      </c>
      <c r="M135">
        <v>2025</v>
      </c>
      <c r="N135" t="s">
        <v>615</v>
      </c>
      <c r="O135" t="s">
        <v>625</v>
      </c>
      <c r="P135">
        <v>3.8098312637218357E-2</v>
      </c>
    </row>
    <row r="136" spans="1:16" x14ac:dyDescent="0.3">
      <c r="A136" t="s">
        <v>236</v>
      </c>
      <c r="B136" s="12">
        <v>45744</v>
      </c>
      <c r="C136" t="s">
        <v>61</v>
      </c>
      <c r="D136" t="s">
        <v>39</v>
      </c>
      <c r="E136" t="s">
        <v>128</v>
      </c>
      <c r="F136" t="s">
        <v>28</v>
      </c>
      <c r="G136" t="s">
        <v>74</v>
      </c>
      <c r="H136" t="s">
        <v>75</v>
      </c>
      <c r="I136">
        <v>4</v>
      </c>
      <c r="J136">
        <v>0.05</v>
      </c>
      <c r="K136">
        <v>7707.84</v>
      </c>
      <c r="L136">
        <v>718.88</v>
      </c>
      <c r="M136">
        <v>2025</v>
      </c>
      <c r="N136" t="s">
        <v>615</v>
      </c>
      <c r="O136" t="s">
        <v>625</v>
      </c>
      <c r="P136">
        <v>9.3266077137044878E-2</v>
      </c>
    </row>
    <row r="137" spans="1:16" x14ac:dyDescent="0.3">
      <c r="A137" t="s">
        <v>237</v>
      </c>
      <c r="B137" s="12">
        <v>45744</v>
      </c>
      <c r="C137" t="s">
        <v>77</v>
      </c>
      <c r="D137" t="s">
        <v>39</v>
      </c>
      <c r="E137" t="s">
        <v>128</v>
      </c>
      <c r="F137" t="s">
        <v>23</v>
      </c>
      <c r="G137" t="s">
        <v>24</v>
      </c>
      <c r="H137" t="s">
        <v>25</v>
      </c>
      <c r="I137">
        <v>4</v>
      </c>
      <c r="J137">
        <v>0.1</v>
      </c>
      <c r="K137">
        <v>172204.79999999999</v>
      </c>
      <c r="L137">
        <v>19884.099999999999</v>
      </c>
      <c r="M137">
        <v>2025</v>
      </c>
      <c r="N137" t="s">
        <v>615</v>
      </c>
      <c r="O137" t="s">
        <v>625</v>
      </c>
      <c r="P137">
        <v>0.11546774538224254</v>
      </c>
    </row>
    <row r="138" spans="1:16" x14ac:dyDescent="0.3">
      <c r="A138" t="s">
        <v>238</v>
      </c>
      <c r="B138" s="12">
        <v>45746</v>
      </c>
      <c r="C138" t="s">
        <v>179</v>
      </c>
      <c r="D138" t="s">
        <v>14</v>
      </c>
      <c r="E138" t="s">
        <v>15</v>
      </c>
      <c r="F138" t="s">
        <v>23</v>
      </c>
      <c r="G138" t="s">
        <v>24</v>
      </c>
      <c r="H138" t="s">
        <v>129</v>
      </c>
      <c r="I138">
        <v>5</v>
      </c>
      <c r="J138">
        <v>0.2</v>
      </c>
      <c r="K138">
        <v>196466.85</v>
      </c>
      <c r="L138">
        <v>11606.58</v>
      </c>
      <c r="M138">
        <v>2025</v>
      </c>
      <c r="N138" t="s">
        <v>615</v>
      </c>
      <c r="O138" t="s">
        <v>625</v>
      </c>
      <c r="P138">
        <v>5.9076531231604716E-2</v>
      </c>
    </row>
    <row r="139" spans="1:16" x14ac:dyDescent="0.3">
      <c r="A139" t="s">
        <v>239</v>
      </c>
      <c r="B139" s="12">
        <v>45746</v>
      </c>
      <c r="C139" t="s">
        <v>135</v>
      </c>
      <c r="D139" t="s">
        <v>39</v>
      </c>
      <c r="E139" t="s">
        <v>40</v>
      </c>
      <c r="F139" t="s">
        <v>16</v>
      </c>
      <c r="G139" t="s">
        <v>41</v>
      </c>
      <c r="H139" t="s">
        <v>42</v>
      </c>
      <c r="I139">
        <v>2</v>
      </c>
      <c r="J139">
        <v>0.05</v>
      </c>
      <c r="K139">
        <v>9864.58</v>
      </c>
      <c r="L139">
        <v>780.33</v>
      </c>
      <c r="M139">
        <v>2025</v>
      </c>
      <c r="N139" t="s">
        <v>615</v>
      </c>
      <c r="O139" t="s">
        <v>625</v>
      </c>
      <c r="P139">
        <v>7.9104229475558008E-2</v>
      </c>
    </row>
    <row r="140" spans="1:16" x14ac:dyDescent="0.3">
      <c r="A140" t="s">
        <v>240</v>
      </c>
      <c r="B140" s="12">
        <v>45751</v>
      </c>
      <c r="C140" t="s">
        <v>77</v>
      </c>
      <c r="D140" t="s">
        <v>33</v>
      </c>
      <c r="E140" t="s">
        <v>45</v>
      </c>
      <c r="F140" t="s">
        <v>23</v>
      </c>
      <c r="G140" t="s">
        <v>48</v>
      </c>
      <c r="H140" t="s">
        <v>124</v>
      </c>
      <c r="I140">
        <v>5</v>
      </c>
      <c r="J140">
        <v>0.15</v>
      </c>
      <c r="K140">
        <v>208332.35</v>
      </c>
      <c r="L140">
        <v>20197.43</v>
      </c>
      <c r="M140">
        <v>2025</v>
      </c>
      <c r="N140" t="s">
        <v>616</v>
      </c>
      <c r="O140" t="s">
        <v>625</v>
      </c>
      <c r="P140">
        <v>9.6948121595133926E-2</v>
      </c>
    </row>
    <row r="141" spans="1:16" x14ac:dyDescent="0.3">
      <c r="A141" t="s">
        <v>241</v>
      </c>
      <c r="B141" s="12">
        <v>45752</v>
      </c>
      <c r="C141" t="s">
        <v>20</v>
      </c>
      <c r="D141" t="s">
        <v>33</v>
      </c>
      <c r="E141" t="s">
        <v>45</v>
      </c>
      <c r="F141" t="s">
        <v>23</v>
      </c>
      <c r="G141" t="s">
        <v>24</v>
      </c>
      <c r="H141" t="s">
        <v>25</v>
      </c>
      <c r="I141">
        <v>3</v>
      </c>
      <c r="J141">
        <v>0.05</v>
      </c>
      <c r="K141">
        <v>85869.03</v>
      </c>
      <c r="L141">
        <v>9042.51</v>
      </c>
      <c r="M141">
        <v>2025</v>
      </c>
      <c r="N141" t="s">
        <v>616</v>
      </c>
      <c r="O141" t="s">
        <v>625</v>
      </c>
      <c r="P141">
        <v>0.10530583610878101</v>
      </c>
    </row>
    <row r="142" spans="1:16" x14ac:dyDescent="0.3">
      <c r="A142" t="s">
        <v>242</v>
      </c>
      <c r="B142" s="12">
        <v>45753</v>
      </c>
      <c r="C142" t="s">
        <v>82</v>
      </c>
      <c r="D142" t="s">
        <v>33</v>
      </c>
      <c r="E142" t="s">
        <v>34</v>
      </c>
      <c r="F142" t="s">
        <v>16</v>
      </c>
      <c r="G142" t="s">
        <v>68</v>
      </c>
      <c r="H142" t="s">
        <v>175</v>
      </c>
      <c r="I142">
        <v>6</v>
      </c>
      <c r="J142">
        <v>0.1</v>
      </c>
      <c r="K142">
        <v>44620.62</v>
      </c>
      <c r="L142">
        <v>9310.11</v>
      </c>
      <c r="M142">
        <v>2025</v>
      </c>
      <c r="N142" t="s">
        <v>616</v>
      </c>
      <c r="O142" t="s">
        <v>625</v>
      </c>
      <c r="P142">
        <v>0.20865039526568657</v>
      </c>
    </row>
    <row r="143" spans="1:16" x14ac:dyDescent="0.3">
      <c r="A143" t="s">
        <v>243</v>
      </c>
      <c r="B143" s="12">
        <v>45754</v>
      </c>
      <c r="C143" t="s">
        <v>77</v>
      </c>
      <c r="D143" t="s">
        <v>21</v>
      </c>
      <c r="E143" t="s">
        <v>57</v>
      </c>
      <c r="F143" t="s">
        <v>23</v>
      </c>
      <c r="G143" t="s">
        <v>58</v>
      </c>
      <c r="H143" t="s">
        <v>78</v>
      </c>
      <c r="I143">
        <v>5</v>
      </c>
      <c r="J143">
        <v>0.1</v>
      </c>
      <c r="K143">
        <v>226275.4</v>
      </c>
      <c r="L143">
        <v>42066.43</v>
      </c>
      <c r="M143">
        <v>2025</v>
      </c>
      <c r="N143" t="s">
        <v>616</v>
      </c>
      <c r="O143" t="s">
        <v>625</v>
      </c>
      <c r="P143">
        <v>0.1859081013667416</v>
      </c>
    </row>
    <row r="144" spans="1:16" x14ac:dyDescent="0.3">
      <c r="A144" t="s">
        <v>244</v>
      </c>
      <c r="B144" s="12">
        <v>45755</v>
      </c>
      <c r="C144" t="s">
        <v>111</v>
      </c>
      <c r="D144" t="s">
        <v>14</v>
      </c>
      <c r="E144" t="s">
        <v>114</v>
      </c>
      <c r="F144" t="s">
        <v>16</v>
      </c>
      <c r="G144" t="s">
        <v>68</v>
      </c>
      <c r="H144" t="s">
        <v>69</v>
      </c>
      <c r="I144">
        <v>6</v>
      </c>
      <c r="J144">
        <v>0</v>
      </c>
      <c r="K144">
        <v>39968.46</v>
      </c>
      <c r="L144">
        <v>4221.55</v>
      </c>
      <c r="M144">
        <v>2025</v>
      </c>
      <c r="N144" t="s">
        <v>616</v>
      </c>
      <c r="O144" t="s">
        <v>625</v>
      </c>
      <c r="P144">
        <v>0.10562203297299921</v>
      </c>
    </row>
    <row r="145" spans="1:16" x14ac:dyDescent="0.3">
      <c r="A145" t="s">
        <v>245</v>
      </c>
      <c r="B145" s="12">
        <v>45755</v>
      </c>
      <c r="C145" t="s">
        <v>143</v>
      </c>
      <c r="D145" t="s">
        <v>33</v>
      </c>
      <c r="E145" t="s">
        <v>140</v>
      </c>
      <c r="F145" t="s">
        <v>23</v>
      </c>
      <c r="G145" t="s">
        <v>48</v>
      </c>
      <c r="H145" t="s">
        <v>118</v>
      </c>
      <c r="I145">
        <v>2</v>
      </c>
      <c r="J145">
        <v>0.05</v>
      </c>
      <c r="K145">
        <v>17912.22</v>
      </c>
      <c r="L145">
        <v>3142.02</v>
      </c>
      <c r="M145">
        <v>2025</v>
      </c>
      <c r="N145" t="s">
        <v>616</v>
      </c>
      <c r="O145" t="s">
        <v>625</v>
      </c>
      <c r="P145">
        <v>0.17541209297340027</v>
      </c>
    </row>
    <row r="146" spans="1:16" x14ac:dyDescent="0.3">
      <c r="A146" t="s">
        <v>246</v>
      </c>
      <c r="B146" s="12">
        <v>45755</v>
      </c>
      <c r="C146" t="s">
        <v>95</v>
      </c>
      <c r="D146" t="s">
        <v>14</v>
      </c>
      <c r="E146" t="s">
        <v>54</v>
      </c>
      <c r="F146" t="s">
        <v>16</v>
      </c>
      <c r="G146" t="s">
        <v>17</v>
      </c>
      <c r="H146" t="s">
        <v>88</v>
      </c>
      <c r="I146">
        <v>4</v>
      </c>
      <c r="J146">
        <v>0.15</v>
      </c>
      <c r="K146">
        <v>23776.44</v>
      </c>
      <c r="L146">
        <v>2568.9899999999998</v>
      </c>
      <c r="M146">
        <v>2025</v>
      </c>
      <c r="N146" t="s">
        <v>616</v>
      </c>
      <c r="O146" t="s">
        <v>625</v>
      </c>
      <c r="P146">
        <v>0.10804771446019673</v>
      </c>
    </row>
    <row r="147" spans="1:16" x14ac:dyDescent="0.3">
      <c r="A147" t="s">
        <v>247</v>
      </c>
      <c r="B147" s="12">
        <v>45756</v>
      </c>
      <c r="C147" t="s">
        <v>51</v>
      </c>
      <c r="D147" t="s">
        <v>14</v>
      </c>
      <c r="E147" t="s">
        <v>114</v>
      </c>
      <c r="F147" t="s">
        <v>23</v>
      </c>
      <c r="G147" t="s">
        <v>35</v>
      </c>
      <c r="H147" t="s">
        <v>155</v>
      </c>
      <c r="I147">
        <v>6</v>
      </c>
      <c r="J147">
        <v>0</v>
      </c>
      <c r="K147">
        <v>266705.21999999997</v>
      </c>
      <c r="L147">
        <v>38698.28</v>
      </c>
      <c r="M147">
        <v>2025</v>
      </c>
      <c r="N147" t="s">
        <v>616</v>
      </c>
      <c r="O147" t="s">
        <v>625</v>
      </c>
      <c r="P147">
        <v>0.14509757251845315</v>
      </c>
    </row>
    <row r="148" spans="1:16" x14ac:dyDescent="0.3">
      <c r="A148" t="s">
        <v>248</v>
      </c>
      <c r="B148" s="12">
        <v>45757</v>
      </c>
      <c r="C148" t="s">
        <v>95</v>
      </c>
      <c r="D148" t="s">
        <v>33</v>
      </c>
      <c r="E148" t="s">
        <v>45</v>
      </c>
      <c r="F148" t="s">
        <v>16</v>
      </c>
      <c r="G148" t="s">
        <v>68</v>
      </c>
      <c r="H148" t="s">
        <v>69</v>
      </c>
      <c r="I148">
        <v>4</v>
      </c>
      <c r="J148">
        <v>0.05</v>
      </c>
      <c r="K148">
        <v>19232.2</v>
      </c>
      <c r="L148">
        <v>4253.8599999999997</v>
      </c>
      <c r="M148">
        <v>2025</v>
      </c>
      <c r="N148" t="s">
        <v>616</v>
      </c>
      <c r="O148" t="s">
        <v>625</v>
      </c>
      <c r="P148">
        <v>0.22118426389076651</v>
      </c>
    </row>
    <row r="149" spans="1:16" x14ac:dyDescent="0.3">
      <c r="A149" t="s">
        <v>249</v>
      </c>
      <c r="B149" s="12">
        <v>45758</v>
      </c>
      <c r="C149" t="s">
        <v>38</v>
      </c>
      <c r="D149" t="s">
        <v>39</v>
      </c>
      <c r="E149" t="s">
        <v>40</v>
      </c>
      <c r="F149" t="s">
        <v>23</v>
      </c>
      <c r="G149" t="s">
        <v>48</v>
      </c>
      <c r="H149" t="s">
        <v>49</v>
      </c>
      <c r="I149">
        <v>7</v>
      </c>
      <c r="J149">
        <v>0</v>
      </c>
      <c r="K149">
        <v>177938.18</v>
      </c>
      <c r="L149">
        <v>28632.84</v>
      </c>
      <c r="M149">
        <v>2025</v>
      </c>
      <c r="N149" t="s">
        <v>616</v>
      </c>
      <c r="O149" t="s">
        <v>625</v>
      </c>
      <c r="P149">
        <v>0.16091453784679602</v>
      </c>
    </row>
    <row r="150" spans="1:16" x14ac:dyDescent="0.3">
      <c r="A150" t="s">
        <v>250</v>
      </c>
      <c r="B150" s="12">
        <v>45758</v>
      </c>
      <c r="C150" t="s">
        <v>77</v>
      </c>
      <c r="D150" t="s">
        <v>14</v>
      </c>
      <c r="E150" t="s">
        <v>15</v>
      </c>
      <c r="F150" t="s">
        <v>23</v>
      </c>
      <c r="G150" t="s">
        <v>58</v>
      </c>
      <c r="H150" t="s">
        <v>90</v>
      </c>
      <c r="I150">
        <v>1</v>
      </c>
      <c r="J150">
        <v>0.05</v>
      </c>
      <c r="K150">
        <v>13925.63</v>
      </c>
      <c r="L150">
        <v>2060.37</v>
      </c>
      <c r="M150">
        <v>2025</v>
      </c>
      <c r="N150" t="s">
        <v>616</v>
      </c>
      <c r="O150" t="s">
        <v>625</v>
      </c>
      <c r="P150">
        <v>0.14795524511278843</v>
      </c>
    </row>
    <row r="151" spans="1:16" x14ac:dyDescent="0.3">
      <c r="A151" t="s">
        <v>251</v>
      </c>
      <c r="B151" s="12">
        <v>45760</v>
      </c>
      <c r="C151" t="s">
        <v>95</v>
      </c>
      <c r="D151" t="s">
        <v>33</v>
      </c>
      <c r="E151" t="s">
        <v>140</v>
      </c>
      <c r="F151" t="s">
        <v>16</v>
      </c>
      <c r="G151" t="s">
        <v>17</v>
      </c>
      <c r="H151" t="s">
        <v>153</v>
      </c>
      <c r="I151">
        <v>6</v>
      </c>
      <c r="J151">
        <v>0.05</v>
      </c>
      <c r="K151">
        <v>42160.32</v>
      </c>
      <c r="L151">
        <v>8373.0300000000007</v>
      </c>
      <c r="M151">
        <v>2025</v>
      </c>
      <c r="N151" t="s">
        <v>616</v>
      </c>
      <c r="O151" t="s">
        <v>625</v>
      </c>
      <c r="P151">
        <v>0.19859977343625476</v>
      </c>
    </row>
    <row r="152" spans="1:16" x14ac:dyDescent="0.3">
      <c r="A152" t="s">
        <v>252</v>
      </c>
      <c r="B152" s="12">
        <v>45760</v>
      </c>
      <c r="C152" t="s">
        <v>61</v>
      </c>
      <c r="D152" t="s">
        <v>21</v>
      </c>
      <c r="E152" t="s">
        <v>67</v>
      </c>
      <c r="F152" t="s">
        <v>16</v>
      </c>
      <c r="G152" t="s">
        <v>62</v>
      </c>
      <c r="H152" t="s">
        <v>167</v>
      </c>
      <c r="I152">
        <v>5</v>
      </c>
      <c r="J152">
        <v>0.1</v>
      </c>
      <c r="K152">
        <v>38714.699999999997</v>
      </c>
      <c r="L152">
        <v>2343.54</v>
      </c>
      <c r="M152">
        <v>2025</v>
      </c>
      <c r="N152" t="s">
        <v>616</v>
      </c>
      <c r="O152" t="s">
        <v>625</v>
      </c>
      <c r="P152">
        <v>6.0533595765949369E-2</v>
      </c>
    </row>
    <row r="153" spans="1:16" x14ac:dyDescent="0.3">
      <c r="A153" t="s">
        <v>253</v>
      </c>
      <c r="B153" s="12">
        <v>45761</v>
      </c>
      <c r="C153" t="s">
        <v>135</v>
      </c>
      <c r="D153" t="s">
        <v>33</v>
      </c>
      <c r="E153" t="s">
        <v>140</v>
      </c>
      <c r="F153" t="s">
        <v>23</v>
      </c>
      <c r="G153" t="s">
        <v>48</v>
      </c>
      <c r="H153" t="s">
        <v>124</v>
      </c>
      <c r="I153">
        <v>3</v>
      </c>
      <c r="J153">
        <v>0</v>
      </c>
      <c r="K153">
        <v>94517.4</v>
      </c>
      <c r="L153">
        <v>19573.95</v>
      </c>
      <c r="M153">
        <v>2025</v>
      </c>
      <c r="N153" t="s">
        <v>616</v>
      </c>
      <c r="O153" t="s">
        <v>625</v>
      </c>
      <c r="P153">
        <v>0.20709361450907454</v>
      </c>
    </row>
    <row r="154" spans="1:16" x14ac:dyDescent="0.3">
      <c r="A154" t="s">
        <v>254</v>
      </c>
      <c r="B154" s="12">
        <v>45761</v>
      </c>
      <c r="C154" t="s">
        <v>32</v>
      </c>
      <c r="D154" t="s">
        <v>33</v>
      </c>
      <c r="E154" t="s">
        <v>34</v>
      </c>
      <c r="F154" t="s">
        <v>28</v>
      </c>
      <c r="G154" t="s">
        <v>92</v>
      </c>
      <c r="H154" t="s">
        <v>93</v>
      </c>
      <c r="I154">
        <v>2</v>
      </c>
      <c r="J154">
        <v>0</v>
      </c>
      <c r="K154">
        <v>6644.1</v>
      </c>
      <c r="L154">
        <v>1158.49</v>
      </c>
      <c r="M154">
        <v>2025</v>
      </c>
      <c r="N154" t="s">
        <v>616</v>
      </c>
      <c r="O154" t="s">
        <v>625</v>
      </c>
      <c r="P154">
        <v>0.17436372119624929</v>
      </c>
    </row>
    <row r="155" spans="1:16" x14ac:dyDescent="0.3">
      <c r="A155" t="s">
        <v>255</v>
      </c>
      <c r="B155" s="12">
        <v>45762</v>
      </c>
      <c r="C155" t="s">
        <v>147</v>
      </c>
      <c r="D155" t="s">
        <v>39</v>
      </c>
      <c r="E155" t="s">
        <v>52</v>
      </c>
      <c r="F155" t="s">
        <v>28</v>
      </c>
      <c r="G155" t="s">
        <v>71</v>
      </c>
      <c r="H155" t="s">
        <v>121</v>
      </c>
      <c r="I155">
        <v>4</v>
      </c>
      <c r="J155">
        <v>0.05</v>
      </c>
      <c r="K155">
        <v>8459.48</v>
      </c>
      <c r="L155">
        <v>1759.93</v>
      </c>
      <c r="M155">
        <v>2025</v>
      </c>
      <c r="N155" t="s">
        <v>616</v>
      </c>
      <c r="O155" t="s">
        <v>625</v>
      </c>
      <c r="P155">
        <v>0.20804233829975366</v>
      </c>
    </row>
    <row r="156" spans="1:16" x14ac:dyDescent="0.3">
      <c r="A156" t="s">
        <v>256</v>
      </c>
      <c r="B156" s="12">
        <v>45763</v>
      </c>
      <c r="C156" t="s">
        <v>77</v>
      </c>
      <c r="D156" t="s">
        <v>14</v>
      </c>
      <c r="E156" t="s">
        <v>97</v>
      </c>
      <c r="F156" t="s">
        <v>28</v>
      </c>
      <c r="G156" t="s">
        <v>74</v>
      </c>
      <c r="H156" t="s">
        <v>159</v>
      </c>
      <c r="I156">
        <v>4</v>
      </c>
      <c r="J156">
        <v>0</v>
      </c>
      <c r="K156">
        <v>7738.92</v>
      </c>
      <c r="L156">
        <v>1177.1099999999999</v>
      </c>
      <c r="M156">
        <v>2025</v>
      </c>
      <c r="N156" t="s">
        <v>616</v>
      </c>
      <c r="O156" t="s">
        <v>625</v>
      </c>
      <c r="P156">
        <v>0.15210261897008884</v>
      </c>
    </row>
    <row r="157" spans="1:16" x14ac:dyDescent="0.3">
      <c r="A157" t="s">
        <v>257</v>
      </c>
      <c r="B157" s="12">
        <v>45763</v>
      </c>
      <c r="C157" t="s">
        <v>150</v>
      </c>
      <c r="D157" t="s">
        <v>21</v>
      </c>
      <c r="E157" t="s">
        <v>105</v>
      </c>
      <c r="F157" t="s">
        <v>28</v>
      </c>
      <c r="G157" t="s">
        <v>92</v>
      </c>
      <c r="H157" t="s">
        <v>204</v>
      </c>
      <c r="I157">
        <v>7</v>
      </c>
      <c r="J157">
        <v>0.2</v>
      </c>
      <c r="K157">
        <v>19154.169999999998</v>
      </c>
      <c r="L157">
        <v>3413.4</v>
      </c>
      <c r="M157">
        <v>2025</v>
      </c>
      <c r="N157" t="s">
        <v>616</v>
      </c>
      <c r="O157" t="s">
        <v>625</v>
      </c>
      <c r="P157">
        <v>0.17820662550243629</v>
      </c>
    </row>
    <row r="158" spans="1:16" x14ac:dyDescent="0.3">
      <c r="A158" t="s">
        <v>258</v>
      </c>
      <c r="B158" s="12">
        <v>45764</v>
      </c>
      <c r="C158" t="s">
        <v>13</v>
      </c>
      <c r="D158" t="s">
        <v>39</v>
      </c>
      <c r="E158" t="s">
        <v>128</v>
      </c>
      <c r="F158" t="s">
        <v>23</v>
      </c>
      <c r="G158" t="s">
        <v>24</v>
      </c>
      <c r="H158" t="s">
        <v>129</v>
      </c>
      <c r="I158">
        <v>7</v>
      </c>
      <c r="J158">
        <v>0.15</v>
      </c>
      <c r="K158">
        <v>98193.13</v>
      </c>
      <c r="L158">
        <v>17978.55</v>
      </c>
      <c r="M158">
        <v>2025</v>
      </c>
      <c r="N158" t="s">
        <v>616</v>
      </c>
      <c r="O158" t="s">
        <v>625</v>
      </c>
      <c r="P158">
        <v>0.1830937663357915</v>
      </c>
    </row>
    <row r="159" spans="1:16" x14ac:dyDescent="0.3">
      <c r="A159" t="s">
        <v>259</v>
      </c>
      <c r="B159" s="12">
        <v>45766</v>
      </c>
      <c r="C159" t="s">
        <v>95</v>
      </c>
      <c r="D159" t="s">
        <v>39</v>
      </c>
      <c r="E159" t="s">
        <v>128</v>
      </c>
      <c r="F159" t="s">
        <v>28</v>
      </c>
      <c r="G159" t="s">
        <v>29</v>
      </c>
      <c r="H159" t="s">
        <v>30</v>
      </c>
      <c r="I159">
        <v>7</v>
      </c>
      <c r="J159">
        <v>0.05</v>
      </c>
      <c r="K159">
        <v>24133.200000000001</v>
      </c>
      <c r="L159">
        <v>3681.34</v>
      </c>
      <c r="M159">
        <v>2025</v>
      </c>
      <c r="N159" t="s">
        <v>616</v>
      </c>
      <c r="O159" t="s">
        <v>625</v>
      </c>
      <c r="P159">
        <v>0.15254255548373197</v>
      </c>
    </row>
    <row r="160" spans="1:16" x14ac:dyDescent="0.3">
      <c r="A160" t="s">
        <v>260</v>
      </c>
      <c r="B160" s="12">
        <v>45767</v>
      </c>
      <c r="C160" t="s">
        <v>85</v>
      </c>
      <c r="D160" t="s">
        <v>21</v>
      </c>
      <c r="E160" t="s">
        <v>57</v>
      </c>
      <c r="F160" t="s">
        <v>23</v>
      </c>
      <c r="G160" t="s">
        <v>24</v>
      </c>
      <c r="H160" t="s">
        <v>129</v>
      </c>
      <c r="I160">
        <v>3</v>
      </c>
      <c r="J160">
        <v>0.05</v>
      </c>
      <c r="K160">
        <v>90266.76</v>
      </c>
      <c r="L160">
        <v>15799.82</v>
      </c>
      <c r="M160">
        <v>2025</v>
      </c>
      <c r="N160" t="s">
        <v>616</v>
      </c>
      <c r="O160" t="s">
        <v>625</v>
      </c>
      <c r="P160">
        <v>0.17503475254900033</v>
      </c>
    </row>
    <row r="161" spans="1:16" x14ac:dyDescent="0.3">
      <c r="A161" t="s">
        <v>261</v>
      </c>
      <c r="B161" s="12">
        <v>45767</v>
      </c>
      <c r="C161" t="s">
        <v>38</v>
      </c>
      <c r="D161" t="s">
        <v>14</v>
      </c>
      <c r="E161" t="s">
        <v>54</v>
      </c>
      <c r="F161" t="s">
        <v>28</v>
      </c>
      <c r="G161" t="s">
        <v>92</v>
      </c>
      <c r="H161" t="s">
        <v>204</v>
      </c>
      <c r="I161">
        <v>1</v>
      </c>
      <c r="J161">
        <v>0.2</v>
      </c>
      <c r="K161">
        <v>4946.24</v>
      </c>
      <c r="L161">
        <v>754.23</v>
      </c>
      <c r="M161">
        <v>2025</v>
      </c>
      <c r="N161" t="s">
        <v>616</v>
      </c>
      <c r="O161" t="s">
        <v>625</v>
      </c>
      <c r="P161">
        <v>0.15248552435789611</v>
      </c>
    </row>
    <row r="162" spans="1:16" x14ac:dyDescent="0.3">
      <c r="A162" t="s">
        <v>262</v>
      </c>
      <c r="B162" s="12">
        <v>45768</v>
      </c>
      <c r="C162" t="s">
        <v>56</v>
      </c>
      <c r="D162" t="s">
        <v>33</v>
      </c>
      <c r="E162" t="s">
        <v>34</v>
      </c>
      <c r="F162" t="s">
        <v>23</v>
      </c>
      <c r="G162" t="s">
        <v>24</v>
      </c>
      <c r="H162" t="s">
        <v>129</v>
      </c>
      <c r="I162">
        <v>4</v>
      </c>
      <c r="J162">
        <v>0.15</v>
      </c>
      <c r="K162">
        <v>119895.08</v>
      </c>
      <c r="L162">
        <v>14815.75</v>
      </c>
      <c r="M162">
        <v>2025</v>
      </c>
      <c r="N162" t="s">
        <v>616</v>
      </c>
      <c r="O162" t="s">
        <v>625</v>
      </c>
      <c r="P162">
        <v>0.12357262700020719</v>
      </c>
    </row>
    <row r="163" spans="1:16" x14ac:dyDescent="0.3">
      <c r="A163" t="s">
        <v>263</v>
      </c>
      <c r="B163" s="12">
        <v>45768</v>
      </c>
      <c r="C163" t="s">
        <v>111</v>
      </c>
      <c r="D163" t="s">
        <v>14</v>
      </c>
      <c r="E163" t="s">
        <v>15</v>
      </c>
      <c r="F163" t="s">
        <v>23</v>
      </c>
      <c r="G163" t="s">
        <v>24</v>
      </c>
      <c r="H163" t="s">
        <v>132</v>
      </c>
      <c r="I163">
        <v>1</v>
      </c>
      <c r="J163">
        <v>0.15</v>
      </c>
      <c r="K163">
        <v>45378.44</v>
      </c>
      <c r="L163">
        <v>1324.46</v>
      </c>
      <c r="M163">
        <v>2025</v>
      </c>
      <c r="N163" t="s">
        <v>616</v>
      </c>
      <c r="O163" t="s">
        <v>625</v>
      </c>
      <c r="P163">
        <v>2.918698835834815E-2</v>
      </c>
    </row>
    <row r="164" spans="1:16" x14ac:dyDescent="0.3">
      <c r="A164" t="s">
        <v>264</v>
      </c>
      <c r="B164" s="12">
        <v>45768</v>
      </c>
      <c r="C164" t="s">
        <v>13</v>
      </c>
      <c r="D164" t="s">
        <v>21</v>
      </c>
      <c r="E164" t="s">
        <v>105</v>
      </c>
      <c r="F164" t="s">
        <v>23</v>
      </c>
      <c r="G164" t="s">
        <v>58</v>
      </c>
      <c r="H164" t="s">
        <v>101</v>
      </c>
      <c r="I164">
        <v>7</v>
      </c>
      <c r="J164">
        <v>0.1</v>
      </c>
      <c r="K164">
        <v>49699.02</v>
      </c>
      <c r="L164">
        <v>3409.38</v>
      </c>
      <c r="M164">
        <v>2025</v>
      </c>
      <c r="N164" t="s">
        <v>616</v>
      </c>
      <c r="O164" t="s">
        <v>625</v>
      </c>
      <c r="P164">
        <v>6.860054785788533E-2</v>
      </c>
    </row>
    <row r="165" spans="1:16" x14ac:dyDescent="0.3">
      <c r="A165" t="s">
        <v>265</v>
      </c>
      <c r="B165" s="12">
        <v>45769</v>
      </c>
      <c r="C165" t="s">
        <v>109</v>
      </c>
      <c r="D165" t="s">
        <v>21</v>
      </c>
      <c r="E165" t="s">
        <v>57</v>
      </c>
      <c r="F165" t="s">
        <v>23</v>
      </c>
      <c r="G165" t="s">
        <v>48</v>
      </c>
      <c r="H165" t="s">
        <v>49</v>
      </c>
      <c r="I165">
        <v>1</v>
      </c>
      <c r="J165">
        <v>0.15</v>
      </c>
      <c r="K165">
        <v>25920.57</v>
      </c>
      <c r="L165">
        <v>3665.31</v>
      </c>
      <c r="M165">
        <v>2025</v>
      </c>
      <c r="N165" t="s">
        <v>616</v>
      </c>
      <c r="O165" t="s">
        <v>625</v>
      </c>
      <c r="P165">
        <v>0.1414054552041101</v>
      </c>
    </row>
    <row r="166" spans="1:16" x14ac:dyDescent="0.3">
      <c r="A166" t="s">
        <v>266</v>
      </c>
      <c r="B166" s="12">
        <v>45769</v>
      </c>
      <c r="C166" t="s">
        <v>85</v>
      </c>
      <c r="D166" t="s">
        <v>14</v>
      </c>
      <c r="E166" t="s">
        <v>15</v>
      </c>
      <c r="F166" t="s">
        <v>23</v>
      </c>
      <c r="G166" t="s">
        <v>58</v>
      </c>
      <c r="H166" t="s">
        <v>59</v>
      </c>
      <c r="I166">
        <v>1</v>
      </c>
      <c r="J166">
        <v>0.05</v>
      </c>
      <c r="K166">
        <v>28067.94</v>
      </c>
      <c r="L166">
        <v>5385.35</v>
      </c>
      <c r="M166">
        <v>2025</v>
      </c>
      <c r="N166" t="s">
        <v>616</v>
      </c>
      <c r="O166" t="s">
        <v>625</v>
      </c>
      <c r="P166">
        <v>0.19186837366760798</v>
      </c>
    </row>
    <row r="167" spans="1:16" x14ac:dyDescent="0.3">
      <c r="A167" t="s">
        <v>267</v>
      </c>
      <c r="B167" s="12">
        <v>45770</v>
      </c>
      <c r="C167" t="s">
        <v>38</v>
      </c>
      <c r="D167" t="s">
        <v>33</v>
      </c>
      <c r="E167" t="s">
        <v>86</v>
      </c>
      <c r="F167" t="s">
        <v>23</v>
      </c>
      <c r="G167" t="s">
        <v>24</v>
      </c>
      <c r="H167" t="s">
        <v>132</v>
      </c>
      <c r="I167">
        <v>5</v>
      </c>
      <c r="J167">
        <v>0.1</v>
      </c>
      <c r="K167">
        <v>175626.95</v>
      </c>
      <c r="L167">
        <v>16822.14</v>
      </c>
      <c r="M167">
        <v>2025</v>
      </c>
      <c r="N167" t="s">
        <v>616</v>
      </c>
      <c r="O167" t="s">
        <v>625</v>
      </c>
      <c r="P167">
        <v>9.5783363544148542E-2</v>
      </c>
    </row>
    <row r="168" spans="1:16" x14ac:dyDescent="0.3">
      <c r="A168" t="s">
        <v>268</v>
      </c>
      <c r="B168" s="12">
        <v>45770</v>
      </c>
      <c r="C168" t="s">
        <v>229</v>
      </c>
      <c r="D168" t="s">
        <v>21</v>
      </c>
      <c r="E168" t="s">
        <v>105</v>
      </c>
      <c r="F168" t="s">
        <v>23</v>
      </c>
      <c r="G168" t="s">
        <v>48</v>
      </c>
      <c r="H168" t="s">
        <v>118</v>
      </c>
      <c r="I168">
        <v>6</v>
      </c>
      <c r="J168">
        <v>0.15</v>
      </c>
      <c r="K168">
        <v>170005.8</v>
      </c>
      <c r="L168">
        <v>9933.06</v>
      </c>
      <c r="M168">
        <v>2025</v>
      </c>
      <c r="N168" t="s">
        <v>616</v>
      </c>
      <c r="O168" t="s">
        <v>625</v>
      </c>
      <c r="P168">
        <v>5.8427771287803125E-2</v>
      </c>
    </row>
    <row r="169" spans="1:16" x14ac:dyDescent="0.3">
      <c r="A169" t="s">
        <v>269</v>
      </c>
      <c r="B169" s="12">
        <v>45771</v>
      </c>
      <c r="C169" t="s">
        <v>38</v>
      </c>
      <c r="D169" t="s">
        <v>33</v>
      </c>
      <c r="E169" t="s">
        <v>34</v>
      </c>
      <c r="F169" t="s">
        <v>23</v>
      </c>
      <c r="G169" t="s">
        <v>35</v>
      </c>
      <c r="H169" t="s">
        <v>36</v>
      </c>
      <c r="I169">
        <v>4</v>
      </c>
      <c r="J169">
        <v>0.2</v>
      </c>
      <c r="K169">
        <v>50568.32</v>
      </c>
      <c r="L169">
        <v>6316.84</v>
      </c>
      <c r="M169">
        <v>2025</v>
      </c>
      <c r="N169" t="s">
        <v>616</v>
      </c>
      <c r="O169" t="s">
        <v>625</v>
      </c>
      <c r="P169">
        <v>0.12491694404718211</v>
      </c>
    </row>
    <row r="170" spans="1:16" x14ac:dyDescent="0.3">
      <c r="A170" t="s">
        <v>270</v>
      </c>
      <c r="B170" s="12">
        <v>45772</v>
      </c>
      <c r="C170" t="s">
        <v>66</v>
      </c>
      <c r="D170" t="s">
        <v>14</v>
      </c>
      <c r="E170" t="s">
        <v>15</v>
      </c>
      <c r="F170" t="s">
        <v>28</v>
      </c>
      <c r="G170" t="s">
        <v>29</v>
      </c>
      <c r="H170" t="s">
        <v>98</v>
      </c>
      <c r="I170">
        <v>2</v>
      </c>
      <c r="J170">
        <v>0.15</v>
      </c>
      <c r="K170">
        <v>5288.4</v>
      </c>
      <c r="L170">
        <v>425.03</v>
      </c>
      <c r="M170">
        <v>2025</v>
      </c>
      <c r="N170" t="s">
        <v>616</v>
      </c>
      <c r="O170" t="s">
        <v>625</v>
      </c>
      <c r="P170">
        <v>8.0370244308297409E-2</v>
      </c>
    </row>
    <row r="171" spans="1:16" x14ac:dyDescent="0.3">
      <c r="A171" t="s">
        <v>271</v>
      </c>
      <c r="B171" s="12">
        <v>45772</v>
      </c>
      <c r="C171" t="s">
        <v>27</v>
      </c>
      <c r="D171" t="s">
        <v>21</v>
      </c>
      <c r="E171" t="s">
        <v>67</v>
      </c>
      <c r="F171" t="s">
        <v>23</v>
      </c>
      <c r="G171" t="s">
        <v>48</v>
      </c>
      <c r="H171" t="s">
        <v>118</v>
      </c>
      <c r="I171">
        <v>7</v>
      </c>
      <c r="J171">
        <v>0.2</v>
      </c>
      <c r="K171">
        <v>46295.97</v>
      </c>
      <c r="L171">
        <v>3204.48</v>
      </c>
      <c r="M171">
        <v>2025</v>
      </c>
      <c r="N171" t="s">
        <v>616</v>
      </c>
      <c r="O171" t="s">
        <v>625</v>
      </c>
      <c r="P171">
        <v>6.921725584321918E-2</v>
      </c>
    </row>
    <row r="172" spans="1:16" x14ac:dyDescent="0.3">
      <c r="A172" t="s">
        <v>272</v>
      </c>
      <c r="B172" s="12">
        <v>45773</v>
      </c>
      <c r="C172" t="s">
        <v>85</v>
      </c>
      <c r="D172" t="s">
        <v>33</v>
      </c>
      <c r="E172" t="s">
        <v>140</v>
      </c>
      <c r="F172" t="s">
        <v>16</v>
      </c>
      <c r="G172" t="s">
        <v>68</v>
      </c>
      <c r="H172" t="s">
        <v>69</v>
      </c>
      <c r="I172">
        <v>1</v>
      </c>
      <c r="J172">
        <v>0.1</v>
      </c>
      <c r="K172">
        <v>4004.98</v>
      </c>
      <c r="L172">
        <v>464.42</v>
      </c>
      <c r="M172">
        <v>2025</v>
      </c>
      <c r="N172" t="s">
        <v>616</v>
      </c>
      <c r="O172" t="s">
        <v>625</v>
      </c>
      <c r="P172">
        <v>0.115960629016874</v>
      </c>
    </row>
    <row r="173" spans="1:16" x14ac:dyDescent="0.3">
      <c r="A173" t="s">
        <v>273</v>
      </c>
      <c r="B173" s="12">
        <v>45773</v>
      </c>
      <c r="C173" t="s">
        <v>100</v>
      </c>
      <c r="D173" t="s">
        <v>39</v>
      </c>
      <c r="E173" t="s">
        <v>52</v>
      </c>
      <c r="F173" t="s">
        <v>28</v>
      </c>
      <c r="G173" t="s">
        <v>74</v>
      </c>
      <c r="H173" t="s">
        <v>80</v>
      </c>
      <c r="I173">
        <v>1</v>
      </c>
      <c r="J173">
        <v>0.15</v>
      </c>
      <c r="K173">
        <v>891.98</v>
      </c>
      <c r="L173">
        <v>112.58</v>
      </c>
      <c r="M173">
        <v>2025</v>
      </c>
      <c r="N173" t="s">
        <v>616</v>
      </c>
      <c r="O173" t="s">
        <v>627</v>
      </c>
      <c r="P173">
        <v>0.12621359223300971</v>
      </c>
    </row>
    <row r="174" spans="1:16" x14ac:dyDescent="0.3">
      <c r="A174" t="s">
        <v>274</v>
      </c>
      <c r="B174" s="12">
        <v>45773</v>
      </c>
      <c r="C174" t="s">
        <v>85</v>
      </c>
      <c r="D174" t="s">
        <v>14</v>
      </c>
      <c r="E174" t="s">
        <v>114</v>
      </c>
      <c r="F174" t="s">
        <v>23</v>
      </c>
      <c r="G174" t="s">
        <v>58</v>
      </c>
      <c r="H174" t="s">
        <v>59</v>
      </c>
      <c r="I174">
        <v>5</v>
      </c>
      <c r="J174">
        <v>0.1</v>
      </c>
      <c r="K174">
        <v>66806.05</v>
      </c>
      <c r="L174">
        <v>9750.1</v>
      </c>
      <c r="M174">
        <v>2025</v>
      </c>
      <c r="N174" t="s">
        <v>616</v>
      </c>
      <c r="O174" t="s">
        <v>625</v>
      </c>
      <c r="P174">
        <v>0.14594636264230559</v>
      </c>
    </row>
    <row r="175" spans="1:16" x14ac:dyDescent="0.3">
      <c r="A175" t="s">
        <v>275</v>
      </c>
      <c r="B175" s="12">
        <v>45773</v>
      </c>
      <c r="C175" t="s">
        <v>109</v>
      </c>
      <c r="D175" t="s">
        <v>33</v>
      </c>
      <c r="E175" t="s">
        <v>86</v>
      </c>
      <c r="F175" t="s">
        <v>28</v>
      </c>
      <c r="G175" t="s">
        <v>29</v>
      </c>
      <c r="H175" t="s">
        <v>30</v>
      </c>
      <c r="I175">
        <v>2</v>
      </c>
      <c r="J175">
        <v>0</v>
      </c>
      <c r="K175">
        <v>8430.2000000000007</v>
      </c>
      <c r="L175">
        <v>730.21</v>
      </c>
      <c r="M175">
        <v>2025</v>
      </c>
      <c r="N175" t="s">
        <v>616</v>
      </c>
      <c r="O175" t="s">
        <v>625</v>
      </c>
      <c r="P175">
        <v>8.6618348319138339E-2</v>
      </c>
    </row>
    <row r="176" spans="1:16" x14ac:dyDescent="0.3">
      <c r="A176" t="s">
        <v>276</v>
      </c>
      <c r="B176" s="12">
        <v>45774</v>
      </c>
      <c r="C176" t="s">
        <v>95</v>
      </c>
      <c r="D176" t="s">
        <v>14</v>
      </c>
      <c r="E176" t="s">
        <v>15</v>
      </c>
      <c r="F176" t="s">
        <v>16</v>
      </c>
      <c r="G176" t="s">
        <v>62</v>
      </c>
      <c r="H176" t="s">
        <v>167</v>
      </c>
      <c r="I176">
        <v>3</v>
      </c>
      <c r="J176">
        <v>0.15</v>
      </c>
      <c r="K176">
        <v>13694.4</v>
      </c>
      <c r="L176">
        <v>465.02</v>
      </c>
      <c r="M176">
        <v>2025</v>
      </c>
      <c r="N176" t="s">
        <v>616</v>
      </c>
      <c r="O176" t="s">
        <v>625</v>
      </c>
      <c r="P176">
        <v>3.3956945904895432E-2</v>
      </c>
    </row>
    <row r="177" spans="1:16" x14ac:dyDescent="0.3">
      <c r="A177" t="s">
        <v>277</v>
      </c>
      <c r="B177" s="12">
        <v>45774</v>
      </c>
      <c r="C177" t="s">
        <v>95</v>
      </c>
      <c r="D177" t="s">
        <v>21</v>
      </c>
      <c r="E177" t="s">
        <v>57</v>
      </c>
      <c r="F177" t="s">
        <v>23</v>
      </c>
      <c r="G177" t="s">
        <v>24</v>
      </c>
      <c r="H177" t="s">
        <v>25</v>
      </c>
      <c r="I177">
        <v>4</v>
      </c>
      <c r="J177">
        <v>0.05</v>
      </c>
      <c r="K177">
        <v>175089.68</v>
      </c>
      <c r="L177">
        <v>34545.64</v>
      </c>
      <c r="M177">
        <v>2025</v>
      </c>
      <c r="N177" t="s">
        <v>616</v>
      </c>
      <c r="O177" t="s">
        <v>625</v>
      </c>
      <c r="P177">
        <v>0.1973025480428087</v>
      </c>
    </row>
    <row r="178" spans="1:16" x14ac:dyDescent="0.3">
      <c r="A178" t="s">
        <v>278</v>
      </c>
      <c r="B178" s="12">
        <v>45774</v>
      </c>
      <c r="C178" t="s">
        <v>111</v>
      </c>
      <c r="D178" t="s">
        <v>39</v>
      </c>
      <c r="E178" t="s">
        <v>52</v>
      </c>
      <c r="F178" t="s">
        <v>16</v>
      </c>
      <c r="G178" t="s">
        <v>62</v>
      </c>
      <c r="H178" t="s">
        <v>63</v>
      </c>
      <c r="I178">
        <v>2</v>
      </c>
      <c r="J178">
        <v>0.2</v>
      </c>
      <c r="K178">
        <v>1279.56</v>
      </c>
      <c r="L178">
        <v>22.18</v>
      </c>
      <c r="M178">
        <v>2025</v>
      </c>
      <c r="N178" t="s">
        <v>616</v>
      </c>
      <c r="O178" t="s">
        <v>625</v>
      </c>
      <c r="P178">
        <v>1.7334083591234489E-2</v>
      </c>
    </row>
    <row r="179" spans="1:16" x14ac:dyDescent="0.3">
      <c r="A179" t="s">
        <v>279</v>
      </c>
      <c r="B179" s="12">
        <v>45775</v>
      </c>
      <c r="C179" t="s">
        <v>85</v>
      </c>
      <c r="D179" t="s">
        <v>14</v>
      </c>
      <c r="E179" t="s">
        <v>114</v>
      </c>
      <c r="F179" t="s">
        <v>28</v>
      </c>
      <c r="G179" t="s">
        <v>92</v>
      </c>
      <c r="H179" t="s">
        <v>93</v>
      </c>
      <c r="I179">
        <v>1</v>
      </c>
      <c r="J179">
        <v>0.15</v>
      </c>
      <c r="K179">
        <v>2164.12</v>
      </c>
      <c r="L179">
        <v>242.05</v>
      </c>
      <c r="M179">
        <v>2025</v>
      </c>
      <c r="N179" t="s">
        <v>616</v>
      </c>
      <c r="O179" t="s">
        <v>625</v>
      </c>
      <c r="P179">
        <v>0.11184684767942629</v>
      </c>
    </row>
    <row r="180" spans="1:16" x14ac:dyDescent="0.3">
      <c r="A180" t="s">
        <v>280</v>
      </c>
      <c r="B180" s="12">
        <v>45775</v>
      </c>
      <c r="C180" t="s">
        <v>150</v>
      </c>
      <c r="D180" t="s">
        <v>39</v>
      </c>
      <c r="E180" t="s">
        <v>40</v>
      </c>
      <c r="F180" t="s">
        <v>16</v>
      </c>
      <c r="G180" t="s">
        <v>41</v>
      </c>
      <c r="H180" t="s">
        <v>177</v>
      </c>
      <c r="I180">
        <v>6</v>
      </c>
      <c r="J180">
        <v>0.1</v>
      </c>
      <c r="K180">
        <v>69230.52</v>
      </c>
      <c r="L180">
        <v>9669.3799999999992</v>
      </c>
      <c r="M180">
        <v>2025</v>
      </c>
      <c r="N180" t="s">
        <v>616</v>
      </c>
      <c r="O180" t="s">
        <v>625</v>
      </c>
      <c r="P180">
        <v>0.13966932503179233</v>
      </c>
    </row>
    <row r="181" spans="1:16" x14ac:dyDescent="0.3">
      <c r="A181" t="s">
        <v>281</v>
      </c>
      <c r="B181" s="12">
        <v>45777</v>
      </c>
      <c r="C181" t="s">
        <v>111</v>
      </c>
      <c r="D181" t="s">
        <v>39</v>
      </c>
      <c r="E181" t="s">
        <v>47</v>
      </c>
      <c r="F181" t="s">
        <v>16</v>
      </c>
      <c r="G181" t="s">
        <v>41</v>
      </c>
      <c r="H181" t="s">
        <v>42</v>
      </c>
      <c r="I181">
        <v>5</v>
      </c>
      <c r="J181">
        <v>0</v>
      </c>
      <c r="K181">
        <v>33590.15</v>
      </c>
      <c r="L181">
        <v>4068.5</v>
      </c>
      <c r="M181">
        <v>2025</v>
      </c>
      <c r="N181" t="s">
        <v>616</v>
      </c>
      <c r="O181" t="s">
        <v>625</v>
      </c>
      <c r="P181">
        <v>0.12112181696122226</v>
      </c>
    </row>
    <row r="182" spans="1:16" x14ac:dyDescent="0.3">
      <c r="A182" t="s">
        <v>282</v>
      </c>
      <c r="B182" s="12">
        <v>45777</v>
      </c>
      <c r="C182" t="s">
        <v>147</v>
      </c>
      <c r="D182" t="s">
        <v>33</v>
      </c>
      <c r="E182" t="s">
        <v>140</v>
      </c>
      <c r="F182" t="s">
        <v>23</v>
      </c>
      <c r="G182" t="s">
        <v>48</v>
      </c>
      <c r="H182" t="s">
        <v>124</v>
      </c>
      <c r="I182">
        <v>6</v>
      </c>
      <c r="J182">
        <v>0.1</v>
      </c>
      <c r="K182">
        <v>256977.78</v>
      </c>
      <c r="L182">
        <v>19551.490000000002</v>
      </c>
      <c r="M182">
        <v>2025</v>
      </c>
      <c r="N182" t="s">
        <v>616</v>
      </c>
      <c r="O182" t="s">
        <v>625</v>
      </c>
      <c r="P182">
        <v>7.608241459631257E-2</v>
      </c>
    </row>
    <row r="183" spans="1:16" x14ac:dyDescent="0.3">
      <c r="A183" t="s">
        <v>283</v>
      </c>
      <c r="B183" s="12">
        <v>45777</v>
      </c>
      <c r="C183" t="s">
        <v>51</v>
      </c>
      <c r="D183" t="s">
        <v>39</v>
      </c>
      <c r="E183" t="s">
        <v>47</v>
      </c>
      <c r="F183" t="s">
        <v>23</v>
      </c>
      <c r="G183" t="s">
        <v>24</v>
      </c>
      <c r="H183" t="s">
        <v>129</v>
      </c>
      <c r="I183">
        <v>4</v>
      </c>
      <c r="J183">
        <v>0.15</v>
      </c>
      <c r="K183">
        <v>173277.76</v>
      </c>
      <c r="L183">
        <v>20669.259999999998</v>
      </c>
      <c r="M183">
        <v>2025</v>
      </c>
      <c r="N183" t="s">
        <v>616</v>
      </c>
      <c r="O183" t="s">
        <v>625</v>
      </c>
      <c r="P183">
        <v>0.11928397504676883</v>
      </c>
    </row>
    <row r="184" spans="1:16" x14ac:dyDescent="0.3">
      <c r="A184" t="s">
        <v>284</v>
      </c>
      <c r="B184" s="12">
        <v>45777</v>
      </c>
      <c r="C184" t="s">
        <v>82</v>
      </c>
      <c r="D184" t="s">
        <v>14</v>
      </c>
      <c r="E184" t="s">
        <v>54</v>
      </c>
      <c r="F184" t="s">
        <v>16</v>
      </c>
      <c r="G184" t="s">
        <v>62</v>
      </c>
      <c r="H184" t="s">
        <v>63</v>
      </c>
      <c r="I184">
        <v>1</v>
      </c>
      <c r="J184">
        <v>0</v>
      </c>
      <c r="K184">
        <v>5848.14</v>
      </c>
      <c r="L184">
        <v>950.12</v>
      </c>
      <c r="M184">
        <v>2025</v>
      </c>
      <c r="N184" t="s">
        <v>616</v>
      </c>
      <c r="O184" t="s">
        <v>625</v>
      </c>
      <c r="P184">
        <v>0.16246533085733242</v>
      </c>
    </row>
    <row r="185" spans="1:16" x14ac:dyDescent="0.3">
      <c r="A185" t="s">
        <v>285</v>
      </c>
      <c r="B185" s="12">
        <v>45778</v>
      </c>
      <c r="C185" t="s">
        <v>143</v>
      </c>
      <c r="D185" t="s">
        <v>14</v>
      </c>
      <c r="E185" t="s">
        <v>97</v>
      </c>
      <c r="F185" t="s">
        <v>16</v>
      </c>
      <c r="G185" t="s">
        <v>62</v>
      </c>
      <c r="H185" t="s">
        <v>167</v>
      </c>
      <c r="I185">
        <v>3</v>
      </c>
      <c r="J185">
        <v>0.1</v>
      </c>
      <c r="K185">
        <v>10828.56</v>
      </c>
      <c r="L185">
        <v>2082.4699999999998</v>
      </c>
      <c r="M185">
        <v>2025</v>
      </c>
      <c r="N185" t="s">
        <v>617</v>
      </c>
      <c r="O185" t="s">
        <v>625</v>
      </c>
      <c r="P185">
        <v>0.19231273595011708</v>
      </c>
    </row>
    <row r="186" spans="1:16" x14ac:dyDescent="0.3">
      <c r="A186" t="s">
        <v>286</v>
      </c>
      <c r="B186" s="12">
        <v>45779</v>
      </c>
      <c r="C186" t="s">
        <v>109</v>
      </c>
      <c r="D186" t="s">
        <v>39</v>
      </c>
      <c r="E186" t="s">
        <v>128</v>
      </c>
      <c r="F186" t="s">
        <v>16</v>
      </c>
      <c r="G186" t="s">
        <v>17</v>
      </c>
      <c r="H186" t="s">
        <v>18</v>
      </c>
      <c r="I186">
        <v>7</v>
      </c>
      <c r="J186">
        <v>0</v>
      </c>
      <c r="K186">
        <v>71644.37</v>
      </c>
      <c r="L186">
        <v>12357.42</v>
      </c>
      <c r="M186">
        <v>2025</v>
      </c>
      <c r="N186" t="s">
        <v>617</v>
      </c>
      <c r="O186" t="s">
        <v>625</v>
      </c>
      <c r="P186">
        <v>0.17248277847931387</v>
      </c>
    </row>
    <row r="187" spans="1:16" x14ac:dyDescent="0.3">
      <c r="A187" t="s">
        <v>287</v>
      </c>
      <c r="B187" s="12">
        <v>45779</v>
      </c>
      <c r="C187" t="s">
        <v>135</v>
      </c>
      <c r="D187" t="s">
        <v>33</v>
      </c>
      <c r="E187" t="s">
        <v>140</v>
      </c>
      <c r="F187" t="s">
        <v>23</v>
      </c>
      <c r="G187" t="s">
        <v>35</v>
      </c>
      <c r="H187" t="s">
        <v>36</v>
      </c>
      <c r="I187">
        <v>2</v>
      </c>
      <c r="J187">
        <v>0.1</v>
      </c>
      <c r="K187">
        <v>17962.28</v>
      </c>
      <c r="L187">
        <v>1371.3</v>
      </c>
      <c r="M187">
        <v>2025</v>
      </c>
      <c r="N187" t="s">
        <v>617</v>
      </c>
      <c r="O187" t="s">
        <v>625</v>
      </c>
      <c r="P187">
        <v>7.6343314991192651E-2</v>
      </c>
    </row>
    <row r="188" spans="1:16" x14ac:dyDescent="0.3">
      <c r="A188" t="s">
        <v>288</v>
      </c>
      <c r="B188" s="12">
        <v>45781</v>
      </c>
      <c r="C188" t="s">
        <v>100</v>
      </c>
      <c r="D188" t="s">
        <v>39</v>
      </c>
      <c r="E188" t="s">
        <v>40</v>
      </c>
      <c r="F188" t="s">
        <v>23</v>
      </c>
      <c r="G188" t="s">
        <v>58</v>
      </c>
      <c r="H188" t="s">
        <v>59</v>
      </c>
      <c r="I188">
        <v>7</v>
      </c>
      <c r="J188">
        <v>0.2</v>
      </c>
      <c r="K188">
        <v>202552.84</v>
      </c>
      <c r="L188">
        <v>8377.7800000000007</v>
      </c>
      <c r="M188">
        <v>2025</v>
      </c>
      <c r="N188" t="s">
        <v>617</v>
      </c>
      <c r="O188" t="s">
        <v>625</v>
      </c>
      <c r="P188">
        <v>4.136096042889352E-2</v>
      </c>
    </row>
    <row r="189" spans="1:16" x14ac:dyDescent="0.3">
      <c r="A189" t="s">
        <v>289</v>
      </c>
      <c r="B189" s="12">
        <v>45782</v>
      </c>
      <c r="C189" t="s">
        <v>51</v>
      </c>
      <c r="D189" t="s">
        <v>39</v>
      </c>
      <c r="E189" t="s">
        <v>128</v>
      </c>
      <c r="F189" t="s">
        <v>28</v>
      </c>
      <c r="G189" t="s">
        <v>29</v>
      </c>
      <c r="H189" t="s">
        <v>98</v>
      </c>
      <c r="I189">
        <v>3</v>
      </c>
      <c r="J189">
        <v>0.2</v>
      </c>
      <c r="K189">
        <v>9457.6200000000008</v>
      </c>
      <c r="L189">
        <v>1273.27</v>
      </c>
      <c r="M189">
        <v>2025</v>
      </c>
      <c r="N189" t="s">
        <v>617</v>
      </c>
      <c r="O189" t="s">
        <v>625</v>
      </c>
      <c r="P189">
        <v>0.13462900814369788</v>
      </c>
    </row>
    <row r="190" spans="1:16" x14ac:dyDescent="0.3">
      <c r="A190" t="s">
        <v>290</v>
      </c>
      <c r="B190" s="12">
        <v>45782</v>
      </c>
      <c r="C190" t="s">
        <v>138</v>
      </c>
      <c r="D190" t="s">
        <v>33</v>
      </c>
      <c r="E190" t="s">
        <v>86</v>
      </c>
      <c r="F190" t="s">
        <v>16</v>
      </c>
      <c r="G190" t="s">
        <v>62</v>
      </c>
      <c r="H190" t="s">
        <v>167</v>
      </c>
      <c r="I190">
        <v>6</v>
      </c>
      <c r="J190">
        <v>0.15</v>
      </c>
      <c r="K190">
        <v>23050.560000000001</v>
      </c>
      <c r="L190">
        <v>2028.81</v>
      </c>
      <c r="M190">
        <v>2025</v>
      </c>
      <c r="N190" t="s">
        <v>617</v>
      </c>
      <c r="O190" t="s">
        <v>625</v>
      </c>
      <c r="P190">
        <v>8.8015649077506142E-2</v>
      </c>
    </row>
    <row r="191" spans="1:16" x14ac:dyDescent="0.3">
      <c r="A191" t="s">
        <v>291</v>
      </c>
      <c r="B191" s="12">
        <v>45783</v>
      </c>
      <c r="C191" t="s">
        <v>95</v>
      </c>
      <c r="D191" t="s">
        <v>21</v>
      </c>
      <c r="E191" t="s">
        <v>105</v>
      </c>
      <c r="F191" t="s">
        <v>16</v>
      </c>
      <c r="G191" t="s">
        <v>17</v>
      </c>
      <c r="H191" t="s">
        <v>88</v>
      </c>
      <c r="I191">
        <v>5</v>
      </c>
      <c r="J191">
        <v>0.15</v>
      </c>
      <c r="K191">
        <v>30643.55</v>
      </c>
      <c r="L191">
        <v>1263.9000000000001</v>
      </c>
      <c r="M191">
        <v>2025</v>
      </c>
      <c r="N191" t="s">
        <v>617</v>
      </c>
      <c r="O191" t="s">
        <v>625</v>
      </c>
      <c r="P191">
        <v>4.1245221261896878E-2</v>
      </c>
    </row>
    <row r="192" spans="1:16" x14ac:dyDescent="0.3">
      <c r="A192" t="s">
        <v>292</v>
      </c>
      <c r="B192" s="12">
        <v>45784</v>
      </c>
      <c r="C192" t="s">
        <v>100</v>
      </c>
      <c r="D192" t="s">
        <v>39</v>
      </c>
      <c r="E192" t="s">
        <v>128</v>
      </c>
      <c r="F192" t="s">
        <v>28</v>
      </c>
      <c r="G192" t="s">
        <v>74</v>
      </c>
      <c r="H192" t="s">
        <v>75</v>
      </c>
      <c r="I192">
        <v>1</v>
      </c>
      <c r="J192">
        <v>0</v>
      </c>
      <c r="K192">
        <v>3768.36</v>
      </c>
      <c r="L192">
        <v>301.56</v>
      </c>
      <c r="M192">
        <v>2025</v>
      </c>
      <c r="N192" t="s">
        <v>617</v>
      </c>
      <c r="O192" t="s">
        <v>625</v>
      </c>
      <c r="P192">
        <v>8.002420150940992E-2</v>
      </c>
    </row>
    <row r="193" spans="1:16" x14ac:dyDescent="0.3">
      <c r="A193" t="s">
        <v>293</v>
      </c>
      <c r="B193" s="12">
        <v>45784</v>
      </c>
      <c r="C193" t="s">
        <v>135</v>
      </c>
      <c r="D193" t="s">
        <v>14</v>
      </c>
      <c r="E193" t="s">
        <v>114</v>
      </c>
      <c r="F193" t="s">
        <v>16</v>
      </c>
      <c r="G193" t="s">
        <v>41</v>
      </c>
      <c r="H193" t="s">
        <v>177</v>
      </c>
      <c r="I193">
        <v>5</v>
      </c>
      <c r="J193">
        <v>0.15</v>
      </c>
      <c r="K193">
        <v>25188.1</v>
      </c>
      <c r="L193">
        <v>3817.92</v>
      </c>
      <c r="M193">
        <v>2025</v>
      </c>
      <c r="N193" t="s">
        <v>617</v>
      </c>
      <c r="O193" t="s">
        <v>625</v>
      </c>
      <c r="P193">
        <v>0.15157633962069392</v>
      </c>
    </row>
    <row r="194" spans="1:16" x14ac:dyDescent="0.3">
      <c r="A194" t="s">
        <v>294</v>
      </c>
      <c r="B194" s="12">
        <v>45785</v>
      </c>
      <c r="C194" t="s">
        <v>104</v>
      </c>
      <c r="D194" t="s">
        <v>14</v>
      </c>
      <c r="E194" t="s">
        <v>15</v>
      </c>
      <c r="F194" t="s">
        <v>28</v>
      </c>
      <c r="G194" t="s">
        <v>71</v>
      </c>
      <c r="H194" t="s">
        <v>72</v>
      </c>
      <c r="I194">
        <v>1</v>
      </c>
      <c r="J194">
        <v>0.15</v>
      </c>
      <c r="K194">
        <v>555.85</v>
      </c>
      <c r="L194">
        <v>83.26</v>
      </c>
      <c r="M194">
        <v>2025</v>
      </c>
      <c r="N194" t="s">
        <v>617</v>
      </c>
      <c r="O194" t="s">
        <v>627</v>
      </c>
      <c r="P194">
        <v>0.14978861203562113</v>
      </c>
    </row>
    <row r="195" spans="1:16" x14ac:dyDescent="0.3">
      <c r="A195" t="s">
        <v>295</v>
      </c>
      <c r="B195" s="12">
        <v>45785</v>
      </c>
      <c r="C195" t="s">
        <v>27</v>
      </c>
      <c r="D195" t="s">
        <v>33</v>
      </c>
      <c r="E195" t="s">
        <v>140</v>
      </c>
      <c r="F195" t="s">
        <v>28</v>
      </c>
      <c r="G195" t="s">
        <v>92</v>
      </c>
      <c r="H195" t="s">
        <v>93</v>
      </c>
      <c r="I195">
        <v>7</v>
      </c>
      <c r="J195">
        <v>0.1</v>
      </c>
      <c r="K195">
        <v>31035.759999999998</v>
      </c>
      <c r="L195">
        <v>4634.03</v>
      </c>
      <c r="M195">
        <v>2025</v>
      </c>
      <c r="N195" t="s">
        <v>617</v>
      </c>
      <c r="O195" t="s">
        <v>625</v>
      </c>
      <c r="P195">
        <v>0.14931259940146463</v>
      </c>
    </row>
    <row r="196" spans="1:16" x14ac:dyDescent="0.3">
      <c r="A196" t="s">
        <v>296</v>
      </c>
      <c r="B196" s="12">
        <v>45787</v>
      </c>
      <c r="C196" t="s">
        <v>109</v>
      </c>
      <c r="D196" t="s">
        <v>14</v>
      </c>
      <c r="E196" t="s">
        <v>97</v>
      </c>
      <c r="F196" t="s">
        <v>23</v>
      </c>
      <c r="G196" t="s">
        <v>48</v>
      </c>
      <c r="H196" t="s">
        <v>118</v>
      </c>
      <c r="I196">
        <v>4</v>
      </c>
      <c r="J196">
        <v>0</v>
      </c>
      <c r="K196">
        <v>133449.96</v>
      </c>
      <c r="L196">
        <v>33259.96</v>
      </c>
      <c r="M196">
        <v>2025</v>
      </c>
      <c r="N196" t="s">
        <v>617</v>
      </c>
      <c r="O196" t="s">
        <v>625</v>
      </c>
      <c r="P196">
        <v>0.24923169703460385</v>
      </c>
    </row>
    <row r="197" spans="1:16" x14ac:dyDescent="0.3">
      <c r="A197" t="s">
        <v>297</v>
      </c>
      <c r="B197" s="12">
        <v>45789</v>
      </c>
      <c r="C197" t="s">
        <v>111</v>
      </c>
      <c r="D197" t="s">
        <v>39</v>
      </c>
      <c r="E197" t="s">
        <v>52</v>
      </c>
      <c r="F197" t="s">
        <v>23</v>
      </c>
      <c r="G197" t="s">
        <v>48</v>
      </c>
      <c r="H197" t="s">
        <v>118</v>
      </c>
      <c r="I197">
        <v>3</v>
      </c>
      <c r="J197">
        <v>0.05</v>
      </c>
      <c r="K197">
        <v>121638.06</v>
      </c>
      <c r="L197">
        <v>25755.82</v>
      </c>
      <c r="M197">
        <v>2025</v>
      </c>
      <c r="N197" t="s">
        <v>617</v>
      </c>
      <c r="O197" t="s">
        <v>625</v>
      </c>
      <c r="P197">
        <v>0.21174145658028418</v>
      </c>
    </row>
    <row r="198" spans="1:16" x14ac:dyDescent="0.3">
      <c r="A198" t="s">
        <v>298</v>
      </c>
      <c r="B198" s="12">
        <v>45790</v>
      </c>
      <c r="C198" t="s">
        <v>82</v>
      </c>
      <c r="D198" t="s">
        <v>21</v>
      </c>
      <c r="E198" t="s">
        <v>67</v>
      </c>
      <c r="F198" t="s">
        <v>28</v>
      </c>
      <c r="G198" t="s">
        <v>92</v>
      </c>
      <c r="H198" t="s">
        <v>204</v>
      </c>
      <c r="I198">
        <v>4</v>
      </c>
      <c r="J198">
        <v>0.15</v>
      </c>
      <c r="K198">
        <v>11071.84</v>
      </c>
      <c r="L198">
        <v>1766.82</v>
      </c>
      <c r="M198">
        <v>2025</v>
      </c>
      <c r="N198" t="s">
        <v>617</v>
      </c>
      <c r="O198" t="s">
        <v>625</v>
      </c>
      <c r="P198">
        <v>0.15957781181808986</v>
      </c>
    </row>
    <row r="199" spans="1:16" x14ac:dyDescent="0.3">
      <c r="A199" t="s">
        <v>299</v>
      </c>
      <c r="B199" s="12">
        <v>45791</v>
      </c>
      <c r="C199" t="s">
        <v>56</v>
      </c>
      <c r="D199" t="s">
        <v>33</v>
      </c>
      <c r="E199" t="s">
        <v>34</v>
      </c>
      <c r="F199" t="s">
        <v>16</v>
      </c>
      <c r="G199" t="s">
        <v>68</v>
      </c>
      <c r="H199" t="s">
        <v>83</v>
      </c>
      <c r="I199">
        <v>7</v>
      </c>
      <c r="J199">
        <v>0.1</v>
      </c>
      <c r="K199">
        <v>40691.49</v>
      </c>
      <c r="L199">
        <v>2891.93</v>
      </c>
      <c r="M199">
        <v>2025</v>
      </c>
      <c r="N199" t="s">
        <v>617</v>
      </c>
      <c r="O199" t="s">
        <v>625</v>
      </c>
      <c r="P199">
        <v>7.1069651172763648E-2</v>
      </c>
    </row>
    <row r="200" spans="1:16" x14ac:dyDescent="0.3">
      <c r="A200" t="s">
        <v>300</v>
      </c>
      <c r="B200" s="12">
        <v>45791</v>
      </c>
      <c r="C200" t="s">
        <v>66</v>
      </c>
      <c r="D200" t="s">
        <v>33</v>
      </c>
      <c r="E200" t="s">
        <v>86</v>
      </c>
      <c r="F200" t="s">
        <v>23</v>
      </c>
      <c r="G200" t="s">
        <v>58</v>
      </c>
      <c r="H200" t="s">
        <v>101</v>
      </c>
      <c r="I200">
        <v>2</v>
      </c>
      <c r="J200">
        <v>0</v>
      </c>
      <c r="K200">
        <v>82948</v>
      </c>
      <c r="L200">
        <v>7879.59</v>
      </c>
      <c r="M200">
        <v>2025</v>
      </c>
      <c r="N200" t="s">
        <v>617</v>
      </c>
      <c r="O200" t="s">
        <v>625</v>
      </c>
      <c r="P200">
        <v>9.4994333799488836E-2</v>
      </c>
    </row>
    <row r="201" spans="1:16" x14ac:dyDescent="0.3">
      <c r="A201" t="s">
        <v>301</v>
      </c>
      <c r="B201" s="12">
        <v>45792</v>
      </c>
      <c r="C201" t="s">
        <v>32</v>
      </c>
      <c r="D201" t="s">
        <v>14</v>
      </c>
      <c r="E201" t="s">
        <v>15</v>
      </c>
      <c r="F201" t="s">
        <v>28</v>
      </c>
      <c r="G201" t="s">
        <v>71</v>
      </c>
      <c r="H201" t="s">
        <v>121</v>
      </c>
      <c r="I201">
        <v>1</v>
      </c>
      <c r="J201">
        <v>0.2</v>
      </c>
      <c r="K201">
        <v>1774.73</v>
      </c>
      <c r="L201">
        <v>241.15</v>
      </c>
      <c r="M201">
        <v>2025</v>
      </c>
      <c r="N201" t="s">
        <v>617</v>
      </c>
      <c r="O201" t="s">
        <v>625</v>
      </c>
      <c r="P201">
        <v>0.1358798239732241</v>
      </c>
    </row>
    <row r="202" spans="1:16" x14ac:dyDescent="0.3">
      <c r="A202" t="s">
        <v>302</v>
      </c>
      <c r="B202" s="12">
        <v>45794</v>
      </c>
      <c r="C202" t="s">
        <v>150</v>
      </c>
      <c r="D202" t="s">
        <v>14</v>
      </c>
      <c r="E202" t="s">
        <v>97</v>
      </c>
      <c r="F202" t="s">
        <v>28</v>
      </c>
      <c r="G202" t="s">
        <v>74</v>
      </c>
      <c r="H202" t="s">
        <v>75</v>
      </c>
      <c r="I202">
        <v>4</v>
      </c>
      <c r="J202">
        <v>0.2</v>
      </c>
      <c r="K202">
        <v>5749.8</v>
      </c>
      <c r="L202">
        <v>494.15</v>
      </c>
      <c r="M202">
        <v>2025</v>
      </c>
      <c r="N202" t="s">
        <v>617</v>
      </c>
      <c r="O202" t="s">
        <v>625</v>
      </c>
      <c r="P202">
        <v>8.5942119725903501E-2</v>
      </c>
    </row>
    <row r="203" spans="1:16" x14ac:dyDescent="0.3">
      <c r="A203" t="s">
        <v>303</v>
      </c>
      <c r="B203" s="12">
        <v>45795</v>
      </c>
      <c r="C203" t="s">
        <v>51</v>
      </c>
      <c r="D203" t="s">
        <v>33</v>
      </c>
      <c r="E203" t="s">
        <v>45</v>
      </c>
      <c r="F203" t="s">
        <v>28</v>
      </c>
      <c r="G203" t="s">
        <v>29</v>
      </c>
      <c r="H203" t="s">
        <v>98</v>
      </c>
      <c r="I203">
        <v>3</v>
      </c>
      <c r="J203">
        <v>0</v>
      </c>
      <c r="K203">
        <v>3062.43</v>
      </c>
      <c r="L203">
        <v>549.38</v>
      </c>
      <c r="M203">
        <v>2025</v>
      </c>
      <c r="N203" t="s">
        <v>617</v>
      </c>
      <c r="O203" t="s">
        <v>625</v>
      </c>
      <c r="P203">
        <v>0.17939348817768896</v>
      </c>
    </row>
    <row r="204" spans="1:16" x14ac:dyDescent="0.3">
      <c r="A204" t="s">
        <v>304</v>
      </c>
      <c r="B204" s="12">
        <v>45796</v>
      </c>
      <c r="C204" t="s">
        <v>82</v>
      </c>
      <c r="D204" t="s">
        <v>39</v>
      </c>
      <c r="E204" t="s">
        <v>128</v>
      </c>
      <c r="F204" t="s">
        <v>16</v>
      </c>
      <c r="G204" t="s">
        <v>17</v>
      </c>
      <c r="H204" t="s">
        <v>18</v>
      </c>
      <c r="I204">
        <v>1</v>
      </c>
      <c r="J204">
        <v>0.05</v>
      </c>
      <c r="K204">
        <v>4320.3599999999997</v>
      </c>
      <c r="L204">
        <v>760.55</v>
      </c>
      <c r="M204">
        <v>2025</v>
      </c>
      <c r="N204" t="s">
        <v>617</v>
      </c>
      <c r="O204" t="s">
        <v>625</v>
      </c>
      <c r="P204">
        <v>0.17603857085983576</v>
      </c>
    </row>
    <row r="205" spans="1:16" x14ac:dyDescent="0.3">
      <c r="A205" t="s">
        <v>305</v>
      </c>
      <c r="B205" s="12">
        <v>45796</v>
      </c>
      <c r="C205" t="s">
        <v>66</v>
      </c>
      <c r="D205" t="s">
        <v>14</v>
      </c>
      <c r="E205" t="s">
        <v>97</v>
      </c>
      <c r="F205" t="s">
        <v>23</v>
      </c>
      <c r="G205" t="s">
        <v>58</v>
      </c>
      <c r="H205" t="s">
        <v>59</v>
      </c>
      <c r="I205">
        <v>3</v>
      </c>
      <c r="J205">
        <v>0.1</v>
      </c>
      <c r="K205">
        <v>117880.53</v>
      </c>
      <c r="L205">
        <v>22945.86</v>
      </c>
      <c r="M205">
        <v>2025</v>
      </c>
      <c r="N205" t="s">
        <v>617</v>
      </c>
      <c r="O205" t="s">
        <v>625</v>
      </c>
      <c r="P205">
        <v>0.19465351911804266</v>
      </c>
    </row>
    <row r="206" spans="1:16" x14ac:dyDescent="0.3">
      <c r="A206" t="s">
        <v>306</v>
      </c>
      <c r="B206" s="12">
        <v>45797</v>
      </c>
      <c r="C206" t="s">
        <v>143</v>
      </c>
      <c r="D206" t="s">
        <v>39</v>
      </c>
      <c r="E206" t="s">
        <v>128</v>
      </c>
      <c r="F206" t="s">
        <v>16</v>
      </c>
      <c r="G206" t="s">
        <v>62</v>
      </c>
      <c r="H206" t="s">
        <v>167</v>
      </c>
      <c r="I206">
        <v>5</v>
      </c>
      <c r="J206">
        <v>0</v>
      </c>
      <c r="K206">
        <v>8916.6</v>
      </c>
      <c r="L206">
        <v>1000.03</v>
      </c>
      <c r="M206">
        <v>2025</v>
      </c>
      <c r="N206" t="s">
        <v>617</v>
      </c>
      <c r="O206" t="s">
        <v>625</v>
      </c>
      <c r="P206">
        <v>0.11215373572886525</v>
      </c>
    </row>
    <row r="207" spans="1:16" x14ac:dyDescent="0.3">
      <c r="A207" t="s">
        <v>307</v>
      </c>
      <c r="B207" s="12">
        <v>45800</v>
      </c>
      <c r="C207" t="s">
        <v>32</v>
      </c>
      <c r="D207" t="s">
        <v>39</v>
      </c>
      <c r="E207" t="s">
        <v>47</v>
      </c>
      <c r="F207" t="s">
        <v>16</v>
      </c>
      <c r="G207" t="s">
        <v>62</v>
      </c>
      <c r="H207" t="s">
        <v>63</v>
      </c>
      <c r="I207">
        <v>4</v>
      </c>
      <c r="J207">
        <v>0.1</v>
      </c>
      <c r="K207">
        <v>11484.56</v>
      </c>
      <c r="L207">
        <v>969.65</v>
      </c>
      <c r="M207">
        <v>2025</v>
      </c>
      <c r="N207" t="s">
        <v>617</v>
      </c>
      <c r="O207" t="s">
        <v>625</v>
      </c>
      <c r="P207">
        <v>8.443074876181586E-2</v>
      </c>
    </row>
    <row r="208" spans="1:16" x14ac:dyDescent="0.3">
      <c r="A208" t="s">
        <v>308</v>
      </c>
      <c r="B208" s="12">
        <v>45802</v>
      </c>
      <c r="C208" t="s">
        <v>138</v>
      </c>
      <c r="D208" t="s">
        <v>14</v>
      </c>
      <c r="E208" t="s">
        <v>54</v>
      </c>
      <c r="F208" t="s">
        <v>23</v>
      </c>
      <c r="G208" t="s">
        <v>48</v>
      </c>
      <c r="H208" t="s">
        <v>49</v>
      </c>
      <c r="I208">
        <v>3</v>
      </c>
      <c r="J208">
        <v>0.1</v>
      </c>
      <c r="K208">
        <v>144429.78</v>
      </c>
      <c r="L208">
        <v>15213.17</v>
      </c>
      <c r="M208">
        <v>2025</v>
      </c>
      <c r="N208" t="s">
        <v>617</v>
      </c>
      <c r="O208" t="s">
        <v>625</v>
      </c>
      <c r="P208">
        <v>0.1053326398475439</v>
      </c>
    </row>
    <row r="209" spans="1:16" x14ac:dyDescent="0.3">
      <c r="A209" t="s">
        <v>309</v>
      </c>
      <c r="B209" s="12">
        <v>45802</v>
      </c>
      <c r="C209" t="s">
        <v>27</v>
      </c>
      <c r="D209" t="s">
        <v>14</v>
      </c>
      <c r="E209" t="s">
        <v>97</v>
      </c>
      <c r="F209" t="s">
        <v>28</v>
      </c>
      <c r="G209" t="s">
        <v>74</v>
      </c>
      <c r="H209" t="s">
        <v>159</v>
      </c>
      <c r="I209">
        <v>1</v>
      </c>
      <c r="J209">
        <v>0.2</v>
      </c>
      <c r="K209">
        <v>2114.91</v>
      </c>
      <c r="L209">
        <v>267.33</v>
      </c>
      <c r="M209">
        <v>2025</v>
      </c>
      <c r="N209" t="s">
        <v>617</v>
      </c>
      <c r="O209" t="s">
        <v>625</v>
      </c>
      <c r="P209">
        <v>0.12640254195213982</v>
      </c>
    </row>
    <row r="210" spans="1:16" x14ac:dyDescent="0.3">
      <c r="A210" t="s">
        <v>310</v>
      </c>
      <c r="B210" s="12">
        <v>45804</v>
      </c>
      <c r="C210" t="s">
        <v>13</v>
      </c>
      <c r="D210" t="s">
        <v>39</v>
      </c>
      <c r="E210" t="s">
        <v>52</v>
      </c>
      <c r="F210" t="s">
        <v>28</v>
      </c>
      <c r="G210" t="s">
        <v>74</v>
      </c>
      <c r="H210" t="s">
        <v>75</v>
      </c>
      <c r="I210">
        <v>5</v>
      </c>
      <c r="J210">
        <v>0</v>
      </c>
      <c r="K210">
        <v>24607.45</v>
      </c>
      <c r="L210">
        <v>3310.35</v>
      </c>
      <c r="M210">
        <v>2025</v>
      </c>
      <c r="N210" t="s">
        <v>617</v>
      </c>
      <c r="O210" t="s">
        <v>625</v>
      </c>
      <c r="P210">
        <v>0.13452633247248291</v>
      </c>
    </row>
    <row r="211" spans="1:16" x14ac:dyDescent="0.3">
      <c r="A211" t="s">
        <v>311</v>
      </c>
      <c r="B211" s="12">
        <v>45804</v>
      </c>
      <c r="C211" t="s">
        <v>150</v>
      </c>
      <c r="D211" t="s">
        <v>21</v>
      </c>
      <c r="E211" t="s">
        <v>57</v>
      </c>
      <c r="F211" t="s">
        <v>23</v>
      </c>
      <c r="G211" t="s">
        <v>48</v>
      </c>
      <c r="H211" t="s">
        <v>49</v>
      </c>
      <c r="I211">
        <v>4</v>
      </c>
      <c r="J211">
        <v>0</v>
      </c>
      <c r="K211">
        <v>111358.08</v>
      </c>
      <c r="L211">
        <v>10252.879999999999</v>
      </c>
      <c r="M211">
        <v>2025</v>
      </c>
      <c r="N211" t="s">
        <v>617</v>
      </c>
      <c r="O211" t="s">
        <v>625</v>
      </c>
      <c r="P211">
        <v>9.2071271343758795E-2</v>
      </c>
    </row>
    <row r="212" spans="1:16" x14ac:dyDescent="0.3">
      <c r="A212" t="s">
        <v>312</v>
      </c>
      <c r="B212" s="12">
        <v>45804</v>
      </c>
      <c r="C212" t="s">
        <v>82</v>
      </c>
      <c r="D212" t="s">
        <v>39</v>
      </c>
      <c r="E212" t="s">
        <v>40</v>
      </c>
      <c r="F212" t="s">
        <v>16</v>
      </c>
      <c r="G212" t="s">
        <v>17</v>
      </c>
      <c r="H212" t="s">
        <v>153</v>
      </c>
      <c r="I212">
        <v>6</v>
      </c>
      <c r="J212">
        <v>0.2</v>
      </c>
      <c r="K212">
        <v>23400.18</v>
      </c>
      <c r="L212">
        <v>3753.98</v>
      </c>
      <c r="M212">
        <v>2025</v>
      </c>
      <c r="N212" t="s">
        <v>617</v>
      </c>
      <c r="O212" t="s">
        <v>625</v>
      </c>
      <c r="P212">
        <v>0.16042526168602123</v>
      </c>
    </row>
    <row r="213" spans="1:16" x14ac:dyDescent="0.3">
      <c r="A213" t="s">
        <v>313</v>
      </c>
      <c r="B213" s="12">
        <v>45806</v>
      </c>
      <c r="C213" t="s">
        <v>66</v>
      </c>
      <c r="D213" t="s">
        <v>21</v>
      </c>
      <c r="E213" t="s">
        <v>105</v>
      </c>
      <c r="F213" t="s">
        <v>16</v>
      </c>
      <c r="G213" t="s">
        <v>68</v>
      </c>
      <c r="H213" t="s">
        <v>83</v>
      </c>
      <c r="I213">
        <v>4</v>
      </c>
      <c r="J213">
        <v>0.05</v>
      </c>
      <c r="K213">
        <v>23819.48</v>
      </c>
      <c r="L213">
        <v>3925.92</v>
      </c>
      <c r="M213">
        <v>2025</v>
      </c>
      <c r="N213" t="s">
        <v>617</v>
      </c>
      <c r="O213" t="s">
        <v>625</v>
      </c>
      <c r="P213">
        <v>0.16481971898630868</v>
      </c>
    </row>
    <row r="214" spans="1:16" x14ac:dyDescent="0.3">
      <c r="A214" t="s">
        <v>314</v>
      </c>
      <c r="B214" s="12">
        <v>45806</v>
      </c>
      <c r="C214" t="s">
        <v>150</v>
      </c>
      <c r="D214" t="s">
        <v>33</v>
      </c>
      <c r="E214" t="s">
        <v>140</v>
      </c>
      <c r="F214" t="s">
        <v>28</v>
      </c>
      <c r="G214" t="s">
        <v>71</v>
      </c>
      <c r="H214" t="s">
        <v>72</v>
      </c>
      <c r="I214">
        <v>1</v>
      </c>
      <c r="J214">
        <v>0.05</v>
      </c>
      <c r="K214">
        <v>3746.82</v>
      </c>
      <c r="L214">
        <v>745.56</v>
      </c>
      <c r="M214">
        <v>2025</v>
      </c>
      <c r="N214" t="s">
        <v>617</v>
      </c>
      <c r="O214" t="s">
        <v>625</v>
      </c>
      <c r="P214">
        <v>0.19898473905872177</v>
      </c>
    </row>
    <row r="215" spans="1:16" x14ac:dyDescent="0.3">
      <c r="A215" t="s">
        <v>315</v>
      </c>
      <c r="B215" s="12">
        <v>45807</v>
      </c>
      <c r="C215" t="s">
        <v>229</v>
      </c>
      <c r="D215" t="s">
        <v>14</v>
      </c>
      <c r="E215" t="s">
        <v>97</v>
      </c>
      <c r="F215" t="s">
        <v>23</v>
      </c>
      <c r="G215" t="s">
        <v>58</v>
      </c>
      <c r="H215" t="s">
        <v>101</v>
      </c>
      <c r="I215">
        <v>5</v>
      </c>
      <c r="J215">
        <v>0</v>
      </c>
      <c r="K215">
        <v>130732.75</v>
      </c>
      <c r="L215">
        <v>31817.99</v>
      </c>
      <c r="M215">
        <v>2025</v>
      </c>
      <c r="N215" t="s">
        <v>617</v>
      </c>
      <c r="O215" t="s">
        <v>625</v>
      </c>
      <c r="P215">
        <v>0.24338193757876278</v>
      </c>
    </row>
    <row r="216" spans="1:16" x14ac:dyDescent="0.3">
      <c r="A216" t="s">
        <v>316</v>
      </c>
      <c r="B216" s="12">
        <v>45809</v>
      </c>
      <c r="C216" t="s">
        <v>109</v>
      </c>
      <c r="D216" t="s">
        <v>14</v>
      </c>
      <c r="E216" t="s">
        <v>54</v>
      </c>
      <c r="F216" t="s">
        <v>23</v>
      </c>
      <c r="G216" t="s">
        <v>58</v>
      </c>
      <c r="H216" t="s">
        <v>78</v>
      </c>
      <c r="I216">
        <v>6</v>
      </c>
      <c r="J216">
        <v>0.15</v>
      </c>
      <c r="K216">
        <v>170663.04000000001</v>
      </c>
      <c r="L216">
        <v>17139.52</v>
      </c>
      <c r="M216">
        <v>2025</v>
      </c>
      <c r="N216" t="s">
        <v>618</v>
      </c>
      <c r="O216" t="s">
        <v>625</v>
      </c>
      <c r="P216">
        <v>0.10042900911644372</v>
      </c>
    </row>
    <row r="217" spans="1:16" x14ac:dyDescent="0.3">
      <c r="A217" t="s">
        <v>317</v>
      </c>
      <c r="B217" s="12">
        <v>45809</v>
      </c>
      <c r="C217" t="s">
        <v>32</v>
      </c>
      <c r="D217" t="s">
        <v>21</v>
      </c>
      <c r="E217" t="s">
        <v>57</v>
      </c>
      <c r="F217" t="s">
        <v>23</v>
      </c>
      <c r="G217" t="s">
        <v>48</v>
      </c>
      <c r="H217" t="s">
        <v>49</v>
      </c>
      <c r="I217">
        <v>6</v>
      </c>
      <c r="J217">
        <v>0.1</v>
      </c>
      <c r="K217">
        <v>287438.64</v>
      </c>
      <c r="L217">
        <v>61692.82</v>
      </c>
      <c r="M217">
        <v>2025</v>
      </c>
      <c r="N217" t="s">
        <v>618</v>
      </c>
      <c r="O217" t="s">
        <v>625</v>
      </c>
      <c r="P217">
        <v>0.21462952927970991</v>
      </c>
    </row>
    <row r="218" spans="1:16" x14ac:dyDescent="0.3">
      <c r="A218" t="s">
        <v>318</v>
      </c>
      <c r="B218" s="12">
        <v>45809</v>
      </c>
      <c r="C218" t="s">
        <v>85</v>
      </c>
      <c r="D218" t="s">
        <v>14</v>
      </c>
      <c r="E218" t="s">
        <v>114</v>
      </c>
      <c r="F218" t="s">
        <v>23</v>
      </c>
      <c r="G218" t="s">
        <v>48</v>
      </c>
      <c r="H218" t="s">
        <v>124</v>
      </c>
      <c r="I218">
        <v>4</v>
      </c>
      <c r="J218">
        <v>0.2</v>
      </c>
      <c r="K218">
        <v>157667.72</v>
      </c>
      <c r="L218">
        <v>22714.33</v>
      </c>
      <c r="M218">
        <v>2025</v>
      </c>
      <c r="N218" t="s">
        <v>618</v>
      </c>
      <c r="O218" t="s">
        <v>625</v>
      </c>
      <c r="P218">
        <v>0.14406455550952346</v>
      </c>
    </row>
    <row r="219" spans="1:16" x14ac:dyDescent="0.3">
      <c r="A219" t="s">
        <v>319</v>
      </c>
      <c r="B219" s="12">
        <v>45809</v>
      </c>
      <c r="C219" t="s">
        <v>38</v>
      </c>
      <c r="D219" t="s">
        <v>14</v>
      </c>
      <c r="E219" t="s">
        <v>114</v>
      </c>
      <c r="F219" t="s">
        <v>28</v>
      </c>
      <c r="G219" t="s">
        <v>71</v>
      </c>
      <c r="H219" t="s">
        <v>72</v>
      </c>
      <c r="I219">
        <v>6</v>
      </c>
      <c r="J219">
        <v>0</v>
      </c>
      <c r="K219">
        <v>22137.599999999999</v>
      </c>
      <c r="L219">
        <v>2786.79</v>
      </c>
      <c r="M219">
        <v>2025</v>
      </c>
      <c r="N219" t="s">
        <v>618</v>
      </c>
      <c r="O219" t="s">
        <v>625</v>
      </c>
      <c r="P219">
        <v>0.12588491977450131</v>
      </c>
    </row>
    <row r="220" spans="1:16" x14ac:dyDescent="0.3">
      <c r="A220" t="s">
        <v>320</v>
      </c>
      <c r="B220" s="12">
        <v>45810</v>
      </c>
      <c r="C220" t="s">
        <v>147</v>
      </c>
      <c r="D220" t="s">
        <v>21</v>
      </c>
      <c r="E220" t="s">
        <v>22</v>
      </c>
      <c r="F220" t="s">
        <v>16</v>
      </c>
      <c r="G220" t="s">
        <v>62</v>
      </c>
      <c r="H220" t="s">
        <v>167</v>
      </c>
      <c r="I220">
        <v>5</v>
      </c>
      <c r="J220">
        <v>0</v>
      </c>
      <c r="K220">
        <v>8394.65</v>
      </c>
      <c r="L220">
        <v>1682.65</v>
      </c>
      <c r="M220">
        <v>2025</v>
      </c>
      <c r="N220" t="s">
        <v>618</v>
      </c>
      <c r="O220" t="s">
        <v>625</v>
      </c>
      <c r="P220">
        <v>0.20044313938043876</v>
      </c>
    </row>
    <row r="221" spans="1:16" x14ac:dyDescent="0.3">
      <c r="A221" t="s">
        <v>321</v>
      </c>
      <c r="B221" s="12">
        <v>45811</v>
      </c>
      <c r="C221" t="s">
        <v>95</v>
      </c>
      <c r="D221" t="s">
        <v>14</v>
      </c>
      <c r="E221" t="s">
        <v>15</v>
      </c>
      <c r="F221" t="s">
        <v>23</v>
      </c>
      <c r="G221" t="s">
        <v>35</v>
      </c>
      <c r="H221" t="s">
        <v>155</v>
      </c>
      <c r="I221">
        <v>6</v>
      </c>
      <c r="J221">
        <v>0.1</v>
      </c>
      <c r="K221">
        <v>232788.36</v>
      </c>
      <c r="L221">
        <v>22655.46</v>
      </c>
      <c r="M221">
        <v>2025</v>
      </c>
      <c r="N221" t="s">
        <v>618</v>
      </c>
      <c r="O221" t="s">
        <v>625</v>
      </c>
      <c r="P221">
        <v>9.7322134147944508E-2</v>
      </c>
    </row>
    <row r="222" spans="1:16" x14ac:dyDescent="0.3">
      <c r="A222" t="s">
        <v>322</v>
      </c>
      <c r="B222" s="12">
        <v>45811</v>
      </c>
      <c r="C222" t="s">
        <v>104</v>
      </c>
      <c r="D222" t="s">
        <v>33</v>
      </c>
      <c r="E222" t="s">
        <v>140</v>
      </c>
      <c r="F222" t="s">
        <v>28</v>
      </c>
      <c r="G222" t="s">
        <v>74</v>
      </c>
      <c r="H222" t="s">
        <v>80</v>
      </c>
      <c r="I222">
        <v>4</v>
      </c>
      <c r="J222">
        <v>0.1</v>
      </c>
      <c r="K222">
        <v>5786.2</v>
      </c>
      <c r="L222">
        <v>1097.6400000000001</v>
      </c>
      <c r="M222">
        <v>2025</v>
      </c>
      <c r="N222" t="s">
        <v>618</v>
      </c>
      <c r="O222" t="s">
        <v>625</v>
      </c>
      <c r="P222">
        <v>0.18969963015450558</v>
      </c>
    </row>
    <row r="223" spans="1:16" x14ac:dyDescent="0.3">
      <c r="A223" t="s">
        <v>323</v>
      </c>
      <c r="B223" s="12">
        <v>45813</v>
      </c>
      <c r="C223" t="s">
        <v>51</v>
      </c>
      <c r="D223" t="s">
        <v>14</v>
      </c>
      <c r="E223" t="s">
        <v>114</v>
      </c>
      <c r="F223" t="s">
        <v>28</v>
      </c>
      <c r="G223" t="s">
        <v>71</v>
      </c>
      <c r="H223" t="s">
        <v>72</v>
      </c>
      <c r="I223">
        <v>6</v>
      </c>
      <c r="J223">
        <v>0.15</v>
      </c>
      <c r="K223">
        <v>3801.48</v>
      </c>
      <c r="L223">
        <v>719.4</v>
      </c>
      <c r="M223">
        <v>2025</v>
      </c>
      <c r="N223" t="s">
        <v>618</v>
      </c>
      <c r="O223" t="s">
        <v>625</v>
      </c>
      <c r="P223">
        <v>0.18924208466176332</v>
      </c>
    </row>
    <row r="224" spans="1:16" x14ac:dyDescent="0.3">
      <c r="A224" t="s">
        <v>324</v>
      </c>
      <c r="B224" s="12">
        <v>45813</v>
      </c>
      <c r="C224" t="s">
        <v>32</v>
      </c>
      <c r="D224" t="s">
        <v>33</v>
      </c>
      <c r="E224" t="s">
        <v>34</v>
      </c>
      <c r="F224" t="s">
        <v>23</v>
      </c>
      <c r="G224" t="s">
        <v>24</v>
      </c>
      <c r="H224" t="s">
        <v>132</v>
      </c>
      <c r="I224">
        <v>2</v>
      </c>
      <c r="J224">
        <v>0.05</v>
      </c>
      <c r="K224">
        <v>61656.84</v>
      </c>
      <c r="L224">
        <v>8045.22</v>
      </c>
      <c r="M224">
        <v>2025</v>
      </c>
      <c r="N224" t="s">
        <v>618</v>
      </c>
      <c r="O224" t="s">
        <v>625</v>
      </c>
      <c r="P224">
        <v>0.13048381980004167</v>
      </c>
    </row>
    <row r="225" spans="1:16" x14ac:dyDescent="0.3">
      <c r="A225" t="s">
        <v>325</v>
      </c>
      <c r="B225" s="12">
        <v>45814</v>
      </c>
      <c r="C225" t="s">
        <v>143</v>
      </c>
      <c r="D225" t="s">
        <v>14</v>
      </c>
      <c r="E225" t="s">
        <v>15</v>
      </c>
      <c r="F225" t="s">
        <v>16</v>
      </c>
      <c r="G225" t="s">
        <v>41</v>
      </c>
      <c r="H225" t="s">
        <v>177</v>
      </c>
      <c r="I225">
        <v>4</v>
      </c>
      <c r="J225">
        <v>0.1</v>
      </c>
      <c r="K225">
        <v>36107.199999999997</v>
      </c>
      <c r="L225">
        <v>6465.41</v>
      </c>
      <c r="M225">
        <v>2025</v>
      </c>
      <c r="N225" t="s">
        <v>618</v>
      </c>
      <c r="O225" t="s">
        <v>625</v>
      </c>
      <c r="P225">
        <v>0.1790615168165906</v>
      </c>
    </row>
    <row r="226" spans="1:16" x14ac:dyDescent="0.3">
      <c r="A226" t="s">
        <v>326</v>
      </c>
      <c r="B226" s="12">
        <v>45814</v>
      </c>
      <c r="C226" t="s">
        <v>20</v>
      </c>
      <c r="D226" t="s">
        <v>14</v>
      </c>
      <c r="E226" t="s">
        <v>97</v>
      </c>
      <c r="F226" t="s">
        <v>23</v>
      </c>
      <c r="G226" t="s">
        <v>35</v>
      </c>
      <c r="H226" t="s">
        <v>155</v>
      </c>
      <c r="I226">
        <v>4</v>
      </c>
      <c r="J226">
        <v>0.15</v>
      </c>
      <c r="K226">
        <v>136320.72</v>
      </c>
      <c r="L226">
        <v>6164.18</v>
      </c>
      <c r="M226">
        <v>2025</v>
      </c>
      <c r="N226" t="s">
        <v>618</v>
      </c>
      <c r="O226" t="s">
        <v>625</v>
      </c>
      <c r="P226">
        <v>4.5218217744155111E-2</v>
      </c>
    </row>
    <row r="227" spans="1:16" x14ac:dyDescent="0.3">
      <c r="A227" t="s">
        <v>327</v>
      </c>
      <c r="B227" s="12">
        <v>45815</v>
      </c>
      <c r="C227" t="s">
        <v>77</v>
      </c>
      <c r="D227" t="s">
        <v>39</v>
      </c>
      <c r="E227" t="s">
        <v>40</v>
      </c>
      <c r="F227" t="s">
        <v>28</v>
      </c>
      <c r="G227" t="s">
        <v>29</v>
      </c>
      <c r="H227" t="s">
        <v>98</v>
      </c>
      <c r="I227">
        <v>5</v>
      </c>
      <c r="J227">
        <v>0.1</v>
      </c>
      <c r="K227">
        <v>9754.2999999999993</v>
      </c>
      <c r="L227">
        <v>547.9</v>
      </c>
      <c r="M227">
        <v>2025</v>
      </c>
      <c r="N227" t="s">
        <v>618</v>
      </c>
      <c r="O227" t="s">
        <v>625</v>
      </c>
      <c r="P227">
        <v>5.6170099340803546E-2</v>
      </c>
    </row>
    <row r="228" spans="1:16" x14ac:dyDescent="0.3">
      <c r="A228" t="s">
        <v>328</v>
      </c>
      <c r="B228" s="12">
        <v>45815</v>
      </c>
      <c r="C228" t="s">
        <v>20</v>
      </c>
      <c r="D228" t="s">
        <v>14</v>
      </c>
      <c r="E228" t="s">
        <v>54</v>
      </c>
      <c r="F228" t="s">
        <v>28</v>
      </c>
      <c r="G228" t="s">
        <v>74</v>
      </c>
      <c r="H228" t="s">
        <v>75</v>
      </c>
      <c r="I228">
        <v>1</v>
      </c>
      <c r="J228">
        <v>0.1</v>
      </c>
      <c r="K228">
        <v>2054.2199999999998</v>
      </c>
      <c r="L228">
        <v>245.74</v>
      </c>
      <c r="M228">
        <v>2025</v>
      </c>
      <c r="N228" t="s">
        <v>618</v>
      </c>
      <c r="O228" t="s">
        <v>625</v>
      </c>
      <c r="P228">
        <v>0.11962691435191948</v>
      </c>
    </row>
    <row r="229" spans="1:16" x14ac:dyDescent="0.3">
      <c r="A229" t="s">
        <v>329</v>
      </c>
      <c r="B229" s="12">
        <v>45817</v>
      </c>
      <c r="C229" t="s">
        <v>82</v>
      </c>
      <c r="D229" t="s">
        <v>33</v>
      </c>
      <c r="E229" t="s">
        <v>45</v>
      </c>
      <c r="F229" t="s">
        <v>23</v>
      </c>
      <c r="G229" t="s">
        <v>58</v>
      </c>
      <c r="H229" t="s">
        <v>101</v>
      </c>
      <c r="I229">
        <v>3</v>
      </c>
      <c r="J229">
        <v>0.2</v>
      </c>
      <c r="K229">
        <v>144597.03</v>
      </c>
      <c r="L229">
        <v>2730.55</v>
      </c>
      <c r="M229">
        <v>2025</v>
      </c>
      <c r="N229" t="s">
        <v>618</v>
      </c>
      <c r="O229" t="s">
        <v>625</v>
      </c>
      <c r="P229">
        <v>1.8883859509424228E-2</v>
      </c>
    </row>
    <row r="230" spans="1:16" x14ac:dyDescent="0.3">
      <c r="A230" t="s">
        <v>330</v>
      </c>
      <c r="B230" s="12">
        <v>45817</v>
      </c>
      <c r="C230" t="s">
        <v>100</v>
      </c>
      <c r="D230" t="s">
        <v>33</v>
      </c>
      <c r="E230" t="s">
        <v>45</v>
      </c>
      <c r="F230" t="s">
        <v>28</v>
      </c>
      <c r="G230" t="s">
        <v>71</v>
      </c>
      <c r="H230" t="s">
        <v>72</v>
      </c>
      <c r="I230">
        <v>1</v>
      </c>
      <c r="J230">
        <v>0.2</v>
      </c>
      <c r="K230">
        <v>3070.12</v>
      </c>
      <c r="L230">
        <v>238.43</v>
      </c>
      <c r="M230">
        <v>2025</v>
      </c>
      <c r="N230" t="s">
        <v>618</v>
      </c>
      <c r="O230" t="s">
        <v>625</v>
      </c>
      <c r="P230">
        <v>7.7661459486925599E-2</v>
      </c>
    </row>
    <row r="231" spans="1:16" x14ac:dyDescent="0.3">
      <c r="A231" t="s">
        <v>331</v>
      </c>
      <c r="B231" s="12">
        <v>45818</v>
      </c>
      <c r="C231" t="s">
        <v>61</v>
      </c>
      <c r="D231" t="s">
        <v>39</v>
      </c>
      <c r="E231" t="s">
        <v>52</v>
      </c>
      <c r="F231" t="s">
        <v>23</v>
      </c>
      <c r="G231" t="s">
        <v>35</v>
      </c>
      <c r="H231" t="s">
        <v>36</v>
      </c>
      <c r="I231">
        <v>2</v>
      </c>
      <c r="J231">
        <v>0.05</v>
      </c>
      <c r="K231">
        <v>33723.800000000003</v>
      </c>
      <c r="L231">
        <v>5170.57</v>
      </c>
      <c r="M231">
        <v>2025</v>
      </c>
      <c r="N231" t="s">
        <v>618</v>
      </c>
      <c r="O231" t="s">
        <v>625</v>
      </c>
      <c r="P231">
        <v>0.15332109667356583</v>
      </c>
    </row>
    <row r="232" spans="1:16" x14ac:dyDescent="0.3">
      <c r="A232" t="s">
        <v>332</v>
      </c>
      <c r="B232" s="12">
        <v>45818</v>
      </c>
      <c r="C232" t="s">
        <v>229</v>
      </c>
      <c r="D232" t="s">
        <v>33</v>
      </c>
      <c r="E232" t="s">
        <v>45</v>
      </c>
      <c r="F232" t="s">
        <v>23</v>
      </c>
      <c r="G232" t="s">
        <v>24</v>
      </c>
      <c r="H232" t="s">
        <v>129</v>
      </c>
      <c r="I232">
        <v>5</v>
      </c>
      <c r="J232">
        <v>0.05</v>
      </c>
      <c r="K232">
        <v>59427.95</v>
      </c>
      <c r="L232">
        <v>4611.78</v>
      </c>
      <c r="M232">
        <v>2025</v>
      </c>
      <c r="N232" t="s">
        <v>618</v>
      </c>
      <c r="O232" t="s">
        <v>625</v>
      </c>
      <c r="P232">
        <v>7.7602878780102622E-2</v>
      </c>
    </row>
    <row r="233" spans="1:16" x14ac:dyDescent="0.3">
      <c r="A233" t="s">
        <v>333</v>
      </c>
      <c r="B233" s="12">
        <v>45819</v>
      </c>
      <c r="C233" t="s">
        <v>143</v>
      </c>
      <c r="D233" t="s">
        <v>33</v>
      </c>
      <c r="E233" t="s">
        <v>45</v>
      </c>
      <c r="F233" t="s">
        <v>28</v>
      </c>
      <c r="G233" t="s">
        <v>74</v>
      </c>
      <c r="H233" t="s">
        <v>75</v>
      </c>
      <c r="I233">
        <v>7</v>
      </c>
      <c r="J233">
        <v>0.05</v>
      </c>
      <c r="K233">
        <v>34277.32</v>
      </c>
      <c r="L233">
        <v>7194.43</v>
      </c>
      <c r="M233">
        <v>2025</v>
      </c>
      <c r="N233" t="s">
        <v>618</v>
      </c>
      <c r="O233" t="s">
        <v>625</v>
      </c>
      <c r="P233">
        <v>0.2098889294728993</v>
      </c>
    </row>
    <row r="234" spans="1:16" x14ac:dyDescent="0.3">
      <c r="A234" t="s">
        <v>334</v>
      </c>
      <c r="B234" s="12">
        <v>45819</v>
      </c>
      <c r="C234" t="s">
        <v>109</v>
      </c>
      <c r="D234" t="s">
        <v>21</v>
      </c>
      <c r="E234" t="s">
        <v>67</v>
      </c>
      <c r="F234" t="s">
        <v>23</v>
      </c>
      <c r="G234" t="s">
        <v>48</v>
      </c>
      <c r="H234" t="s">
        <v>118</v>
      </c>
      <c r="I234">
        <v>1</v>
      </c>
      <c r="J234">
        <v>0</v>
      </c>
      <c r="K234">
        <v>25708.29</v>
      </c>
      <c r="L234">
        <v>2069.4299999999998</v>
      </c>
      <c r="M234">
        <v>2025</v>
      </c>
      <c r="N234" t="s">
        <v>618</v>
      </c>
      <c r="O234" t="s">
        <v>625</v>
      </c>
      <c r="P234">
        <v>8.0496602457806404E-2</v>
      </c>
    </row>
    <row r="235" spans="1:16" x14ac:dyDescent="0.3">
      <c r="A235" t="s">
        <v>335</v>
      </c>
      <c r="B235" s="12">
        <v>45820</v>
      </c>
      <c r="C235" t="s">
        <v>111</v>
      </c>
      <c r="D235" t="s">
        <v>33</v>
      </c>
      <c r="E235" t="s">
        <v>45</v>
      </c>
      <c r="F235" t="s">
        <v>28</v>
      </c>
      <c r="G235" t="s">
        <v>71</v>
      </c>
      <c r="H235" t="s">
        <v>72</v>
      </c>
      <c r="I235">
        <v>5</v>
      </c>
      <c r="J235">
        <v>0</v>
      </c>
      <c r="K235">
        <v>23376.85</v>
      </c>
      <c r="L235">
        <v>3542.28</v>
      </c>
      <c r="M235">
        <v>2025</v>
      </c>
      <c r="N235" t="s">
        <v>618</v>
      </c>
      <c r="O235" t="s">
        <v>625</v>
      </c>
      <c r="P235">
        <v>0.15152939767333923</v>
      </c>
    </row>
    <row r="236" spans="1:16" x14ac:dyDescent="0.3">
      <c r="A236" t="s">
        <v>336</v>
      </c>
      <c r="B236" s="12">
        <v>45821</v>
      </c>
      <c r="C236" t="s">
        <v>32</v>
      </c>
      <c r="D236" t="s">
        <v>33</v>
      </c>
      <c r="E236" t="s">
        <v>86</v>
      </c>
      <c r="F236" t="s">
        <v>16</v>
      </c>
      <c r="G236" t="s">
        <v>17</v>
      </c>
      <c r="H236" t="s">
        <v>88</v>
      </c>
      <c r="I236">
        <v>1</v>
      </c>
      <c r="J236">
        <v>0.1</v>
      </c>
      <c r="K236">
        <v>4218.7700000000004</v>
      </c>
      <c r="L236">
        <v>436.24</v>
      </c>
      <c r="M236">
        <v>2025</v>
      </c>
      <c r="N236" t="s">
        <v>618</v>
      </c>
      <c r="O236" t="s">
        <v>625</v>
      </c>
      <c r="P236">
        <v>0.10340454682288913</v>
      </c>
    </row>
    <row r="237" spans="1:16" x14ac:dyDescent="0.3">
      <c r="A237" t="s">
        <v>337</v>
      </c>
      <c r="B237" s="12">
        <v>45822</v>
      </c>
      <c r="C237" t="s">
        <v>138</v>
      </c>
      <c r="D237" t="s">
        <v>14</v>
      </c>
      <c r="E237" t="s">
        <v>15</v>
      </c>
      <c r="F237" t="s">
        <v>23</v>
      </c>
      <c r="G237" t="s">
        <v>48</v>
      </c>
      <c r="H237" t="s">
        <v>124</v>
      </c>
      <c r="I237">
        <v>5</v>
      </c>
      <c r="J237">
        <v>0.2</v>
      </c>
      <c r="K237">
        <v>40404.1</v>
      </c>
      <c r="L237">
        <v>3670.42</v>
      </c>
      <c r="M237">
        <v>2025</v>
      </c>
      <c r="N237" t="s">
        <v>618</v>
      </c>
      <c r="O237" t="s">
        <v>625</v>
      </c>
      <c r="P237">
        <v>9.0842761006927522E-2</v>
      </c>
    </row>
    <row r="238" spans="1:16" x14ac:dyDescent="0.3">
      <c r="A238" t="s">
        <v>338</v>
      </c>
      <c r="B238" s="12">
        <v>45822</v>
      </c>
      <c r="C238" t="s">
        <v>13</v>
      </c>
      <c r="D238" t="s">
        <v>21</v>
      </c>
      <c r="E238" t="s">
        <v>67</v>
      </c>
      <c r="F238" t="s">
        <v>23</v>
      </c>
      <c r="G238" t="s">
        <v>48</v>
      </c>
      <c r="H238" t="s">
        <v>49</v>
      </c>
      <c r="I238">
        <v>6</v>
      </c>
      <c r="J238">
        <v>0.2</v>
      </c>
      <c r="K238">
        <v>249739.8</v>
      </c>
      <c r="L238">
        <v>2964.23</v>
      </c>
      <c r="M238">
        <v>2025</v>
      </c>
      <c r="N238" t="s">
        <v>618</v>
      </c>
      <c r="O238" t="s">
        <v>625</v>
      </c>
      <c r="P238">
        <v>1.1869273539900329E-2</v>
      </c>
    </row>
    <row r="239" spans="1:16" x14ac:dyDescent="0.3">
      <c r="A239" t="s">
        <v>339</v>
      </c>
      <c r="B239" s="12">
        <v>45823</v>
      </c>
      <c r="C239" t="s">
        <v>38</v>
      </c>
      <c r="D239" t="s">
        <v>33</v>
      </c>
      <c r="E239" t="s">
        <v>45</v>
      </c>
      <c r="F239" t="s">
        <v>16</v>
      </c>
      <c r="G239" t="s">
        <v>62</v>
      </c>
      <c r="H239" t="s">
        <v>180</v>
      </c>
      <c r="I239">
        <v>2</v>
      </c>
      <c r="J239">
        <v>0.1</v>
      </c>
      <c r="K239">
        <v>14883.66</v>
      </c>
      <c r="L239">
        <v>861.01</v>
      </c>
      <c r="M239">
        <v>2025</v>
      </c>
      <c r="N239" t="s">
        <v>618</v>
      </c>
      <c r="O239" t="s">
        <v>625</v>
      </c>
      <c r="P239">
        <v>5.7849346195760987E-2</v>
      </c>
    </row>
    <row r="240" spans="1:16" x14ac:dyDescent="0.3">
      <c r="A240" t="s">
        <v>340</v>
      </c>
      <c r="B240" s="12">
        <v>45825</v>
      </c>
      <c r="C240" t="s">
        <v>95</v>
      </c>
      <c r="D240" t="s">
        <v>33</v>
      </c>
      <c r="E240" t="s">
        <v>45</v>
      </c>
      <c r="F240" t="s">
        <v>23</v>
      </c>
      <c r="G240" t="s">
        <v>48</v>
      </c>
      <c r="H240" t="s">
        <v>49</v>
      </c>
      <c r="I240">
        <v>4</v>
      </c>
      <c r="J240">
        <v>0.2</v>
      </c>
      <c r="K240">
        <v>53313.279999999999</v>
      </c>
      <c r="L240">
        <v>557.70000000000005</v>
      </c>
      <c r="M240">
        <v>2025</v>
      </c>
      <c r="N240" t="s">
        <v>618</v>
      </c>
      <c r="O240" t="s">
        <v>625</v>
      </c>
      <c r="P240">
        <v>1.046080826390723E-2</v>
      </c>
    </row>
    <row r="241" spans="1:16" x14ac:dyDescent="0.3">
      <c r="A241" t="s">
        <v>341</v>
      </c>
      <c r="B241" s="12">
        <v>45825</v>
      </c>
      <c r="C241" t="s">
        <v>95</v>
      </c>
      <c r="D241" t="s">
        <v>33</v>
      </c>
      <c r="E241" t="s">
        <v>45</v>
      </c>
      <c r="F241" t="s">
        <v>28</v>
      </c>
      <c r="G241" t="s">
        <v>29</v>
      </c>
      <c r="H241" t="s">
        <v>30</v>
      </c>
      <c r="I241">
        <v>4</v>
      </c>
      <c r="J241">
        <v>0.2</v>
      </c>
      <c r="K241">
        <v>12808.72</v>
      </c>
      <c r="L241">
        <v>509.96</v>
      </c>
      <c r="M241">
        <v>2025</v>
      </c>
      <c r="N241" t="s">
        <v>618</v>
      </c>
      <c r="O241" t="s">
        <v>625</v>
      </c>
      <c r="P241">
        <v>3.9813502051727262E-2</v>
      </c>
    </row>
    <row r="242" spans="1:16" x14ac:dyDescent="0.3">
      <c r="A242" t="s">
        <v>342</v>
      </c>
      <c r="B242" s="12">
        <v>45827</v>
      </c>
      <c r="C242" t="s">
        <v>38</v>
      </c>
      <c r="D242" t="s">
        <v>39</v>
      </c>
      <c r="E242" t="s">
        <v>40</v>
      </c>
      <c r="F242" t="s">
        <v>28</v>
      </c>
      <c r="G242" t="s">
        <v>29</v>
      </c>
      <c r="H242" t="s">
        <v>98</v>
      </c>
      <c r="I242">
        <v>5</v>
      </c>
      <c r="J242">
        <v>0.2</v>
      </c>
      <c r="K242">
        <v>13943.55</v>
      </c>
      <c r="L242">
        <v>1231.67</v>
      </c>
      <c r="M242">
        <v>2025</v>
      </c>
      <c r="N242" t="s">
        <v>618</v>
      </c>
      <c r="O242" t="s">
        <v>625</v>
      </c>
      <c r="P242">
        <v>8.8332598226420117E-2</v>
      </c>
    </row>
    <row r="243" spans="1:16" x14ac:dyDescent="0.3">
      <c r="A243" t="s">
        <v>343</v>
      </c>
      <c r="B243" s="12">
        <v>45827</v>
      </c>
      <c r="C243" t="s">
        <v>95</v>
      </c>
      <c r="D243" t="s">
        <v>21</v>
      </c>
      <c r="E243" t="s">
        <v>67</v>
      </c>
      <c r="F243" t="s">
        <v>16</v>
      </c>
      <c r="G243" t="s">
        <v>41</v>
      </c>
      <c r="H243" t="s">
        <v>177</v>
      </c>
      <c r="I243">
        <v>6</v>
      </c>
      <c r="J243">
        <v>0.2</v>
      </c>
      <c r="K243">
        <v>3016.38</v>
      </c>
      <c r="L243">
        <v>301.39</v>
      </c>
      <c r="M243">
        <v>2025</v>
      </c>
      <c r="N243" t="s">
        <v>618</v>
      </c>
      <c r="O243" t="s">
        <v>625</v>
      </c>
      <c r="P243">
        <v>9.991778224229042E-2</v>
      </c>
    </row>
    <row r="244" spans="1:16" x14ac:dyDescent="0.3">
      <c r="A244" t="s">
        <v>344</v>
      </c>
      <c r="B244" s="12">
        <v>45830</v>
      </c>
      <c r="C244" t="s">
        <v>61</v>
      </c>
      <c r="D244" t="s">
        <v>39</v>
      </c>
      <c r="E244" t="s">
        <v>47</v>
      </c>
      <c r="F244" t="s">
        <v>23</v>
      </c>
      <c r="G244" t="s">
        <v>35</v>
      </c>
      <c r="H244" t="s">
        <v>155</v>
      </c>
      <c r="I244">
        <v>4</v>
      </c>
      <c r="J244">
        <v>0.1</v>
      </c>
      <c r="K244">
        <v>60052.56</v>
      </c>
      <c r="L244">
        <v>12450.34</v>
      </c>
      <c r="M244">
        <v>2025</v>
      </c>
      <c r="N244" t="s">
        <v>618</v>
      </c>
      <c r="O244" t="s">
        <v>625</v>
      </c>
      <c r="P244">
        <v>0.20732405079816749</v>
      </c>
    </row>
    <row r="245" spans="1:16" x14ac:dyDescent="0.3">
      <c r="A245" t="s">
        <v>345</v>
      </c>
      <c r="B245" s="12">
        <v>45830</v>
      </c>
      <c r="C245" t="s">
        <v>44</v>
      </c>
      <c r="D245" t="s">
        <v>39</v>
      </c>
      <c r="E245" t="s">
        <v>40</v>
      </c>
      <c r="F245" t="s">
        <v>16</v>
      </c>
      <c r="G245" t="s">
        <v>17</v>
      </c>
      <c r="H245" t="s">
        <v>153</v>
      </c>
      <c r="I245">
        <v>5</v>
      </c>
      <c r="J245">
        <v>0.1</v>
      </c>
      <c r="K245">
        <v>34934.25</v>
      </c>
      <c r="L245">
        <v>4040.24</v>
      </c>
      <c r="M245">
        <v>2025</v>
      </c>
      <c r="N245" t="s">
        <v>618</v>
      </c>
      <c r="O245" t="s">
        <v>625</v>
      </c>
      <c r="P245">
        <v>0.1156526904112726</v>
      </c>
    </row>
    <row r="246" spans="1:16" x14ac:dyDescent="0.3">
      <c r="A246" t="s">
        <v>346</v>
      </c>
      <c r="B246" s="12">
        <v>45831</v>
      </c>
      <c r="C246" t="s">
        <v>32</v>
      </c>
      <c r="D246" t="s">
        <v>39</v>
      </c>
      <c r="E246" t="s">
        <v>40</v>
      </c>
      <c r="F246" t="s">
        <v>23</v>
      </c>
      <c r="G246" t="s">
        <v>58</v>
      </c>
      <c r="H246" t="s">
        <v>90</v>
      </c>
      <c r="I246">
        <v>2</v>
      </c>
      <c r="J246">
        <v>0.1</v>
      </c>
      <c r="K246">
        <v>52139.32</v>
      </c>
      <c r="L246">
        <v>6968.23</v>
      </c>
      <c r="M246">
        <v>2025</v>
      </c>
      <c r="N246" t="s">
        <v>618</v>
      </c>
      <c r="O246" t="s">
        <v>625</v>
      </c>
      <c r="P246">
        <v>0.13364635365401772</v>
      </c>
    </row>
    <row r="247" spans="1:16" x14ac:dyDescent="0.3">
      <c r="A247" t="s">
        <v>347</v>
      </c>
      <c r="B247" s="12">
        <v>45832</v>
      </c>
      <c r="C247" t="s">
        <v>51</v>
      </c>
      <c r="D247" t="s">
        <v>14</v>
      </c>
      <c r="E247" t="s">
        <v>114</v>
      </c>
      <c r="F247" t="s">
        <v>28</v>
      </c>
      <c r="G247" t="s">
        <v>29</v>
      </c>
      <c r="H247" t="s">
        <v>98</v>
      </c>
      <c r="I247">
        <v>4</v>
      </c>
      <c r="J247">
        <v>0.15</v>
      </c>
      <c r="K247">
        <v>13092.44</v>
      </c>
      <c r="L247">
        <v>2047.72</v>
      </c>
      <c r="M247">
        <v>2025</v>
      </c>
      <c r="N247" t="s">
        <v>618</v>
      </c>
      <c r="O247" t="s">
        <v>625</v>
      </c>
      <c r="P247">
        <v>0.15640476488721736</v>
      </c>
    </row>
    <row r="248" spans="1:16" x14ac:dyDescent="0.3">
      <c r="A248" t="s">
        <v>348</v>
      </c>
      <c r="B248" s="12">
        <v>45833</v>
      </c>
      <c r="C248" t="s">
        <v>38</v>
      </c>
      <c r="D248" t="s">
        <v>39</v>
      </c>
      <c r="E248" t="s">
        <v>128</v>
      </c>
      <c r="F248" t="s">
        <v>28</v>
      </c>
      <c r="G248" t="s">
        <v>92</v>
      </c>
      <c r="H248" t="s">
        <v>204</v>
      </c>
      <c r="I248">
        <v>1</v>
      </c>
      <c r="J248">
        <v>0.1</v>
      </c>
      <c r="K248">
        <v>4223.09</v>
      </c>
      <c r="L248">
        <v>795.78</v>
      </c>
      <c r="M248">
        <v>2025</v>
      </c>
      <c r="N248" t="s">
        <v>618</v>
      </c>
      <c r="O248" t="s">
        <v>625</v>
      </c>
      <c r="P248">
        <v>0.1884354820759207</v>
      </c>
    </row>
    <row r="249" spans="1:16" x14ac:dyDescent="0.3">
      <c r="A249" t="s">
        <v>349</v>
      </c>
      <c r="B249" s="12">
        <v>45833</v>
      </c>
      <c r="C249" t="s">
        <v>100</v>
      </c>
      <c r="D249" t="s">
        <v>39</v>
      </c>
      <c r="E249" t="s">
        <v>52</v>
      </c>
      <c r="F249" t="s">
        <v>23</v>
      </c>
      <c r="G249" t="s">
        <v>35</v>
      </c>
      <c r="H249" t="s">
        <v>36</v>
      </c>
      <c r="I249">
        <v>5</v>
      </c>
      <c r="J249">
        <v>0.1</v>
      </c>
      <c r="K249">
        <v>112319.55</v>
      </c>
      <c r="L249">
        <v>21903.52</v>
      </c>
      <c r="M249">
        <v>2025</v>
      </c>
      <c r="N249" t="s">
        <v>618</v>
      </c>
      <c r="O249" t="s">
        <v>625</v>
      </c>
      <c r="P249">
        <v>0.19501075280305166</v>
      </c>
    </row>
    <row r="250" spans="1:16" x14ac:dyDescent="0.3">
      <c r="A250" t="s">
        <v>350</v>
      </c>
      <c r="B250" s="12">
        <v>45833</v>
      </c>
      <c r="C250" t="s">
        <v>44</v>
      </c>
      <c r="D250" t="s">
        <v>33</v>
      </c>
      <c r="E250" t="s">
        <v>140</v>
      </c>
      <c r="F250" t="s">
        <v>23</v>
      </c>
      <c r="G250" t="s">
        <v>24</v>
      </c>
      <c r="H250" t="s">
        <v>25</v>
      </c>
      <c r="I250">
        <v>4</v>
      </c>
      <c r="J250">
        <v>0.15</v>
      </c>
      <c r="K250">
        <v>113346.68</v>
      </c>
      <c r="L250">
        <v>6341.88</v>
      </c>
      <c r="M250">
        <v>2025</v>
      </c>
      <c r="N250" t="s">
        <v>618</v>
      </c>
      <c r="O250" t="s">
        <v>625</v>
      </c>
      <c r="P250">
        <v>5.595117563214027E-2</v>
      </c>
    </row>
    <row r="251" spans="1:16" x14ac:dyDescent="0.3">
      <c r="A251" t="s">
        <v>351</v>
      </c>
      <c r="B251" s="12">
        <v>45833</v>
      </c>
      <c r="C251" t="s">
        <v>109</v>
      </c>
      <c r="D251" t="s">
        <v>21</v>
      </c>
      <c r="E251" t="s">
        <v>67</v>
      </c>
      <c r="F251" t="s">
        <v>28</v>
      </c>
      <c r="G251" t="s">
        <v>74</v>
      </c>
      <c r="H251" t="s">
        <v>159</v>
      </c>
      <c r="I251">
        <v>1</v>
      </c>
      <c r="J251">
        <v>0.05</v>
      </c>
      <c r="K251">
        <v>2256.2800000000002</v>
      </c>
      <c r="L251">
        <v>211.84</v>
      </c>
      <c r="M251">
        <v>2025</v>
      </c>
      <c r="N251" t="s">
        <v>618</v>
      </c>
      <c r="O251" t="s">
        <v>625</v>
      </c>
      <c r="P251">
        <v>9.3889056322796816E-2</v>
      </c>
    </row>
    <row r="252" spans="1:16" x14ac:dyDescent="0.3">
      <c r="A252" t="s">
        <v>352</v>
      </c>
      <c r="B252" s="12">
        <v>45834</v>
      </c>
      <c r="C252" t="s">
        <v>85</v>
      </c>
      <c r="D252" t="s">
        <v>21</v>
      </c>
      <c r="E252" t="s">
        <v>105</v>
      </c>
      <c r="F252" t="s">
        <v>23</v>
      </c>
      <c r="G252" t="s">
        <v>35</v>
      </c>
      <c r="H252" t="s">
        <v>36</v>
      </c>
      <c r="I252">
        <v>5</v>
      </c>
      <c r="J252">
        <v>0</v>
      </c>
      <c r="K252">
        <v>5354.45</v>
      </c>
      <c r="L252">
        <v>627.76</v>
      </c>
      <c r="M252">
        <v>2025</v>
      </c>
      <c r="N252" t="s">
        <v>618</v>
      </c>
      <c r="O252" t="s">
        <v>625</v>
      </c>
      <c r="P252">
        <v>0.11724079970865355</v>
      </c>
    </row>
    <row r="253" spans="1:16" x14ac:dyDescent="0.3">
      <c r="A253" t="s">
        <v>353</v>
      </c>
      <c r="B253" s="12">
        <v>45834</v>
      </c>
      <c r="C253" t="s">
        <v>85</v>
      </c>
      <c r="D253" t="s">
        <v>21</v>
      </c>
      <c r="E253" t="s">
        <v>105</v>
      </c>
      <c r="F253" t="s">
        <v>23</v>
      </c>
      <c r="G253" t="s">
        <v>58</v>
      </c>
      <c r="H253" t="s">
        <v>101</v>
      </c>
      <c r="I253">
        <v>1</v>
      </c>
      <c r="J253">
        <v>0.1</v>
      </c>
      <c r="K253">
        <v>23859.7</v>
      </c>
      <c r="L253">
        <v>1616.61</v>
      </c>
      <c r="M253">
        <v>2025</v>
      </c>
      <c r="N253" t="s">
        <v>618</v>
      </c>
      <c r="O253" t="s">
        <v>625</v>
      </c>
      <c r="P253">
        <v>6.7754833463958053E-2</v>
      </c>
    </row>
    <row r="254" spans="1:16" x14ac:dyDescent="0.3">
      <c r="A254" t="s">
        <v>354</v>
      </c>
      <c r="B254" s="12">
        <v>45835</v>
      </c>
      <c r="C254" t="s">
        <v>229</v>
      </c>
      <c r="D254" t="s">
        <v>14</v>
      </c>
      <c r="E254" t="s">
        <v>15</v>
      </c>
      <c r="F254" t="s">
        <v>23</v>
      </c>
      <c r="G254" t="s">
        <v>58</v>
      </c>
      <c r="H254" t="s">
        <v>59</v>
      </c>
      <c r="I254">
        <v>6</v>
      </c>
      <c r="J254">
        <v>0.1</v>
      </c>
      <c r="K254">
        <v>298918.32</v>
      </c>
      <c r="L254">
        <v>54908.79</v>
      </c>
      <c r="M254">
        <v>2025</v>
      </c>
      <c r="N254" t="s">
        <v>618</v>
      </c>
      <c r="O254" t="s">
        <v>625</v>
      </c>
      <c r="P254">
        <v>0.18369161849966237</v>
      </c>
    </row>
    <row r="255" spans="1:16" x14ac:dyDescent="0.3">
      <c r="A255" t="s">
        <v>355</v>
      </c>
      <c r="B255" s="12">
        <v>45836</v>
      </c>
      <c r="C255" t="s">
        <v>100</v>
      </c>
      <c r="D255" t="s">
        <v>14</v>
      </c>
      <c r="E255" t="s">
        <v>15</v>
      </c>
      <c r="F255" t="s">
        <v>23</v>
      </c>
      <c r="G255" t="s">
        <v>24</v>
      </c>
      <c r="H255" t="s">
        <v>129</v>
      </c>
      <c r="I255">
        <v>5</v>
      </c>
      <c r="J255">
        <v>0</v>
      </c>
      <c r="K255">
        <v>157981.15</v>
      </c>
      <c r="L255">
        <v>38452.99</v>
      </c>
      <c r="M255">
        <v>2025</v>
      </c>
      <c r="N255" t="s">
        <v>618</v>
      </c>
      <c r="O255" t="s">
        <v>625</v>
      </c>
      <c r="P255">
        <v>0.24340239326020857</v>
      </c>
    </row>
    <row r="256" spans="1:16" x14ac:dyDescent="0.3">
      <c r="A256" t="s">
        <v>356</v>
      </c>
      <c r="B256" s="12">
        <v>45837</v>
      </c>
      <c r="C256" t="s">
        <v>143</v>
      </c>
      <c r="D256" t="s">
        <v>14</v>
      </c>
      <c r="E256" t="s">
        <v>15</v>
      </c>
      <c r="F256" t="s">
        <v>28</v>
      </c>
      <c r="G256" t="s">
        <v>92</v>
      </c>
      <c r="H256" t="s">
        <v>204</v>
      </c>
      <c r="I256">
        <v>1</v>
      </c>
      <c r="J256">
        <v>0</v>
      </c>
      <c r="K256">
        <v>2247.08</v>
      </c>
      <c r="L256">
        <v>483.84</v>
      </c>
      <c r="M256">
        <v>2025</v>
      </c>
      <c r="N256" t="s">
        <v>618</v>
      </c>
      <c r="O256" t="s">
        <v>625</v>
      </c>
      <c r="P256">
        <v>0.21531943678017693</v>
      </c>
    </row>
    <row r="257" spans="1:16" x14ac:dyDescent="0.3">
      <c r="A257" t="s">
        <v>357</v>
      </c>
      <c r="B257" s="12">
        <v>45838</v>
      </c>
      <c r="C257" t="s">
        <v>82</v>
      </c>
      <c r="D257" t="s">
        <v>39</v>
      </c>
      <c r="E257" t="s">
        <v>40</v>
      </c>
      <c r="F257" t="s">
        <v>23</v>
      </c>
      <c r="G257" t="s">
        <v>58</v>
      </c>
      <c r="H257" t="s">
        <v>59</v>
      </c>
      <c r="I257">
        <v>2</v>
      </c>
      <c r="J257">
        <v>0.2</v>
      </c>
      <c r="K257">
        <v>46709.66</v>
      </c>
      <c r="L257">
        <v>3222.99</v>
      </c>
      <c r="M257">
        <v>2025</v>
      </c>
      <c r="N257" t="s">
        <v>618</v>
      </c>
      <c r="O257" t="s">
        <v>625</v>
      </c>
      <c r="P257">
        <v>6.9000502251568507E-2</v>
      </c>
    </row>
    <row r="258" spans="1:16" x14ac:dyDescent="0.3">
      <c r="A258" t="s">
        <v>358</v>
      </c>
      <c r="B258" s="12">
        <v>45838</v>
      </c>
      <c r="C258" t="s">
        <v>109</v>
      </c>
      <c r="D258" t="s">
        <v>33</v>
      </c>
      <c r="E258" t="s">
        <v>45</v>
      </c>
      <c r="F258" t="s">
        <v>28</v>
      </c>
      <c r="G258" t="s">
        <v>74</v>
      </c>
      <c r="H258" t="s">
        <v>159</v>
      </c>
      <c r="I258">
        <v>7</v>
      </c>
      <c r="J258">
        <v>0.1</v>
      </c>
      <c r="K258">
        <v>4995.0600000000004</v>
      </c>
      <c r="L258">
        <v>250.27</v>
      </c>
      <c r="M258">
        <v>2025</v>
      </c>
      <c r="N258" t="s">
        <v>618</v>
      </c>
      <c r="O258" t="s">
        <v>625</v>
      </c>
      <c r="P258">
        <v>5.0103502260233107E-2</v>
      </c>
    </row>
    <row r="259" spans="1:16" x14ac:dyDescent="0.3">
      <c r="A259" t="s">
        <v>359</v>
      </c>
      <c r="B259" s="12">
        <v>45838</v>
      </c>
      <c r="C259" t="s">
        <v>61</v>
      </c>
      <c r="D259" t="s">
        <v>33</v>
      </c>
      <c r="E259" t="s">
        <v>45</v>
      </c>
      <c r="F259" t="s">
        <v>28</v>
      </c>
      <c r="G259" t="s">
        <v>71</v>
      </c>
      <c r="H259" t="s">
        <v>72</v>
      </c>
      <c r="I259">
        <v>2</v>
      </c>
      <c r="J259">
        <v>0.05</v>
      </c>
      <c r="K259">
        <v>764.08</v>
      </c>
      <c r="L259">
        <v>105.11</v>
      </c>
      <c r="M259">
        <v>2025</v>
      </c>
      <c r="N259" t="s">
        <v>618</v>
      </c>
      <c r="O259" t="s">
        <v>627</v>
      </c>
      <c r="P259">
        <v>0.13756412941053292</v>
      </c>
    </row>
    <row r="260" spans="1:16" x14ac:dyDescent="0.3">
      <c r="A260" t="s">
        <v>360</v>
      </c>
      <c r="B260" s="12">
        <v>45839</v>
      </c>
      <c r="C260" t="s">
        <v>135</v>
      </c>
      <c r="D260" t="s">
        <v>39</v>
      </c>
      <c r="E260" t="s">
        <v>128</v>
      </c>
      <c r="F260" t="s">
        <v>23</v>
      </c>
      <c r="G260" t="s">
        <v>58</v>
      </c>
      <c r="H260" t="s">
        <v>101</v>
      </c>
      <c r="I260">
        <v>3</v>
      </c>
      <c r="J260">
        <v>0.15</v>
      </c>
      <c r="K260">
        <v>106699.23</v>
      </c>
      <c r="L260">
        <v>11354.99</v>
      </c>
      <c r="M260">
        <v>2025</v>
      </c>
      <c r="N260" t="s">
        <v>619</v>
      </c>
      <c r="O260" t="s">
        <v>625</v>
      </c>
      <c r="P260">
        <v>0.10642054305359093</v>
      </c>
    </row>
    <row r="261" spans="1:16" x14ac:dyDescent="0.3">
      <c r="A261" t="s">
        <v>361</v>
      </c>
      <c r="B261" s="12">
        <v>45840</v>
      </c>
      <c r="C261" t="s">
        <v>77</v>
      </c>
      <c r="D261" t="s">
        <v>14</v>
      </c>
      <c r="E261" t="s">
        <v>114</v>
      </c>
      <c r="F261" t="s">
        <v>23</v>
      </c>
      <c r="G261" t="s">
        <v>35</v>
      </c>
      <c r="H261" t="s">
        <v>36</v>
      </c>
      <c r="I261">
        <v>7</v>
      </c>
      <c r="J261">
        <v>0.15</v>
      </c>
      <c r="K261">
        <v>86829.33</v>
      </c>
      <c r="L261">
        <v>3310.99</v>
      </c>
      <c r="M261">
        <v>2025</v>
      </c>
      <c r="N261" t="s">
        <v>619</v>
      </c>
      <c r="O261" t="s">
        <v>625</v>
      </c>
      <c r="P261">
        <v>3.8132161102705731E-2</v>
      </c>
    </row>
    <row r="262" spans="1:16" x14ac:dyDescent="0.3">
      <c r="A262" t="s">
        <v>362</v>
      </c>
      <c r="B262" s="12">
        <v>45841</v>
      </c>
      <c r="C262" t="s">
        <v>44</v>
      </c>
      <c r="D262" t="s">
        <v>21</v>
      </c>
      <c r="E262" t="s">
        <v>105</v>
      </c>
      <c r="F262" t="s">
        <v>23</v>
      </c>
      <c r="G262" t="s">
        <v>24</v>
      </c>
      <c r="H262" t="s">
        <v>129</v>
      </c>
      <c r="I262">
        <v>1</v>
      </c>
      <c r="J262">
        <v>0.15</v>
      </c>
      <c r="K262">
        <v>43952.86</v>
      </c>
      <c r="L262">
        <v>8453.6</v>
      </c>
      <c r="M262">
        <v>2025</v>
      </c>
      <c r="N262" t="s">
        <v>619</v>
      </c>
      <c r="O262" t="s">
        <v>625</v>
      </c>
      <c r="P262">
        <v>0.19233333166487915</v>
      </c>
    </row>
    <row r="263" spans="1:16" x14ac:dyDescent="0.3">
      <c r="A263" t="s">
        <v>363</v>
      </c>
      <c r="B263" s="12">
        <v>45842</v>
      </c>
      <c r="C263" t="s">
        <v>138</v>
      </c>
      <c r="D263" t="s">
        <v>39</v>
      </c>
      <c r="E263" t="s">
        <v>128</v>
      </c>
      <c r="F263" t="s">
        <v>28</v>
      </c>
      <c r="G263" t="s">
        <v>29</v>
      </c>
      <c r="H263" t="s">
        <v>30</v>
      </c>
      <c r="I263">
        <v>7</v>
      </c>
      <c r="J263">
        <v>0.1</v>
      </c>
      <c r="K263">
        <v>9419.9</v>
      </c>
      <c r="L263">
        <v>1206.73</v>
      </c>
      <c r="M263">
        <v>2025</v>
      </c>
      <c r="N263" t="s">
        <v>619</v>
      </c>
      <c r="O263" t="s">
        <v>625</v>
      </c>
      <c r="P263">
        <v>0.12810433231775284</v>
      </c>
    </row>
    <row r="264" spans="1:16" x14ac:dyDescent="0.3">
      <c r="A264" t="s">
        <v>364</v>
      </c>
      <c r="B264" s="12">
        <v>45844</v>
      </c>
      <c r="C264" t="s">
        <v>82</v>
      </c>
      <c r="D264" t="s">
        <v>21</v>
      </c>
      <c r="E264" t="s">
        <v>67</v>
      </c>
      <c r="F264" t="s">
        <v>23</v>
      </c>
      <c r="G264" t="s">
        <v>35</v>
      </c>
      <c r="H264" t="s">
        <v>36</v>
      </c>
      <c r="I264">
        <v>7</v>
      </c>
      <c r="J264">
        <v>0.2</v>
      </c>
      <c r="K264">
        <v>315890.96000000002</v>
      </c>
      <c r="L264">
        <v>47484.94</v>
      </c>
      <c r="M264">
        <v>2025</v>
      </c>
      <c r="N264" t="s">
        <v>619</v>
      </c>
      <c r="O264" t="s">
        <v>625</v>
      </c>
      <c r="P264">
        <v>0.15032066761264709</v>
      </c>
    </row>
    <row r="265" spans="1:16" x14ac:dyDescent="0.3">
      <c r="A265" t="s">
        <v>365</v>
      </c>
      <c r="B265" s="12">
        <v>45844</v>
      </c>
      <c r="C265" t="s">
        <v>150</v>
      </c>
      <c r="D265" t="s">
        <v>21</v>
      </c>
      <c r="E265" t="s">
        <v>67</v>
      </c>
      <c r="F265" t="s">
        <v>16</v>
      </c>
      <c r="G265" t="s">
        <v>17</v>
      </c>
      <c r="H265" t="s">
        <v>153</v>
      </c>
      <c r="I265">
        <v>6</v>
      </c>
      <c r="J265">
        <v>0.2</v>
      </c>
      <c r="K265">
        <v>28373.64</v>
      </c>
      <c r="L265">
        <v>1564.78</v>
      </c>
      <c r="M265">
        <v>2025</v>
      </c>
      <c r="N265" t="s">
        <v>619</v>
      </c>
      <c r="O265" t="s">
        <v>625</v>
      </c>
      <c r="P265">
        <v>5.5149074986501553E-2</v>
      </c>
    </row>
    <row r="266" spans="1:16" x14ac:dyDescent="0.3">
      <c r="A266" t="s">
        <v>366</v>
      </c>
      <c r="B266" s="12">
        <v>45844</v>
      </c>
      <c r="C266" t="s">
        <v>85</v>
      </c>
      <c r="D266" t="s">
        <v>21</v>
      </c>
      <c r="E266" t="s">
        <v>67</v>
      </c>
      <c r="F266" t="s">
        <v>16</v>
      </c>
      <c r="G266" t="s">
        <v>68</v>
      </c>
      <c r="H266" t="s">
        <v>175</v>
      </c>
      <c r="I266">
        <v>7</v>
      </c>
      <c r="J266">
        <v>0.15</v>
      </c>
      <c r="K266">
        <v>4018</v>
      </c>
      <c r="L266">
        <v>630.01</v>
      </c>
      <c r="M266">
        <v>2025</v>
      </c>
      <c r="N266" t="s">
        <v>619</v>
      </c>
      <c r="O266" t="s">
        <v>625</v>
      </c>
      <c r="P266">
        <v>0.15679691388750622</v>
      </c>
    </row>
    <row r="267" spans="1:16" x14ac:dyDescent="0.3">
      <c r="A267" t="s">
        <v>367</v>
      </c>
      <c r="B267" s="12">
        <v>45845</v>
      </c>
      <c r="C267" t="s">
        <v>229</v>
      </c>
      <c r="D267" t="s">
        <v>39</v>
      </c>
      <c r="E267" t="s">
        <v>52</v>
      </c>
      <c r="F267" t="s">
        <v>16</v>
      </c>
      <c r="G267" t="s">
        <v>62</v>
      </c>
      <c r="H267" t="s">
        <v>63</v>
      </c>
      <c r="I267">
        <v>2</v>
      </c>
      <c r="J267">
        <v>0.2</v>
      </c>
      <c r="K267">
        <v>21944.36</v>
      </c>
      <c r="L267">
        <v>1494.61</v>
      </c>
      <c r="M267">
        <v>2025</v>
      </c>
      <c r="N267" t="s">
        <v>619</v>
      </c>
      <c r="O267" t="s">
        <v>625</v>
      </c>
      <c r="P267">
        <v>6.8109072217189287E-2</v>
      </c>
    </row>
    <row r="268" spans="1:16" x14ac:dyDescent="0.3">
      <c r="A268" t="s">
        <v>368</v>
      </c>
      <c r="B268" s="12">
        <v>45845</v>
      </c>
      <c r="C268" t="s">
        <v>85</v>
      </c>
      <c r="D268" t="s">
        <v>33</v>
      </c>
      <c r="E268" t="s">
        <v>86</v>
      </c>
      <c r="F268" t="s">
        <v>23</v>
      </c>
      <c r="G268" t="s">
        <v>58</v>
      </c>
      <c r="H268" t="s">
        <v>78</v>
      </c>
      <c r="I268">
        <v>2</v>
      </c>
      <c r="J268">
        <v>0.1</v>
      </c>
      <c r="K268">
        <v>88683.839999999997</v>
      </c>
      <c r="L268">
        <v>9114.81</v>
      </c>
      <c r="M268">
        <v>2025</v>
      </c>
      <c r="N268" t="s">
        <v>619</v>
      </c>
      <c r="O268" t="s">
        <v>625</v>
      </c>
      <c r="P268">
        <v>0.10277870241072105</v>
      </c>
    </row>
    <row r="269" spans="1:16" x14ac:dyDescent="0.3">
      <c r="A269" t="s">
        <v>369</v>
      </c>
      <c r="B269" s="12">
        <v>45845</v>
      </c>
      <c r="C269" t="s">
        <v>82</v>
      </c>
      <c r="D269" t="s">
        <v>33</v>
      </c>
      <c r="E269" t="s">
        <v>140</v>
      </c>
      <c r="F269" t="s">
        <v>23</v>
      </c>
      <c r="G269" t="s">
        <v>58</v>
      </c>
      <c r="H269" t="s">
        <v>59</v>
      </c>
      <c r="I269">
        <v>5</v>
      </c>
      <c r="J269">
        <v>0.1</v>
      </c>
      <c r="K269">
        <v>195841.95</v>
      </c>
      <c r="L269">
        <v>34149.89</v>
      </c>
      <c r="M269">
        <v>2025</v>
      </c>
      <c r="N269" t="s">
        <v>619</v>
      </c>
      <c r="O269" t="s">
        <v>625</v>
      </c>
      <c r="P269">
        <v>0.17437474453251714</v>
      </c>
    </row>
    <row r="270" spans="1:16" x14ac:dyDescent="0.3">
      <c r="A270" t="s">
        <v>370</v>
      </c>
      <c r="B270" s="12">
        <v>45845</v>
      </c>
      <c r="C270" t="s">
        <v>135</v>
      </c>
      <c r="D270" t="s">
        <v>33</v>
      </c>
      <c r="E270" t="s">
        <v>140</v>
      </c>
      <c r="F270" t="s">
        <v>23</v>
      </c>
      <c r="G270" t="s">
        <v>24</v>
      </c>
      <c r="H270" t="s">
        <v>129</v>
      </c>
      <c r="I270">
        <v>7</v>
      </c>
      <c r="J270">
        <v>0.15</v>
      </c>
      <c r="K270">
        <v>144315.99</v>
      </c>
      <c r="L270">
        <v>17527.55</v>
      </c>
      <c r="M270">
        <v>2025</v>
      </c>
      <c r="N270" t="s">
        <v>619</v>
      </c>
      <c r="O270" t="s">
        <v>625</v>
      </c>
      <c r="P270">
        <v>0.12145258470665656</v>
      </c>
    </row>
    <row r="271" spans="1:16" x14ac:dyDescent="0.3">
      <c r="A271" t="s">
        <v>371</v>
      </c>
      <c r="B271" s="12">
        <v>45845</v>
      </c>
      <c r="C271" t="s">
        <v>100</v>
      </c>
      <c r="D271" t="s">
        <v>21</v>
      </c>
      <c r="E271" t="s">
        <v>57</v>
      </c>
      <c r="F271" t="s">
        <v>28</v>
      </c>
      <c r="G271" t="s">
        <v>74</v>
      </c>
      <c r="H271" t="s">
        <v>80</v>
      </c>
      <c r="I271">
        <v>7</v>
      </c>
      <c r="J271">
        <v>0.2</v>
      </c>
      <c r="K271">
        <v>17827.18</v>
      </c>
      <c r="L271">
        <v>1657.95</v>
      </c>
      <c r="M271">
        <v>2025</v>
      </c>
      <c r="N271" t="s">
        <v>619</v>
      </c>
      <c r="O271" t="s">
        <v>625</v>
      </c>
      <c r="P271">
        <v>9.3001248655143434E-2</v>
      </c>
    </row>
    <row r="272" spans="1:16" x14ac:dyDescent="0.3">
      <c r="A272" t="s">
        <v>372</v>
      </c>
      <c r="B272" s="12">
        <v>45846</v>
      </c>
      <c r="C272" t="s">
        <v>27</v>
      </c>
      <c r="D272" t="s">
        <v>21</v>
      </c>
      <c r="E272" t="s">
        <v>22</v>
      </c>
      <c r="F272" t="s">
        <v>16</v>
      </c>
      <c r="G272" t="s">
        <v>17</v>
      </c>
      <c r="H272" t="s">
        <v>18</v>
      </c>
      <c r="I272">
        <v>4</v>
      </c>
      <c r="J272">
        <v>0.1</v>
      </c>
      <c r="K272">
        <v>44237.56</v>
      </c>
      <c r="L272">
        <v>7703.04</v>
      </c>
      <c r="M272">
        <v>2025</v>
      </c>
      <c r="N272" t="s">
        <v>619</v>
      </c>
      <c r="O272" t="s">
        <v>625</v>
      </c>
      <c r="P272">
        <v>0.17412895286268049</v>
      </c>
    </row>
    <row r="273" spans="1:16" x14ac:dyDescent="0.3">
      <c r="A273" t="s">
        <v>373</v>
      </c>
      <c r="B273" s="12">
        <v>45846</v>
      </c>
      <c r="C273" t="s">
        <v>109</v>
      </c>
      <c r="D273" t="s">
        <v>14</v>
      </c>
      <c r="E273" t="s">
        <v>15</v>
      </c>
      <c r="F273" t="s">
        <v>28</v>
      </c>
      <c r="G273" t="s">
        <v>29</v>
      </c>
      <c r="H273" t="s">
        <v>98</v>
      </c>
      <c r="I273">
        <v>4</v>
      </c>
      <c r="J273">
        <v>0.2</v>
      </c>
      <c r="K273">
        <v>11356.04</v>
      </c>
      <c r="L273">
        <v>1691.05</v>
      </c>
      <c r="M273">
        <v>2025</v>
      </c>
      <c r="N273" t="s">
        <v>619</v>
      </c>
      <c r="O273" t="s">
        <v>625</v>
      </c>
      <c r="P273">
        <v>0.14891194465676413</v>
      </c>
    </row>
    <row r="274" spans="1:16" x14ac:dyDescent="0.3">
      <c r="A274" t="s">
        <v>374</v>
      </c>
      <c r="B274" s="12">
        <v>45846</v>
      </c>
      <c r="C274" t="s">
        <v>147</v>
      </c>
      <c r="D274" t="s">
        <v>39</v>
      </c>
      <c r="E274" t="s">
        <v>52</v>
      </c>
      <c r="F274" t="s">
        <v>28</v>
      </c>
      <c r="G274" t="s">
        <v>71</v>
      </c>
      <c r="H274" t="s">
        <v>121</v>
      </c>
      <c r="I274">
        <v>7</v>
      </c>
      <c r="J274">
        <v>0.1</v>
      </c>
      <c r="K274">
        <v>15992.06</v>
      </c>
      <c r="L274">
        <v>1968.18</v>
      </c>
      <c r="M274">
        <v>2025</v>
      </c>
      <c r="N274" t="s">
        <v>619</v>
      </c>
      <c r="O274" t="s">
        <v>625</v>
      </c>
      <c r="P274">
        <v>0.12307232464110315</v>
      </c>
    </row>
    <row r="275" spans="1:16" x14ac:dyDescent="0.3">
      <c r="A275" t="s">
        <v>375</v>
      </c>
      <c r="B275" s="12">
        <v>45846</v>
      </c>
      <c r="C275" t="s">
        <v>56</v>
      </c>
      <c r="D275" t="s">
        <v>33</v>
      </c>
      <c r="E275" t="s">
        <v>34</v>
      </c>
      <c r="F275" t="s">
        <v>23</v>
      </c>
      <c r="G275" t="s">
        <v>35</v>
      </c>
      <c r="H275" t="s">
        <v>155</v>
      </c>
      <c r="I275">
        <v>1</v>
      </c>
      <c r="J275">
        <v>0.2</v>
      </c>
      <c r="K275">
        <v>15540.12</v>
      </c>
      <c r="L275">
        <v>1205.04</v>
      </c>
      <c r="M275">
        <v>2025</v>
      </c>
      <c r="N275" t="s">
        <v>619</v>
      </c>
      <c r="O275" t="s">
        <v>625</v>
      </c>
      <c r="P275">
        <v>7.7543802750557903E-2</v>
      </c>
    </row>
    <row r="276" spans="1:16" x14ac:dyDescent="0.3">
      <c r="A276" t="s">
        <v>376</v>
      </c>
      <c r="B276" s="12">
        <v>45847</v>
      </c>
      <c r="C276" t="s">
        <v>143</v>
      </c>
      <c r="D276" t="s">
        <v>21</v>
      </c>
      <c r="E276" t="s">
        <v>67</v>
      </c>
      <c r="F276" t="s">
        <v>28</v>
      </c>
      <c r="G276" t="s">
        <v>74</v>
      </c>
      <c r="H276" t="s">
        <v>75</v>
      </c>
      <c r="I276">
        <v>5</v>
      </c>
      <c r="J276">
        <v>0.05</v>
      </c>
      <c r="K276">
        <v>10792.9</v>
      </c>
      <c r="L276">
        <v>1312.96</v>
      </c>
      <c r="M276">
        <v>2025</v>
      </c>
      <c r="N276" t="s">
        <v>619</v>
      </c>
      <c r="O276" t="s">
        <v>625</v>
      </c>
      <c r="P276">
        <v>0.12165034420776623</v>
      </c>
    </row>
    <row r="277" spans="1:16" x14ac:dyDescent="0.3">
      <c r="A277" t="s">
        <v>377</v>
      </c>
      <c r="B277" s="12">
        <v>45848</v>
      </c>
      <c r="C277" t="s">
        <v>66</v>
      </c>
      <c r="D277" t="s">
        <v>14</v>
      </c>
      <c r="E277" t="s">
        <v>97</v>
      </c>
      <c r="F277" t="s">
        <v>28</v>
      </c>
      <c r="G277" t="s">
        <v>29</v>
      </c>
      <c r="H277" t="s">
        <v>98</v>
      </c>
      <c r="I277">
        <v>5</v>
      </c>
      <c r="J277">
        <v>0.05</v>
      </c>
      <c r="K277">
        <v>22961.4</v>
      </c>
      <c r="L277">
        <v>3002.11</v>
      </c>
      <c r="M277">
        <v>2025</v>
      </c>
      <c r="N277" t="s">
        <v>619</v>
      </c>
      <c r="O277" t="s">
        <v>625</v>
      </c>
      <c r="P277">
        <v>0.13074594754675237</v>
      </c>
    </row>
    <row r="278" spans="1:16" x14ac:dyDescent="0.3">
      <c r="A278" t="s">
        <v>378</v>
      </c>
      <c r="B278" s="12">
        <v>45848</v>
      </c>
      <c r="C278" t="s">
        <v>104</v>
      </c>
      <c r="D278" t="s">
        <v>39</v>
      </c>
      <c r="E278" t="s">
        <v>128</v>
      </c>
      <c r="F278" t="s">
        <v>23</v>
      </c>
      <c r="G278" t="s">
        <v>35</v>
      </c>
      <c r="H278" t="s">
        <v>155</v>
      </c>
      <c r="I278">
        <v>3</v>
      </c>
      <c r="J278">
        <v>0.05</v>
      </c>
      <c r="K278">
        <v>67795.56</v>
      </c>
      <c r="L278">
        <v>11722.97</v>
      </c>
      <c r="M278">
        <v>2025</v>
      </c>
      <c r="N278" t="s">
        <v>619</v>
      </c>
      <c r="O278" t="s">
        <v>625</v>
      </c>
      <c r="P278">
        <v>0.17291648597636777</v>
      </c>
    </row>
    <row r="279" spans="1:16" x14ac:dyDescent="0.3">
      <c r="A279" t="s">
        <v>379</v>
      </c>
      <c r="B279" s="12">
        <v>45848</v>
      </c>
      <c r="C279" t="s">
        <v>147</v>
      </c>
      <c r="D279" t="s">
        <v>33</v>
      </c>
      <c r="E279" t="s">
        <v>45</v>
      </c>
      <c r="F279" t="s">
        <v>28</v>
      </c>
      <c r="G279" t="s">
        <v>92</v>
      </c>
      <c r="H279" t="s">
        <v>93</v>
      </c>
      <c r="I279">
        <v>7</v>
      </c>
      <c r="J279">
        <v>0.1</v>
      </c>
      <c r="K279">
        <v>9908.7099999999991</v>
      </c>
      <c r="L279">
        <v>731.4</v>
      </c>
      <c r="M279">
        <v>2025</v>
      </c>
      <c r="N279" t="s">
        <v>619</v>
      </c>
      <c r="O279" t="s">
        <v>625</v>
      </c>
      <c r="P279">
        <v>7.3813846605663105E-2</v>
      </c>
    </row>
    <row r="280" spans="1:16" x14ac:dyDescent="0.3">
      <c r="A280" t="s">
        <v>380</v>
      </c>
      <c r="B280" s="12">
        <v>45849</v>
      </c>
      <c r="C280" t="s">
        <v>32</v>
      </c>
      <c r="D280" t="s">
        <v>33</v>
      </c>
      <c r="E280" t="s">
        <v>34</v>
      </c>
      <c r="F280" t="s">
        <v>28</v>
      </c>
      <c r="G280" t="s">
        <v>74</v>
      </c>
      <c r="H280" t="s">
        <v>159</v>
      </c>
      <c r="I280">
        <v>2</v>
      </c>
      <c r="J280">
        <v>0.15</v>
      </c>
      <c r="K280">
        <v>5693.68</v>
      </c>
      <c r="L280">
        <v>167.04</v>
      </c>
      <c r="M280">
        <v>2025</v>
      </c>
      <c r="N280" t="s">
        <v>619</v>
      </c>
      <c r="O280" t="s">
        <v>625</v>
      </c>
      <c r="P280">
        <v>2.9337792078234108E-2</v>
      </c>
    </row>
    <row r="281" spans="1:16" x14ac:dyDescent="0.3">
      <c r="A281" t="s">
        <v>381</v>
      </c>
      <c r="B281" s="12">
        <v>45850</v>
      </c>
      <c r="C281" t="s">
        <v>104</v>
      </c>
      <c r="D281" t="s">
        <v>33</v>
      </c>
      <c r="E281" t="s">
        <v>140</v>
      </c>
      <c r="F281" t="s">
        <v>28</v>
      </c>
      <c r="G281" t="s">
        <v>71</v>
      </c>
      <c r="H281" t="s">
        <v>72</v>
      </c>
      <c r="I281">
        <v>3</v>
      </c>
      <c r="J281">
        <v>0.2</v>
      </c>
      <c r="K281">
        <v>7389.3</v>
      </c>
      <c r="L281">
        <v>1281.73</v>
      </c>
      <c r="M281">
        <v>2025</v>
      </c>
      <c r="N281" t="s">
        <v>619</v>
      </c>
      <c r="O281" t="s">
        <v>625</v>
      </c>
      <c r="P281">
        <v>0.17345756702258672</v>
      </c>
    </row>
    <row r="282" spans="1:16" x14ac:dyDescent="0.3">
      <c r="A282" t="s">
        <v>382</v>
      </c>
      <c r="B282" s="12">
        <v>45851</v>
      </c>
      <c r="C282" t="s">
        <v>56</v>
      </c>
      <c r="D282" t="s">
        <v>39</v>
      </c>
      <c r="E282" t="s">
        <v>52</v>
      </c>
      <c r="F282" t="s">
        <v>28</v>
      </c>
      <c r="G282" t="s">
        <v>71</v>
      </c>
      <c r="H282" t="s">
        <v>121</v>
      </c>
      <c r="I282">
        <v>7</v>
      </c>
      <c r="J282">
        <v>0.1</v>
      </c>
      <c r="K282">
        <v>25201.4</v>
      </c>
      <c r="L282">
        <v>4576.53</v>
      </c>
      <c r="M282">
        <v>2025</v>
      </c>
      <c r="N282" t="s">
        <v>619</v>
      </c>
      <c r="O282" t="s">
        <v>625</v>
      </c>
      <c r="P282">
        <v>0.18159824454196988</v>
      </c>
    </row>
    <row r="283" spans="1:16" x14ac:dyDescent="0.3">
      <c r="A283" t="s">
        <v>383</v>
      </c>
      <c r="B283" s="12">
        <v>45852</v>
      </c>
      <c r="C283" t="s">
        <v>77</v>
      </c>
      <c r="D283" t="s">
        <v>33</v>
      </c>
      <c r="E283" t="s">
        <v>34</v>
      </c>
      <c r="F283" t="s">
        <v>16</v>
      </c>
      <c r="G283" t="s">
        <v>17</v>
      </c>
      <c r="H283" t="s">
        <v>18</v>
      </c>
      <c r="I283">
        <v>1</v>
      </c>
      <c r="J283">
        <v>0.1</v>
      </c>
      <c r="K283">
        <v>6739.21</v>
      </c>
      <c r="L283">
        <v>724.54</v>
      </c>
      <c r="M283">
        <v>2025</v>
      </c>
      <c r="N283" t="s">
        <v>619</v>
      </c>
      <c r="O283" t="s">
        <v>625</v>
      </c>
      <c r="P283">
        <v>0.10751111777196436</v>
      </c>
    </row>
    <row r="284" spans="1:16" x14ac:dyDescent="0.3">
      <c r="A284" t="s">
        <v>384</v>
      </c>
      <c r="B284" s="12">
        <v>45852</v>
      </c>
      <c r="C284" t="s">
        <v>32</v>
      </c>
      <c r="D284" t="s">
        <v>14</v>
      </c>
      <c r="E284" t="s">
        <v>54</v>
      </c>
      <c r="F284" t="s">
        <v>16</v>
      </c>
      <c r="G284" t="s">
        <v>62</v>
      </c>
      <c r="H284" t="s">
        <v>63</v>
      </c>
      <c r="I284">
        <v>3</v>
      </c>
      <c r="J284">
        <v>0.05</v>
      </c>
      <c r="K284">
        <v>24530.73</v>
      </c>
      <c r="L284">
        <v>4043.38</v>
      </c>
      <c r="M284">
        <v>2025</v>
      </c>
      <c r="N284" t="s">
        <v>619</v>
      </c>
      <c r="O284" t="s">
        <v>625</v>
      </c>
      <c r="P284">
        <v>0.1648291754872358</v>
      </c>
    </row>
    <row r="285" spans="1:16" x14ac:dyDescent="0.3">
      <c r="A285" t="s">
        <v>385</v>
      </c>
      <c r="B285" s="12">
        <v>45854</v>
      </c>
      <c r="C285" t="s">
        <v>20</v>
      </c>
      <c r="D285" t="s">
        <v>39</v>
      </c>
      <c r="E285" t="s">
        <v>52</v>
      </c>
      <c r="F285" t="s">
        <v>23</v>
      </c>
      <c r="G285" t="s">
        <v>58</v>
      </c>
      <c r="H285" t="s">
        <v>59</v>
      </c>
      <c r="I285">
        <v>3</v>
      </c>
      <c r="J285">
        <v>0.05</v>
      </c>
      <c r="K285">
        <v>32475.93</v>
      </c>
      <c r="L285">
        <v>2548.91</v>
      </c>
      <c r="M285">
        <v>2025</v>
      </c>
      <c r="N285" t="s">
        <v>619</v>
      </c>
      <c r="O285" t="s">
        <v>625</v>
      </c>
      <c r="P285">
        <v>7.8486128033900801E-2</v>
      </c>
    </row>
    <row r="286" spans="1:16" x14ac:dyDescent="0.3">
      <c r="A286" t="s">
        <v>386</v>
      </c>
      <c r="B286" s="12">
        <v>45854</v>
      </c>
      <c r="C286" t="s">
        <v>104</v>
      </c>
      <c r="D286" t="s">
        <v>33</v>
      </c>
      <c r="E286" t="s">
        <v>34</v>
      </c>
      <c r="F286" t="s">
        <v>16</v>
      </c>
      <c r="G286" t="s">
        <v>62</v>
      </c>
      <c r="H286" t="s">
        <v>63</v>
      </c>
      <c r="I286">
        <v>6</v>
      </c>
      <c r="J286">
        <v>0.2</v>
      </c>
      <c r="K286">
        <v>66008.460000000006</v>
      </c>
      <c r="L286">
        <v>8808.2000000000007</v>
      </c>
      <c r="M286">
        <v>2025</v>
      </c>
      <c r="N286" t="s">
        <v>619</v>
      </c>
      <c r="O286" t="s">
        <v>625</v>
      </c>
      <c r="P286">
        <v>0.13344047111536914</v>
      </c>
    </row>
    <row r="287" spans="1:16" x14ac:dyDescent="0.3">
      <c r="A287" t="s">
        <v>387</v>
      </c>
      <c r="B287" s="12">
        <v>45855</v>
      </c>
      <c r="C287" t="s">
        <v>229</v>
      </c>
      <c r="D287" t="s">
        <v>21</v>
      </c>
      <c r="E287" t="s">
        <v>22</v>
      </c>
      <c r="F287" t="s">
        <v>28</v>
      </c>
      <c r="G287" t="s">
        <v>29</v>
      </c>
      <c r="H287" t="s">
        <v>98</v>
      </c>
      <c r="I287">
        <v>2</v>
      </c>
      <c r="J287">
        <v>0</v>
      </c>
      <c r="K287">
        <v>3454.68</v>
      </c>
      <c r="L287">
        <v>696.15</v>
      </c>
      <c r="M287">
        <v>2025</v>
      </c>
      <c r="N287" t="s">
        <v>619</v>
      </c>
      <c r="O287" t="s">
        <v>625</v>
      </c>
      <c r="P287">
        <v>0.20150925700788497</v>
      </c>
    </row>
    <row r="288" spans="1:16" x14ac:dyDescent="0.3">
      <c r="A288" t="s">
        <v>388</v>
      </c>
      <c r="B288" s="12">
        <v>45856</v>
      </c>
      <c r="C288" t="s">
        <v>150</v>
      </c>
      <c r="D288" t="s">
        <v>14</v>
      </c>
      <c r="E288" t="s">
        <v>15</v>
      </c>
      <c r="F288" t="s">
        <v>28</v>
      </c>
      <c r="G288" t="s">
        <v>92</v>
      </c>
      <c r="H288" t="s">
        <v>93</v>
      </c>
      <c r="I288">
        <v>7</v>
      </c>
      <c r="J288">
        <v>0.2</v>
      </c>
      <c r="K288">
        <v>33163.480000000003</v>
      </c>
      <c r="L288">
        <v>2696.4</v>
      </c>
      <c r="M288">
        <v>2025</v>
      </c>
      <c r="N288" t="s">
        <v>619</v>
      </c>
      <c r="O288" t="s">
        <v>625</v>
      </c>
      <c r="P288">
        <v>8.1306304404724708E-2</v>
      </c>
    </row>
    <row r="289" spans="1:16" x14ac:dyDescent="0.3">
      <c r="A289" t="s">
        <v>389</v>
      </c>
      <c r="B289" s="12">
        <v>45857</v>
      </c>
      <c r="C289" t="s">
        <v>13</v>
      </c>
      <c r="D289" t="s">
        <v>33</v>
      </c>
      <c r="E289" t="s">
        <v>140</v>
      </c>
      <c r="F289" t="s">
        <v>23</v>
      </c>
      <c r="G289" t="s">
        <v>48</v>
      </c>
      <c r="H289" t="s">
        <v>118</v>
      </c>
      <c r="I289">
        <v>2</v>
      </c>
      <c r="J289">
        <v>0.1</v>
      </c>
      <c r="K289">
        <v>49759.42</v>
      </c>
      <c r="L289">
        <v>10593.96</v>
      </c>
      <c r="M289">
        <v>2025</v>
      </c>
      <c r="N289" t="s">
        <v>619</v>
      </c>
      <c r="O289" t="s">
        <v>625</v>
      </c>
      <c r="P289">
        <v>0.21290360699541916</v>
      </c>
    </row>
    <row r="290" spans="1:16" x14ac:dyDescent="0.3">
      <c r="A290" t="s">
        <v>390</v>
      </c>
      <c r="B290" s="12">
        <v>45857</v>
      </c>
      <c r="C290" t="s">
        <v>109</v>
      </c>
      <c r="D290" t="s">
        <v>21</v>
      </c>
      <c r="E290" t="s">
        <v>67</v>
      </c>
      <c r="F290" t="s">
        <v>16</v>
      </c>
      <c r="G290" t="s">
        <v>17</v>
      </c>
      <c r="H290" t="s">
        <v>153</v>
      </c>
      <c r="I290">
        <v>6</v>
      </c>
      <c r="J290">
        <v>0.1</v>
      </c>
      <c r="K290">
        <v>12867.06</v>
      </c>
      <c r="L290">
        <v>2632.76</v>
      </c>
      <c r="M290">
        <v>2025</v>
      </c>
      <c r="N290" t="s">
        <v>619</v>
      </c>
      <c r="O290" t="s">
        <v>625</v>
      </c>
      <c r="P290">
        <v>0.20461239785934007</v>
      </c>
    </row>
    <row r="291" spans="1:16" x14ac:dyDescent="0.3">
      <c r="A291" t="s">
        <v>391</v>
      </c>
      <c r="B291" s="12">
        <v>45859</v>
      </c>
      <c r="C291" t="s">
        <v>95</v>
      </c>
      <c r="D291" t="s">
        <v>14</v>
      </c>
      <c r="E291" t="s">
        <v>97</v>
      </c>
      <c r="F291" t="s">
        <v>23</v>
      </c>
      <c r="G291" t="s">
        <v>58</v>
      </c>
      <c r="H291" t="s">
        <v>101</v>
      </c>
      <c r="I291">
        <v>7</v>
      </c>
      <c r="J291">
        <v>0</v>
      </c>
      <c r="K291">
        <v>183860.18</v>
      </c>
      <c r="L291">
        <v>44471.68</v>
      </c>
      <c r="M291">
        <v>2025</v>
      </c>
      <c r="N291" t="s">
        <v>619</v>
      </c>
      <c r="O291" t="s">
        <v>625</v>
      </c>
      <c r="P291">
        <v>0.24187771381492176</v>
      </c>
    </row>
    <row r="292" spans="1:16" x14ac:dyDescent="0.3">
      <c r="A292" t="s">
        <v>392</v>
      </c>
      <c r="B292" s="12">
        <v>45859</v>
      </c>
      <c r="C292" t="s">
        <v>77</v>
      </c>
      <c r="D292" t="s">
        <v>33</v>
      </c>
      <c r="E292" t="s">
        <v>140</v>
      </c>
      <c r="F292" t="s">
        <v>16</v>
      </c>
      <c r="G292" t="s">
        <v>68</v>
      </c>
      <c r="H292" t="s">
        <v>69</v>
      </c>
      <c r="I292">
        <v>2</v>
      </c>
      <c r="J292">
        <v>0.2</v>
      </c>
      <c r="K292">
        <v>23325.56</v>
      </c>
      <c r="L292">
        <v>4115.16</v>
      </c>
      <c r="M292">
        <v>2025</v>
      </c>
      <c r="N292" t="s">
        <v>619</v>
      </c>
      <c r="O292" t="s">
        <v>625</v>
      </c>
      <c r="P292">
        <v>0.17642277398699108</v>
      </c>
    </row>
    <row r="293" spans="1:16" x14ac:dyDescent="0.3">
      <c r="A293" t="s">
        <v>393</v>
      </c>
      <c r="B293" s="12">
        <v>45859</v>
      </c>
      <c r="C293" t="s">
        <v>229</v>
      </c>
      <c r="D293" t="s">
        <v>33</v>
      </c>
      <c r="E293" t="s">
        <v>140</v>
      </c>
      <c r="F293" t="s">
        <v>28</v>
      </c>
      <c r="G293" t="s">
        <v>71</v>
      </c>
      <c r="H293" t="s">
        <v>72</v>
      </c>
      <c r="I293">
        <v>4</v>
      </c>
      <c r="J293">
        <v>0.1</v>
      </c>
      <c r="K293">
        <v>531.52</v>
      </c>
      <c r="L293">
        <v>60.93</v>
      </c>
      <c r="M293">
        <v>2025</v>
      </c>
      <c r="N293" t="s">
        <v>619</v>
      </c>
      <c r="O293" t="s">
        <v>627</v>
      </c>
      <c r="P293">
        <v>0.11463350391330523</v>
      </c>
    </row>
    <row r="294" spans="1:16" x14ac:dyDescent="0.3">
      <c r="A294" t="s">
        <v>394</v>
      </c>
      <c r="B294" s="12">
        <v>45860</v>
      </c>
      <c r="C294" t="s">
        <v>147</v>
      </c>
      <c r="D294" t="s">
        <v>14</v>
      </c>
      <c r="E294" t="s">
        <v>97</v>
      </c>
      <c r="F294" t="s">
        <v>23</v>
      </c>
      <c r="G294" t="s">
        <v>24</v>
      </c>
      <c r="H294" t="s">
        <v>25</v>
      </c>
      <c r="I294">
        <v>3</v>
      </c>
      <c r="J294">
        <v>0</v>
      </c>
      <c r="K294">
        <v>35809.47</v>
      </c>
      <c r="L294">
        <v>3157.83</v>
      </c>
      <c r="M294">
        <v>2025</v>
      </c>
      <c r="N294" t="s">
        <v>619</v>
      </c>
      <c r="O294" t="s">
        <v>625</v>
      </c>
      <c r="P294">
        <v>8.8184214957663432E-2</v>
      </c>
    </row>
    <row r="295" spans="1:16" x14ac:dyDescent="0.3">
      <c r="A295" t="s">
        <v>395</v>
      </c>
      <c r="B295" s="12">
        <v>45860</v>
      </c>
      <c r="C295" t="s">
        <v>100</v>
      </c>
      <c r="D295" t="s">
        <v>33</v>
      </c>
      <c r="E295" t="s">
        <v>86</v>
      </c>
      <c r="F295" t="s">
        <v>28</v>
      </c>
      <c r="G295" t="s">
        <v>92</v>
      </c>
      <c r="H295" t="s">
        <v>93</v>
      </c>
      <c r="I295">
        <v>5</v>
      </c>
      <c r="J295">
        <v>0.05</v>
      </c>
      <c r="K295">
        <v>17032.25</v>
      </c>
      <c r="L295">
        <v>1383.2</v>
      </c>
      <c r="M295">
        <v>2025</v>
      </c>
      <c r="N295" t="s">
        <v>619</v>
      </c>
      <c r="O295" t="s">
        <v>625</v>
      </c>
      <c r="P295">
        <v>8.1210644512615782E-2</v>
      </c>
    </row>
    <row r="296" spans="1:16" x14ac:dyDescent="0.3">
      <c r="A296" t="s">
        <v>396</v>
      </c>
      <c r="B296" s="12">
        <v>45860</v>
      </c>
      <c r="C296" t="s">
        <v>13</v>
      </c>
      <c r="D296" t="s">
        <v>33</v>
      </c>
      <c r="E296" t="s">
        <v>86</v>
      </c>
      <c r="F296" t="s">
        <v>28</v>
      </c>
      <c r="G296" t="s">
        <v>71</v>
      </c>
      <c r="H296" t="s">
        <v>72</v>
      </c>
      <c r="I296">
        <v>3</v>
      </c>
      <c r="J296">
        <v>0.1</v>
      </c>
      <c r="K296">
        <v>8786.01</v>
      </c>
      <c r="L296">
        <v>1731.34</v>
      </c>
      <c r="M296">
        <v>2025</v>
      </c>
      <c r="N296" t="s">
        <v>619</v>
      </c>
      <c r="O296" t="s">
        <v>625</v>
      </c>
      <c r="P296">
        <v>0.19705645679893374</v>
      </c>
    </row>
    <row r="297" spans="1:16" x14ac:dyDescent="0.3">
      <c r="A297" t="s">
        <v>397</v>
      </c>
      <c r="B297" s="12">
        <v>45860</v>
      </c>
      <c r="C297" t="s">
        <v>56</v>
      </c>
      <c r="D297" t="s">
        <v>21</v>
      </c>
      <c r="E297" t="s">
        <v>105</v>
      </c>
      <c r="F297" t="s">
        <v>28</v>
      </c>
      <c r="G297" t="s">
        <v>29</v>
      </c>
      <c r="H297" t="s">
        <v>30</v>
      </c>
      <c r="I297">
        <v>2</v>
      </c>
      <c r="J297">
        <v>0.15</v>
      </c>
      <c r="K297">
        <v>2943.8</v>
      </c>
      <c r="L297">
        <v>183.58</v>
      </c>
      <c r="M297">
        <v>2025</v>
      </c>
      <c r="N297" t="s">
        <v>619</v>
      </c>
      <c r="O297" t="s">
        <v>625</v>
      </c>
      <c r="P297">
        <v>6.2361573476459001E-2</v>
      </c>
    </row>
    <row r="298" spans="1:16" x14ac:dyDescent="0.3">
      <c r="A298" t="s">
        <v>398</v>
      </c>
      <c r="B298" s="12">
        <v>45863</v>
      </c>
      <c r="C298" t="s">
        <v>51</v>
      </c>
      <c r="D298" t="s">
        <v>33</v>
      </c>
      <c r="E298" t="s">
        <v>45</v>
      </c>
      <c r="F298" t="s">
        <v>23</v>
      </c>
      <c r="G298" t="s">
        <v>24</v>
      </c>
      <c r="H298" t="s">
        <v>132</v>
      </c>
      <c r="I298">
        <v>2</v>
      </c>
      <c r="J298">
        <v>0.05</v>
      </c>
      <c r="K298">
        <v>40702.1</v>
      </c>
      <c r="L298">
        <v>9221.8799999999992</v>
      </c>
      <c r="M298">
        <v>2025</v>
      </c>
      <c r="N298" t="s">
        <v>619</v>
      </c>
      <c r="O298" t="s">
        <v>625</v>
      </c>
      <c r="P298">
        <v>0.22657012783124211</v>
      </c>
    </row>
    <row r="299" spans="1:16" x14ac:dyDescent="0.3">
      <c r="A299" t="s">
        <v>399</v>
      </c>
      <c r="B299" s="12">
        <v>45866</v>
      </c>
      <c r="C299" t="s">
        <v>32</v>
      </c>
      <c r="D299" t="s">
        <v>14</v>
      </c>
      <c r="E299" t="s">
        <v>97</v>
      </c>
      <c r="F299" t="s">
        <v>23</v>
      </c>
      <c r="G299" t="s">
        <v>35</v>
      </c>
      <c r="H299" t="s">
        <v>36</v>
      </c>
      <c r="I299">
        <v>5</v>
      </c>
      <c r="J299">
        <v>0.15</v>
      </c>
      <c r="K299">
        <v>54981.599999999999</v>
      </c>
      <c r="L299">
        <v>8449.74</v>
      </c>
      <c r="M299">
        <v>2025</v>
      </c>
      <c r="N299" t="s">
        <v>619</v>
      </c>
      <c r="O299" t="s">
        <v>625</v>
      </c>
      <c r="P299">
        <v>0.15368305032956481</v>
      </c>
    </row>
    <row r="300" spans="1:16" x14ac:dyDescent="0.3">
      <c r="A300" t="s">
        <v>400</v>
      </c>
      <c r="B300" s="12">
        <v>45870</v>
      </c>
      <c r="C300" t="s">
        <v>104</v>
      </c>
      <c r="D300" t="s">
        <v>33</v>
      </c>
      <c r="E300" t="s">
        <v>140</v>
      </c>
      <c r="F300" t="s">
        <v>16</v>
      </c>
      <c r="G300" t="s">
        <v>68</v>
      </c>
      <c r="H300" t="s">
        <v>175</v>
      </c>
      <c r="I300">
        <v>5</v>
      </c>
      <c r="J300">
        <v>0.05</v>
      </c>
      <c r="K300">
        <v>16052.3</v>
      </c>
      <c r="L300">
        <v>3480.74</v>
      </c>
      <c r="M300">
        <v>2025</v>
      </c>
      <c r="N300" t="s">
        <v>620</v>
      </c>
      <c r="O300" t="s">
        <v>625</v>
      </c>
      <c r="P300">
        <v>0.2168374625443083</v>
      </c>
    </row>
    <row r="301" spans="1:16" x14ac:dyDescent="0.3">
      <c r="A301" t="s">
        <v>401</v>
      </c>
      <c r="B301" s="12">
        <v>45870</v>
      </c>
      <c r="C301" t="s">
        <v>82</v>
      </c>
      <c r="D301" t="s">
        <v>33</v>
      </c>
      <c r="E301" t="s">
        <v>45</v>
      </c>
      <c r="F301" t="s">
        <v>28</v>
      </c>
      <c r="G301" t="s">
        <v>74</v>
      </c>
      <c r="H301" t="s">
        <v>80</v>
      </c>
      <c r="I301">
        <v>2</v>
      </c>
      <c r="J301">
        <v>0.15</v>
      </c>
      <c r="K301">
        <v>8228.7000000000007</v>
      </c>
      <c r="L301">
        <v>695.2</v>
      </c>
      <c r="M301">
        <v>2025</v>
      </c>
      <c r="N301" t="s">
        <v>620</v>
      </c>
      <c r="O301" t="s">
        <v>625</v>
      </c>
      <c r="P301">
        <v>8.4484791036251172E-2</v>
      </c>
    </row>
    <row r="302" spans="1:16" x14ac:dyDescent="0.3">
      <c r="A302" t="s">
        <v>402</v>
      </c>
      <c r="B302" s="12">
        <v>45871</v>
      </c>
      <c r="C302" t="s">
        <v>27</v>
      </c>
      <c r="D302" t="s">
        <v>39</v>
      </c>
      <c r="E302" t="s">
        <v>47</v>
      </c>
      <c r="F302" t="s">
        <v>23</v>
      </c>
      <c r="G302" t="s">
        <v>48</v>
      </c>
      <c r="H302" t="s">
        <v>49</v>
      </c>
      <c r="I302">
        <v>2</v>
      </c>
      <c r="J302">
        <v>0.05</v>
      </c>
      <c r="K302">
        <v>22465.22</v>
      </c>
      <c r="L302">
        <v>2071.5500000000002</v>
      </c>
      <c r="M302">
        <v>2025</v>
      </c>
      <c r="N302" t="s">
        <v>620</v>
      </c>
      <c r="O302" t="s">
        <v>625</v>
      </c>
      <c r="P302">
        <v>9.221142726401077E-2</v>
      </c>
    </row>
    <row r="303" spans="1:16" x14ac:dyDescent="0.3">
      <c r="A303" t="s">
        <v>403</v>
      </c>
      <c r="B303" s="12">
        <v>45871</v>
      </c>
      <c r="C303" t="s">
        <v>20</v>
      </c>
      <c r="D303" t="s">
        <v>33</v>
      </c>
      <c r="E303" t="s">
        <v>34</v>
      </c>
      <c r="F303" t="s">
        <v>28</v>
      </c>
      <c r="G303" t="s">
        <v>74</v>
      </c>
      <c r="H303" t="s">
        <v>159</v>
      </c>
      <c r="I303">
        <v>1</v>
      </c>
      <c r="J303">
        <v>0</v>
      </c>
      <c r="K303">
        <v>1286.02</v>
      </c>
      <c r="L303">
        <v>227.69</v>
      </c>
      <c r="M303">
        <v>2025</v>
      </c>
      <c r="N303" t="s">
        <v>620</v>
      </c>
      <c r="O303" t="s">
        <v>625</v>
      </c>
      <c r="P303">
        <v>0.17705012363726846</v>
      </c>
    </row>
    <row r="304" spans="1:16" x14ac:dyDescent="0.3">
      <c r="A304" t="s">
        <v>404</v>
      </c>
      <c r="B304" s="12">
        <v>45871</v>
      </c>
      <c r="C304" t="s">
        <v>229</v>
      </c>
      <c r="D304" t="s">
        <v>39</v>
      </c>
      <c r="E304" t="s">
        <v>52</v>
      </c>
      <c r="F304" t="s">
        <v>23</v>
      </c>
      <c r="G304" t="s">
        <v>35</v>
      </c>
      <c r="H304" t="s">
        <v>36</v>
      </c>
      <c r="I304">
        <v>7</v>
      </c>
      <c r="J304">
        <v>0.05</v>
      </c>
      <c r="K304">
        <v>161582.54</v>
      </c>
      <c r="L304">
        <v>10624.8</v>
      </c>
      <c r="M304">
        <v>2025</v>
      </c>
      <c r="N304" t="s">
        <v>620</v>
      </c>
      <c r="O304" t="s">
        <v>625</v>
      </c>
      <c r="P304">
        <v>6.5754629182088603E-2</v>
      </c>
    </row>
    <row r="305" spans="1:16" x14ac:dyDescent="0.3">
      <c r="A305" t="s">
        <v>405</v>
      </c>
      <c r="B305" s="12">
        <v>45871</v>
      </c>
      <c r="C305" t="s">
        <v>44</v>
      </c>
      <c r="D305" t="s">
        <v>21</v>
      </c>
      <c r="E305" t="s">
        <v>105</v>
      </c>
      <c r="F305" t="s">
        <v>16</v>
      </c>
      <c r="G305" t="s">
        <v>17</v>
      </c>
      <c r="H305" t="s">
        <v>18</v>
      </c>
      <c r="I305">
        <v>4</v>
      </c>
      <c r="J305">
        <v>0.2</v>
      </c>
      <c r="K305">
        <v>13752.68</v>
      </c>
      <c r="L305">
        <v>1192.5</v>
      </c>
      <c r="M305">
        <v>2025</v>
      </c>
      <c r="N305" t="s">
        <v>620</v>
      </c>
      <c r="O305" t="s">
        <v>625</v>
      </c>
      <c r="P305">
        <v>8.671037208747677E-2</v>
      </c>
    </row>
    <row r="306" spans="1:16" x14ac:dyDescent="0.3">
      <c r="A306" t="s">
        <v>406</v>
      </c>
      <c r="B306" s="12">
        <v>45872</v>
      </c>
      <c r="C306" t="s">
        <v>77</v>
      </c>
      <c r="D306" t="s">
        <v>14</v>
      </c>
      <c r="E306" t="s">
        <v>97</v>
      </c>
      <c r="F306" t="s">
        <v>23</v>
      </c>
      <c r="G306" t="s">
        <v>58</v>
      </c>
      <c r="H306" t="s">
        <v>59</v>
      </c>
      <c r="I306">
        <v>7</v>
      </c>
      <c r="J306">
        <v>0.05</v>
      </c>
      <c r="K306">
        <v>305778.27</v>
      </c>
      <c r="L306">
        <v>25062.47</v>
      </c>
      <c r="M306">
        <v>2025</v>
      </c>
      <c r="N306" t="s">
        <v>620</v>
      </c>
      <c r="O306" t="s">
        <v>625</v>
      </c>
      <c r="P306">
        <v>8.1962887683287633E-2</v>
      </c>
    </row>
    <row r="307" spans="1:16" x14ac:dyDescent="0.3">
      <c r="A307" t="s">
        <v>407</v>
      </c>
      <c r="B307" s="12">
        <v>45872</v>
      </c>
      <c r="C307" t="s">
        <v>32</v>
      </c>
      <c r="D307" t="s">
        <v>39</v>
      </c>
      <c r="E307" t="s">
        <v>52</v>
      </c>
      <c r="F307" t="s">
        <v>16</v>
      </c>
      <c r="G307" t="s">
        <v>62</v>
      </c>
      <c r="H307" t="s">
        <v>180</v>
      </c>
      <c r="I307">
        <v>5</v>
      </c>
      <c r="J307">
        <v>0.15</v>
      </c>
      <c r="K307">
        <v>40112.65</v>
      </c>
      <c r="L307">
        <v>6917</v>
      </c>
      <c r="M307">
        <v>2025</v>
      </c>
      <c r="N307" t="s">
        <v>620</v>
      </c>
      <c r="O307" t="s">
        <v>625</v>
      </c>
      <c r="P307">
        <v>0.17243936763090945</v>
      </c>
    </row>
    <row r="308" spans="1:16" x14ac:dyDescent="0.3">
      <c r="A308" t="s">
        <v>408</v>
      </c>
      <c r="B308" s="12">
        <v>45873</v>
      </c>
      <c r="C308" t="s">
        <v>61</v>
      </c>
      <c r="D308" t="s">
        <v>14</v>
      </c>
      <c r="E308" t="s">
        <v>54</v>
      </c>
      <c r="F308" t="s">
        <v>16</v>
      </c>
      <c r="G308" t="s">
        <v>41</v>
      </c>
      <c r="H308" t="s">
        <v>177</v>
      </c>
      <c r="I308">
        <v>4</v>
      </c>
      <c r="J308">
        <v>0.1</v>
      </c>
      <c r="K308">
        <v>10182.84</v>
      </c>
      <c r="L308">
        <v>897.61</v>
      </c>
      <c r="M308">
        <v>2025</v>
      </c>
      <c r="N308" t="s">
        <v>620</v>
      </c>
      <c r="O308" t="s">
        <v>625</v>
      </c>
      <c r="P308">
        <v>8.8149278590255759E-2</v>
      </c>
    </row>
    <row r="309" spans="1:16" x14ac:dyDescent="0.3">
      <c r="A309" t="s">
        <v>409</v>
      </c>
      <c r="B309" s="12">
        <v>45873</v>
      </c>
      <c r="C309" t="s">
        <v>61</v>
      </c>
      <c r="D309" t="s">
        <v>21</v>
      </c>
      <c r="E309" t="s">
        <v>22</v>
      </c>
      <c r="F309" t="s">
        <v>23</v>
      </c>
      <c r="G309" t="s">
        <v>48</v>
      </c>
      <c r="H309" t="s">
        <v>118</v>
      </c>
      <c r="I309">
        <v>4</v>
      </c>
      <c r="J309">
        <v>0.15</v>
      </c>
      <c r="K309">
        <v>89488.28</v>
      </c>
      <c r="L309">
        <v>17264.349999999999</v>
      </c>
      <c r="M309">
        <v>2025</v>
      </c>
      <c r="N309" t="s">
        <v>620</v>
      </c>
      <c r="O309" t="s">
        <v>625</v>
      </c>
      <c r="P309">
        <v>0.1929230285798319</v>
      </c>
    </row>
    <row r="310" spans="1:16" x14ac:dyDescent="0.3">
      <c r="A310" t="s">
        <v>410</v>
      </c>
      <c r="B310" s="12">
        <v>45875</v>
      </c>
      <c r="C310" t="s">
        <v>179</v>
      </c>
      <c r="D310" t="s">
        <v>21</v>
      </c>
      <c r="E310" t="s">
        <v>22</v>
      </c>
      <c r="F310" t="s">
        <v>28</v>
      </c>
      <c r="G310" t="s">
        <v>92</v>
      </c>
      <c r="H310" t="s">
        <v>93</v>
      </c>
      <c r="I310">
        <v>5</v>
      </c>
      <c r="J310">
        <v>0</v>
      </c>
      <c r="K310">
        <v>12100.05</v>
      </c>
      <c r="L310">
        <v>1923.84</v>
      </c>
      <c r="M310">
        <v>2025</v>
      </c>
      <c r="N310" t="s">
        <v>620</v>
      </c>
      <c r="O310" t="s">
        <v>625</v>
      </c>
      <c r="P310">
        <v>0.15899438432072596</v>
      </c>
    </row>
    <row r="311" spans="1:16" x14ac:dyDescent="0.3">
      <c r="A311" t="s">
        <v>411</v>
      </c>
      <c r="B311" s="12">
        <v>45876</v>
      </c>
      <c r="C311" t="s">
        <v>77</v>
      </c>
      <c r="D311" t="s">
        <v>33</v>
      </c>
      <c r="E311" t="s">
        <v>140</v>
      </c>
      <c r="F311" t="s">
        <v>16</v>
      </c>
      <c r="G311" t="s">
        <v>62</v>
      </c>
      <c r="H311" t="s">
        <v>63</v>
      </c>
      <c r="I311">
        <v>4</v>
      </c>
      <c r="J311">
        <v>0.1</v>
      </c>
      <c r="K311">
        <v>5405.96</v>
      </c>
      <c r="L311">
        <v>431.97</v>
      </c>
      <c r="M311">
        <v>2025</v>
      </c>
      <c r="N311" t="s">
        <v>620</v>
      </c>
      <c r="O311" t="s">
        <v>625</v>
      </c>
      <c r="P311">
        <v>7.9906251618583932E-2</v>
      </c>
    </row>
    <row r="312" spans="1:16" x14ac:dyDescent="0.3">
      <c r="A312" t="s">
        <v>412</v>
      </c>
      <c r="B312" s="12">
        <v>45877</v>
      </c>
      <c r="C312" t="s">
        <v>27</v>
      </c>
      <c r="D312" t="s">
        <v>21</v>
      </c>
      <c r="E312" t="s">
        <v>57</v>
      </c>
      <c r="F312" t="s">
        <v>23</v>
      </c>
      <c r="G312" t="s">
        <v>58</v>
      </c>
      <c r="H312" t="s">
        <v>78</v>
      </c>
      <c r="I312">
        <v>7</v>
      </c>
      <c r="J312">
        <v>0.2</v>
      </c>
      <c r="K312">
        <v>339572.8</v>
      </c>
      <c r="L312">
        <v>17254.38</v>
      </c>
      <c r="M312">
        <v>2025</v>
      </c>
      <c r="N312" t="s">
        <v>620</v>
      </c>
      <c r="O312" t="s">
        <v>625</v>
      </c>
      <c r="P312">
        <v>5.0812020279598372E-2</v>
      </c>
    </row>
    <row r="313" spans="1:16" x14ac:dyDescent="0.3">
      <c r="A313" t="s">
        <v>413</v>
      </c>
      <c r="B313" s="12">
        <v>45878</v>
      </c>
      <c r="C313" t="s">
        <v>66</v>
      </c>
      <c r="D313" t="s">
        <v>21</v>
      </c>
      <c r="E313" t="s">
        <v>57</v>
      </c>
      <c r="F313" t="s">
        <v>16</v>
      </c>
      <c r="G313" t="s">
        <v>68</v>
      </c>
      <c r="H313" t="s">
        <v>69</v>
      </c>
      <c r="I313">
        <v>5</v>
      </c>
      <c r="J313">
        <v>0.1</v>
      </c>
      <c r="K313">
        <v>43851.7</v>
      </c>
      <c r="L313">
        <v>5160.26</v>
      </c>
      <c r="M313">
        <v>2025</v>
      </c>
      <c r="N313" t="s">
        <v>620</v>
      </c>
      <c r="O313" t="s">
        <v>625</v>
      </c>
      <c r="P313">
        <v>0.11767525546330018</v>
      </c>
    </row>
    <row r="314" spans="1:16" x14ac:dyDescent="0.3">
      <c r="A314" t="s">
        <v>414</v>
      </c>
      <c r="B314" s="12">
        <v>45881</v>
      </c>
      <c r="C314" t="s">
        <v>179</v>
      </c>
      <c r="D314" t="s">
        <v>39</v>
      </c>
      <c r="E314" t="s">
        <v>40</v>
      </c>
      <c r="F314" t="s">
        <v>16</v>
      </c>
      <c r="G314" t="s">
        <v>17</v>
      </c>
      <c r="H314" t="s">
        <v>88</v>
      </c>
      <c r="I314">
        <v>6</v>
      </c>
      <c r="J314">
        <v>0.2</v>
      </c>
      <c r="K314">
        <v>40357.14</v>
      </c>
      <c r="L314">
        <v>3682.16</v>
      </c>
      <c r="M314">
        <v>2025</v>
      </c>
      <c r="N314" t="s">
        <v>620</v>
      </c>
      <c r="O314" t="s">
        <v>625</v>
      </c>
      <c r="P314">
        <v>9.1239369291282776E-2</v>
      </c>
    </row>
    <row r="315" spans="1:16" x14ac:dyDescent="0.3">
      <c r="A315" t="s">
        <v>415</v>
      </c>
      <c r="B315" s="12">
        <v>45883</v>
      </c>
      <c r="C315" t="s">
        <v>51</v>
      </c>
      <c r="D315" t="s">
        <v>39</v>
      </c>
      <c r="E315" t="s">
        <v>40</v>
      </c>
      <c r="F315" t="s">
        <v>16</v>
      </c>
      <c r="G315" t="s">
        <v>17</v>
      </c>
      <c r="H315" t="s">
        <v>18</v>
      </c>
      <c r="I315">
        <v>2</v>
      </c>
      <c r="J315">
        <v>0</v>
      </c>
      <c r="K315">
        <v>19618.86</v>
      </c>
      <c r="L315">
        <v>3406.73</v>
      </c>
      <c r="M315">
        <v>2025</v>
      </c>
      <c r="N315" t="s">
        <v>620</v>
      </c>
      <c r="O315" t="s">
        <v>625</v>
      </c>
      <c r="P315">
        <v>0.17364566544641227</v>
      </c>
    </row>
    <row r="316" spans="1:16" x14ac:dyDescent="0.3">
      <c r="A316" t="s">
        <v>416</v>
      </c>
      <c r="B316" s="12">
        <v>45885</v>
      </c>
      <c r="C316" t="s">
        <v>85</v>
      </c>
      <c r="D316" t="s">
        <v>33</v>
      </c>
      <c r="E316" t="s">
        <v>86</v>
      </c>
      <c r="F316" t="s">
        <v>28</v>
      </c>
      <c r="G316" t="s">
        <v>71</v>
      </c>
      <c r="H316" t="s">
        <v>72</v>
      </c>
      <c r="I316">
        <v>4</v>
      </c>
      <c r="J316">
        <v>0.2</v>
      </c>
      <c r="K316">
        <v>8186.84</v>
      </c>
      <c r="L316">
        <v>833.23</v>
      </c>
      <c r="M316">
        <v>2025</v>
      </c>
      <c r="N316" t="s">
        <v>620</v>
      </c>
      <c r="O316" t="s">
        <v>625</v>
      </c>
      <c r="P316">
        <v>0.10177675391237645</v>
      </c>
    </row>
    <row r="317" spans="1:16" x14ac:dyDescent="0.3">
      <c r="A317" t="s">
        <v>417</v>
      </c>
      <c r="B317" s="12">
        <v>45885</v>
      </c>
      <c r="C317" t="s">
        <v>100</v>
      </c>
      <c r="D317" t="s">
        <v>33</v>
      </c>
      <c r="E317" t="s">
        <v>34</v>
      </c>
      <c r="F317" t="s">
        <v>28</v>
      </c>
      <c r="G317" t="s">
        <v>29</v>
      </c>
      <c r="H317" t="s">
        <v>30</v>
      </c>
      <c r="I317">
        <v>4</v>
      </c>
      <c r="J317">
        <v>0.1</v>
      </c>
      <c r="K317">
        <v>15583.2</v>
      </c>
      <c r="L317">
        <v>1191.8499999999999</v>
      </c>
      <c r="M317">
        <v>2025</v>
      </c>
      <c r="N317" t="s">
        <v>620</v>
      </c>
      <c r="O317" t="s">
        <v>625</v>
      </c>
      <c r="P317">
        <v>7.6483007341239279E-2</v>
      </c>
    </row>
    <row r="318" spans="1:16" x14ac:dyDescent="0.3">
      <c r="A318" t="s">
        <v>418</v>
      </c>
      <c r="B318" s="12">
        <v>45886</v>
      </c>
      <c r="C318" t="s">
        <v>13</v>
      </c>
      <c r="D318" t="s">
        <v>21</v>
      </c>
      <c r="E318" t="s">
        <v>105</v>
      </c>
      <c r="F318" t="s">
        <v>23</v>
      </c>
      <c r="G318" t="s">
        <v>24</v>
      </c>
      <c r="H318" t="s">
        <v>25</v>
      </c>
      <c r="I318">
        <v>1</v>
      </c>
      <c r="J318">
        <v>0.2</v>
      </c>
      <c r="K318">
        <v>1170.69</v>
      </c>
      <c r="L318">
        <v>42.13</v>
      </c>
      <c r="M318">
        <v>2025</v>
      </c>
      <c r="N318" t="s">
        <v>620</v>
      </c>
      <c r="O318" t="s">
        <v>625</v>
      </c>
      <c r="P318">
        <v>3.5987323715074016E-2</v>
      </c>
    </row>
    <row r="319" spans="1:16" x14ac:dyDescent="0.3">
      <c r="A319" t="s">
        <v>419</v>
      </c>
      <c r="B319" s="12">
        <v>45886</v>
      </c>
      <c r="C319" t="s">
        <v>66</v>
      </c>
      <c r="D319" t="s">
        <v>33</v>
      </c>
      <c r="E319" t="s">
        <v>34</v>
      </c>
      <c r="F319" t="s">
        <v>23</v>
      </c>
      <c r="G319" t="s">
        <v>58</v>
      </c>
      <c r="H319" t="s">
        <v>78</v>
      </c>
      <c r="I319">
        <v>3</v>
      </c>
      <c r="J319">
        <v>0</v>
      </c>
      <c r="K319">
        <v>105042.69</v>
      </c>
      <c r="L319">
        <v>17744.509999999998</v>
      </c>
      <c r="M319">
        <v>2025</v>
      </c>
      <c r="N319" t="s">
        <v>620</v>
      </c>
      <c r="O319" t="s">
        <v>625</v>
      </c>
      <c r="P319">
        <v>0.1689266525828689</v>
      </c>
    </row>
    <row r="320" spans="1:16" x14ac:dyDescent="0.3">
      <c r="A320" t="s">
        <v>420</v>
      </c>
      <c r="B320" s="12">
        <v>45887</v>
      </c>
      <c r="C320" t="s">
        <v>95</v>
      </c>
      <c r="D320" t="s">
        <v>21</v>
      </c>
      <c r="E320" t="s">
        <v>22</v>
      </c>
      <c r="F320" t="s">
        <v>28</v>
      </c>
      <c r="G320" t="s">
        <v>29</v>
      </c>
      <c r="H320" t="s">
        <v>30</v>
      </c>
      <c r="I320">
        <v>4</v>
      </c>
      <c r="J320">
        <v>0.1</v>
      </c>
      <c r="K320">
        <v>1939.72</v>
      </c>
      <c r="L320">
        <v>282.77999999999997</v>
      </c>
      <c r="M320">
        <v>2025</v>
      </c>
      <c r="N320" t="s">
        <v>620</v>
      </c>
      <c r="O320" t="s">
        <v>625</v>
      </c>
      <c r="P320">
        <v>0.14578392757717606</v>
      </c>
    </row>
    <row r="321" spans="1:16" x14ac:dyDescent="0.3">
      <c r="A321" t="s">
        <v>421</v>
      </c>
      <c r="B321" s="12">
        <v>45887</v>
      </c>
      <c r="C321" t="s">
        <v>143</v>
      </c>
      <c r="D321" t="s">
        <v>39</v>
      </c>
      <c r="E321" t="s">
        <v>47</v>
      </c>
      <c r="F321" t="s">
        <v>28</v>
      </c>
      <c r="G321" t="s">
        <v>74</v>
      </c>
      <c r="H321" t="s">
        <v>75</v>
      </c>
      <c r="I321">
        <v>4</v>
      </c>
      <c r="J321">
        <v>0</v>
      </c>
      <c r="K321">
        <v>9316.4</v>
      </c>
      <c r="L321">
        <v>1570.93</v>
      </c>
      <c r="M321">
        <v>2025</v>
      </c>
      <c r="N321" t="s">
        <v>620</v>
      </c>
      <c r="O321" t="s">
        <v>625</v>
      </c>
      <c r="P321">
        <v>0.16861985316216566</v>
      </c>
    </row>
    <row r="322" spans="1:16" x14ac:dyDescent="0.3">
      <c r="A322" t="s">
        <v>422</v>
      </c>
      <c r="B322" s="12">
        <v>45888</v>
      </c>
      <c r="C322" t="s">
        <v>27</v>
      </c>
      <c r="D322" t="s">
        <v>14</v>
      </c>
      <c r="E322" t="s">
        <v>114</v>
      </c>
      <c r="F322" t="s">
        <v>28</v>
      </c>
      <c r="G322" t="s">
        <v>71</v>
      </c>
      <c r="H322" t="s">
        <v>72</v>
      </c>
      <c r="I322">
        <v>4</v>
      </c>
      <c r="J322">
        <v>0.15</v>
      </c>
      <c r="K322">
        <v>17316.84</v>
      </c>
      <c r="L322">
        <v>1450.33</v>
      </c>
      <c r="M322">
        <v>2025</v>
      </c>
      <c r="N322" t="s">
        <v>620</v>
      </c>
      <c r="O322" t="s">
        <v>625</v>
      </c>
      <c r="P322">
        <v>8.3752578414999501E-2</v>
      </c>
    </row>
    <row r="323" spans="1:16" x14ac:dyDescent="0.3">
      <c r="A323" t="s">
        <v>423</v>
      </c>
      <c r="B323" s="12">
        <v>45888</v>
      </c>
      <c r="C323" t="s">
        <v>229</v>
      </c>
      <c r="D323" t="s">
        <v>14</v>
      </c>
      <c r="E323" t="s">
        <v>97</v>
      </c>
      <c r="F323" t="s">
        <v>23</v>
      </c>
      <c r="G323" t="s">
        <v>35</v>
      </c>
      <c r="H323" t="s">
        <v>36</v>
      </c>
      <c r="I323">
        <v>7</v>
      </c>
      <c r="J323">
        <v>0.2</v>
      </c>
      <c r="K323">
        <v>278397.07</v>
      </c>
      <c r="L323">
        <v>19549.09</v>
      </c>
      <c r="M323">
        <v>2025</v>
      </c>
      <c r="N323" t="s">
        <v>620</v>
      </c>
      <c r="O323" t="s">
        <v>625</v>
      </c>
      <c r="P323">
        <v>7.0220171498212969E-2</v>
      </c>
    </row>
    <row r="324" spans="1:16" x14ac:dyDescent="0.3">
      <c r="A324" t="s">
        <v>424</v>
      </c>
      <c r="B324" s="12">
        <v>45889</v>
      </c>
      <c r="C324" t="s">
        <v>147</v>
      </c>
      <c r="D324" t="s">
        <v>33</v>
      </c>
      <c r="E324" t="s">
        <v>140</v>
      </c>
      <c r="F324" t="s">
        <v>28</v>
      </c>
      <c r="G324" t="s">
        <v>29</v>
      </c>
      <c r="H324" t="s">
        <v>98</v>
      </c>
      <c r="I324">
        <v>4</v>
      </c>
      <c r="J324">
        <v>0.05</v>
      </c>
      <c r="K324">
        <v>12889.16</v>
      </c>
      <c r="L324">
        <v>1652.12</v>
      </c>
      <c r="M324">
        <v>2025</v>
      </c>
      <c r="N324" t="s">
        <v>620</v>
      </c>
      <c r="O324" t="s">
        <v>625</v>
      </c>
      <c r="P324">
        <v>0.12817902795837743</v>
      </c>
    </row>
    <row r="325" spans="1:16" x14ac:dyDescent="0.3">
      <c r="A325" t="s">
        <v>425</v>
      </c>
      <c r="B325" s="12">
        <v>45889</v>
      </c>
      <c r="C325" t="s">
        <v>32</v>
      </c>
      <c r="D325" t="s">
        <v>14</v>
      </c>
      <c r="E325" t="s">
        <v>15</v>
      </c>
      <c r="F325" t="s">
        <v>23</v>
      </c>
      <c r="G325" t="s">
        <v>35</v>
      </c>
      <c r="H325" t="s">
        <v>36</v>
      </c>
      <c r="I325">
        <v>1</v>
      </c>
      <c r="J325">
        <v>0.2</v>
      </c>
      <c r="K325">
        <v>31012.799999999999</v>
      </c>
      <c r="L325">
        <v>2732.41</v>
      </c>
      <c r="M325">
        <v>2025</v>
      </c>
      <c r="N325" t="s">
        <v>620</v>
      </c>
      <c r="O325" t="s">
        <v>625</v>
      </c>
      <c r="P325">
        <v>8.8105878862921108E-2</v>
      </c>
    </row>
    <row r="326" spans="1:16" x14ac:dyDescent="0.3">
      <c r="A326" t="s">
        <v>426</v>
      </c>
      <c r="B326" s="12">
        <v>45889</v>
      </c>
      <c r="C326" t="s">
        <v>77</v>
      </c>
      <c r="D326" t="s">
        <v>21</v>
      </c>
      <c r="E326" t="s">
        <v>22</v>
      </c>
      <c r="F326" t="s">
        <v>16</v>
      </c>
      <c r="G326" t="s">
        <v>68</v>
      </c>
      <c r="H326" t="s">
        <v>175</v>
      </c>
      <c r="I326">
        <v>4</v>
      </c>
      <c r="J326">
        <v>0</v>
      </c>
      <c r="K326">
        <v>7203.04</v>
      </c>
      <c r="L326">
        <v>1420.58</v>
      </c>
      <c r="M326">
        <v>2025</v>
      </c>
      <c r="N326" t="s">
        <v>620</v>
      </c>
      <c r="O326" t="s">
        <v>625</v>
      </c>
      <c r="P326">
        <v>0.1972195073191319</v>
      </c>
    </row>
    <row r="327" spans="1:16" x14ac:dyDescent="0.3">
      <c r="A327" t="s">
        <v>427</v>
      </c>
      <c r="B327" s="12">
        <v>45890</v>
      </c>
      <c r="C327" t="s">
        <v>20</v>
      </c>
      <c r="D327" t="s">
        <v>39</v>
      </c>
      <c r="E327" t="s">
        <v>40</v>
      </c>
      <c r="F327" t="s">
        <v>23</v>
      </c>
      <c r="G327" t="s">
        <v>35</v>
      </c>
      <c r="H327" t="s">
        <v>155</v>
      </c>
      <c r="I327">
        <v>4</v>
      </c>
      <c r="J327">
        <v>0.15</v>
      </c>
      <c r="K327">
        <v>73045.36</v>
      </c>
      <c r="L327">
        <v>13806.34</v>
      </c>
      <c r="M327">
        <v>2025</v>
      </c>
      <c r="N327" t="s">
        <v>620</v>
      </c>
      <c r="O327" t="s">
        <v>625</v>
      </c>
      <c r="P327">
        <v>0.18901049977712478</v>
      </c>
    </row>
    <row r="328" spans="1:16" x14ac:dyDescent="0.3">
      <c r="A328" t="s">
        <v>428</v>
      </c>
      <c r="B328" s="12">
        <v>45893</v>
      </c>
      <c r="C328" t="s">
        <v>13</v>
      </c>
      <c r="D328" t="s">
        <v>33</v>
      </c>
      <c r="E328" t="s">
        <v>140</v>
      </c>
      <c r="F328" t="s">
        <v>23</v>
      </c>
      <c r="G328" t="s">
        <v>48</v>
      </c>
      <c r="H328" t="s">
        <v>49</v>
      </c>
      <c r="I328">
        <v>1</v>
      </c>
      <c r="J328">
        <v>0.05</v>
      </c>
      <c r="K328">
        <v>26618.91</v>
      </c>
      <c r="L328">
        <v>1874.85</v>
      </c>
      <c r="M328">
        <v>2025</v>
      </c>
      <c r="N328" t="s">
        <v>620</v>
      </c>
      <c r="O328" t="s">
        <v>625</v>
      </c>
      <c r="P328">
        <v>7.0433011719863811E-2</v>
      </c>
    </row>
    <row r="329" spans="1:16" x14ac:dyDescent="0.3">
      <c r="A329" t="s">
        <v>429</v>
      </c>
      <c r="B329" s="12">
        <v>45894</v>
      </c>
      <c r="C329" t="s">
        <v>147</v>
      </c>
      <c r="D329" t="s">
        <v>39</v>
      </c>
      <c r="E329" t="s">
        <v>128</v>
      </c>
      <c r="F329" t="s">
        <v>16</v>
      </c>
      <c r="G329" t="s">
        <v>68</v>
      </c>
      <c r="H329" t="s">
        <v>69</v>
      </c>
      <c r="I329">
        <v>1</v>
      </c>
      <c r="J329">
        <v>0.2</v>
      </c>
      <c r="K329">
        <v>11480.95</v>
      </c>
      <c r="L329">
        <v>1308.74</v>
      </c>
      <c r="M329">
        <v>2025</v>
      </c>
      <c r="N329" t="s">
        <v>620</v>
      </c>
      <c r="O329" t="s">
        <v>625</v>
      </c>
      <c r="P329">
        <v>0.11399230899881978</v>
      </c>
    </row>
    <row r="330" spans="1:16" x14ac:dyDescent="0.3">
      <c r="A330" t="s">
        <v>430</v>
      </c>
      <c r="B330" s="12">
        <v>45894</v>
      </c>
      <c r="C330" t="s">
        <v>147</v>
      </c>
      <c r="D330" t="s">
        <v>39</v>
      </c>
      <c r="E330" t="s">
        <v>40</v>
      </c>
      <c r="F330" t="s">
        <v>28</v>
      </c>
      <c r="G330" t="s">
        <v>92</v>
      </c>
      <c r="H330" t="s">
        <v>93</v>
      </c>
      <c r="I330">
        <v>7</v>
      </c>
      <c r="J330">
        <v>0.1</v>
      </c>
      <c r="K330">
        <v>13100.85</v>
      </c>
      <c r="L330">
        <v>2773.41</v>
      </c>
      <c r="M330">
        <v>2025</v>
      </c>
      <c r="N330" t="s">
        <v>620</v>
      </c>
      <c r="O330" t="s">
        <v>625</v>
      </c>
      <c r="P330">
        <v>0.21169695096119714</v>
      </c>
    </row>
    <row r="331" spans="1:16" x14ac:dyDescent="0.3">
      <c r="A331" t="s">
        <v>431</v>
      </c>
      <c r="B331" s="12">
        <v>45895</v>
      </c>
      <c r="C331" t="s">
        <v>100</v>
      </c>
      <c r="D331" t="s">
        <v>39</v>
      </c>
      <c r="E331" t="s">
        <v>52</v>
      </c>
      <c r="F331" t="s">
        <v>16</v>
      </c>
      <c r="G331" t="s">
        <v>41</v>
      </c>
      <c r="H331" t="s">
        <v>177</v>
      </c>
      <c r="I331">
        <v>7</v>
      </c>
      <c r="J331">
        <v>0.05</v>
      </c>
      <c r="K331">
        <v>5953.01</v>
      </c>
      <c r="L331">
        <v>824.85</v>
      </c>
      <c r="M331">
        <v>2025</v>
      </c>
      <c r="N331" t="s">
        <v>620</v>
      </c>
      <c r="O331" t="s">
        <v>625</v>
      </c>
      <c r="P331">
        <v>0.1385601569626122</v>
      </c>
    </row>
    <row r="332" spans="1:16" x14ac:dyDescent="0.3">
      <c r="A332" t="s">
        <v>432</v>
      </c>
      <c r="B332" s="12">
        <v>45896</v>
      </c>
      <c r="C332" t="s">
        <v>66</v>
      </c>
      <c r="D332" t="s">
        <v>39</v>
      </c>
      <c r="E332" t="s">
        <v>128</v>
      </c>
      <c r="F332" t="s">
        <v>23</v>
      </c>
      <c r="G332" t="s">
        <v>58</v>
      </c>
      <c r="H332" t="s">
        <v>101</v>
      </c>
      <c r="I332">
        <v>7</v>
      </c>
      <c r="J332">
        <v>0</v>
      </c>
      <c r="K332">
        <v>334862.64</v>
      </c>
      <c r="L332">
        <v>30174.53</v>
      </c>
      <c r="M332">
        <v>2025</v>
      </c>
      <c r="N332" t="s">
        <v>620</v>
      </c>
      <c r="O332" t="s">
        <v>625</v>
      </c>
      <c r="P332">
        <v>9.0110171740866635E-2</v>
      </c>
    </row>
    <row r="333" spans="1:16" x14ac:dyDescent="0.3">
      <c r="A333" t="s">
        <v>433</v>
      </c>
      <c r="B333" s="12">
        <v>45896</v>
      </c>
      <c r="C333" t="s">
        <v>66</v>
      </c>
      <c r="D333" t="s">
        <v>33</v>
      </c>
      <c r="E333" t="s">
        <v>86</v>
      </c>
      <c r="F333" t="s">
        <v>23</v>
      </c>
      <c r="G333" t="s">
        <v>48</v>
      </c>
      <c r="H333" t="s">
        <v>49</v>
      </c>
      <c r="I333">
        <v>3</v>
      </c>
      <c r="J333">
        <v>0.15</v>
      </c>
      <c r="K333">
        <v>6703.32</v>
      </c>
      <c r="L333">
        <v>662.03</v>
      </c>
      <c r="M333">
        <v>2025</v>
      </c>
      <c r="N333" t="s">
        <v>620</v>
      </c>
      <c r="O333" t="s">
        <v>625</v>
      </c>
      <c r="P333">
        <v>9.8761509222295818E-2</v>
      </c>
    </row>
    <row r="334" spans="1:16" x14ac:dyDescent="0.3">
      <c r="A334" t="s">
        <v>434</v>
      </c>
      <c r="B334" s="12">
        <v>45896</v>
      </c>
      <c r="C334" t="s">
        <v>85</v>
      </c>
      <c r="D334" t="s">
        <v>39</v>
      </c>
      <c r="E334" t="s">
        <v>47</v>
      </c>
      <c r="F334" t="s">
        <v>28</v>
      </c>
      <c r="G334" t="s">
        <v>29</v>
      </c>
      <c r="H334" t="s">
        <v>30</v>
      </c>
      <c r="I334">
        <v>1</v>
      </c>
      <c r="J334">
        <v>0.2</v>
      </c>
      <c r="K334">
        <v>2528.9499999999998</v>
      </c>
      <c r="L334">
        <v>170.26</v>
      </c>
      <c r="M334">
        <v>2025</v>
      </c>
      <c r="N334" t="s">
        <v>620</v>
      </c>
      <c r="O334" t="s">
        <v>625</v>
      </c>
      <c r="P334">
        <v>6.7324383637478002E-2</v>
      </c>
    </row>
    <row r="335" spans="1:16" x14ac:dyDescent="0.3">
      <c r="A335" t="s">
        <v>435</v>
      </c>
      <c r="B335" s="12">
        <v>45897</v>
      </c>
      <c r="C335" t="s">
        <v>143</v>
      </c>
      <c r="D335" t="s">
        <v>14</v>
      </c>
      <c r="E335" t="s">
        <v>54</v>
      </c>
      <c r="F335" t="s">
        <v>23</v>
      </c>
      <c r="G335" t="s">
        <v>24</v>
      </c>
      <c r="H335" t="s">
        <v>129</v>
      </c>
      <c r="I335">
        <v>5</v>
      </c>
      <c r="J335">
        <v>0.15</v>
      </c>
      <c r="K335">
        <v>180733.6</v>
      </c>
      <c r="L335">
        <v>30201.25</v>
      </c>
      <c r="M335">
        <v>2025</v>
      </c>
      <c r="N335" t="s">
        <v>620</v>
      </c>
      <c r="O335" t="s">
        <v>625</v>
      </c>
      <c r="P335">
        <v>0.16710368188316949</v>
      </c>
    </row>
    <row r="336" spans="1:16" x14ac:dyDescent="0.3">
      <c r="A336" t="s">
        <v>436</v>
      </c>
      <c r="B336" s="12">
        <v>45898</v>
      </c>
      <c r="C336" t="s">
        <v>32</v>
      </c>
      <c r="D336" t="s">
        <v>21</v>
      </c>
      <c r="E336" t="s">
        <v>22</v>
      </c>
      <c r="F336" t="s">
        <v>16</v>
      </c>
      <c r="G336" t="s">
        <v>17</v>
      </c>
      <c r="H336" t="s">
        <v>153</v>
      </c>
      <c r="I336">
        <v>6</v>
      </c>
      <c r="J336">
        <v>0</v>
      </c>
      <c r="K336">
        <v>58253.1</v>
      </c>
      <c r="L336">
        <v>9792.59</v>
      </c>
      <c r="M336">
        <v>2025</v>
      </c>
      <c r="N336" t="s">
        <v>620</v>
      </c>
      <c r="O336" t="s">
        <v>625</v>
      </c>
      <c r="P336">
        <v>0.1681041867299766</v>
      </c>
    </row>
    <row r="337" spans="1:16" x14ac:dyDescent="0.3">
      <c r="A337" t="s">
        <v>437</v>
      </c>
      <c r="B337" s="12">
        <v>45899</v>
      </c>
      <c r="C337" t="s">
        <v>104</v>
      </c>
      <c r="D337" t="s">
        <v>39</v>
      </c>
      <c r="E337" t="s">
        <v>128</v>
      </c>
      <c r="F337" t="s">
        <v>28</v>
      </c>
      <c r="G337" t="s">
        <v>71</v>
      </c>
      <c r="H337" t="s">
        <v>121</v>
      </c>
      <c r="I337">
        <v>7</v>
      </c>
      <c r="J337">
        <v>0.15</v>
      </c>
      <c r="K337">
        <v>8768.5499999999993</v>
      </c>
      <c r="L337">
        <v>1527.27</v>
      </c>
      <c r="M337">
        <v>2025</v>
      </c>
      <c r="N337" t="s">
        <v>620</v>
      </c>
      <c r="O337" t="s">
        <v>625</v>
      </c>
      <c r="P337">
        <v>0.17417588997040562</v>
      </c>
    </row>
    <row r="338" spans="1:16" x14ac:dyDescent="0.3">
      <c r="A338" t="s">
        <v>438</v>
      </c>
      <c r="B338" s="12">
        <v>45900</v>
      </c>
      <c r="C338" t="s">
        <v>38</v>
      </c>
      <c r="D338" t="s">
        <v>33</v>
      </c>
      <c r="E338" t="s">
        <v>34</v>
      </c>
      <c r="F338" t="s">
        <v>28</v>
      </c>
      <c r="G338" t="s">
        <v>71</v>
      </c>
      <c r="H338" t="s">
        <v>72</v>
      </c>
      <c r="I338">
        <v>4</v>
      </c>
      <c r="J338">
        <v>0.2</v>
      </c>
      <c r="K338">
        <v>18622.080000000002</v>
      </c>
      <c r="L338">
        <v>1122.1199999999999</v>
      </c>
      <c r="M338">
        <v>2025</v>
      </c>
      <c r="N338" t="s">
        <v>620</v>
      </c>
      <c r="O338" t="s">
        <v>625</v>
      </c>
      <c r="P338">
        <v>6.0257500773275581E-2</v>
      </c>
    </row>
    <row r="339" spans="1:16" x14ac:dyDescent="0.3">
      <c r="A339" t="s">
        <v>439</v>
      </c>
      <c r="B339" s="12">
        <v>45900</v>
      </c>
      <c r="C339" t="s">
        <v>20</v>
      </c>
      <c r="D339" t="s">
        <v>14</v>
      </c>
      <c r="E339" t="s">
        <v>114</v>
      </c>
      <c r="F339" t="s">
        <v>23</v>
      </c>
      <c r="G339" t="s">
        <v>24</v>
      </c>
      <c r="H339" t="s">
        <v>129</v>
      </c>
      <c r="I339">
        <v>7</v>
      </c>
      <c r="J339">
        <v>0.2</v>
      </c>
      <c r="K339">
        <v>167530.85999999999</v>
      </c>
      <c r="L339">
        <v>6862.07</v>
      </c>
      <c r="M339">
        <v>2025</v>
      </c>
      <c r="N339" t="s">
        <v>620</v>
      </c>
      <c r="O339" t="s">
        <v>625</v>
      </c>
      <c r="P339">
        <v>4.0960035661489473E-2</v>
      </c>
    </row>
    <row r="340" spans="1:16" x14ac:dyDescent="0.3">
      <c r="A340" t="s">
        <v>440</v>
      </c>
      <c r="B340" s="12">
        <v>45903</v>
      </c>
      <c r="C340" t="s">
        <v>56</v>
      </c>
      <c r="D340" t="s">
        <v>14</v>
      </c>
      <c r="E340" t="s">
        <v>54</v>
      </c>
      <c r="F340" t="s">
        <v>28</v>
      </c>
      <c r="G340" t="s">
        <v>71</v>
      </c>
      <c r="H340" t="s">
        <v>72</v>
      </c>
      <c r="I340">
        <v>7</v>
      </c>
      <c r="J340">
        <v>0</v>
      </c>
      <c r="K340">
        <v>25789.96</v>
      </c>
      <c r="L340">
        <v>3435.7</v>
      </c>
      <c r="M340">
        <v>2025</v>
      </c>
      <c r="N340" t="s">
        <v>621</v>
      </c>
      <c r="O340" t="s">
        <v>625</v>
      </c>
      <c r="P340">
        <v>0.13321850828772128</v>
      </c>
    </row>
    <row r="341" spans="1:16" x14ac:dyDescent="0.3">
      <c r="A341" t="s">
        <v>441</v>
      </c>
      <c r="B341" s="12">
        <v>45905</v>
      </c>
      <c r="C341" t="s">
        <v>32</v>
      </c>
      <c r="D341" t="s">
        <v>21</v>
      </c>
      <c r="E341" t="s">
        <v>67</v>
      </c>
      <c r="F341" t="s">
        <v>28</v>
      </c>
      <c r="G341" t="s">
        <v>71</v>
      </c>
      <c r="H341" t="s">
        <v>121</v>
      </c>
      <c r="I341">
        <v>4</v>
      </c>
      <c r="J341">
        <v>0.15</v>
      </c>
      <c r="K341">
        <v>10958.56</v>
      </c>
      <c r="L341">
        <v>1788.64</v>
      </c>
      <c r="M341">
        <v>2025</v>
      </c>
      <c r="N341" t="s">
        <v>621</v>
      </c>
      <c r="O341" t="s">
        <v>625</v>
      </c>
      <c r="P341">
        <v>0.16321852506168696</v>
      </c>
    </row>
    <row r="342" spans="1:16" x14ac:dyDescent="0.3">
      <c r="A342" t="s">
        <v>442</v>
      </c>
      <c r="B342" s="12">
        <v>45906</v>
      </c>
      <c r="C342" t="s">
        <v>66</v>
      </c>
      <c r="D342" t="s">
        <v>39</v>
      </c>
      <c r="E342" t="s">
        <v>47</v>
      </c>
      <c r="F342" t="s">
        <v>16</v>
      </c>
      <c r="G342" t="s">
        <v>17</v>
      </c>
      <c r="H342" t="s">
        <v>88</v>
      </c>
      <c r="I342">
        <v>2</v>
      </c>
      <c r="J342">
        <v>0.1</v>
      </c>
      <c r="K342">
        <v>10739.84</v>
      </c>
      <c r="L342">
        <v>2291.73</v>
      </c>
      <c r="M342">
        <v>2025</v>
      </c>
      <c r="N342" t="s">
        <v>621</v>
      </c>
      <c r="O342" t="s">
        <v>625</v>
      </c>
      <c r="P342">
        <v>0.21338586049699065</v>
      </c>
    </row>
    <row r="343" spans="1:16" x14ac:dyDescent="0.3">
      <c r="A343" t="s">
        <v>443</v>
      </c>
      <c r="B343" s="12">
        <v>45908</v>
      </c>
      <c r="C343" t="s">
        <v>13</v>
      </c>
      <c r="D343" t="s">
        <v>33</v>
      </c>
      <c r="E343" t="s">
        <v>86</v>
      </c>
      <c r="F343" t="s">
        <v>28</v>
      </c>
      <c r="G343" t="s">
        <v>29</v>
      </c>
      <c r="H343" t="s">
        <v>98</v>
      </c>
      <c r="I343">
        <v>1</v>
      </c>
      <c r="J343">
        <v>0.2</v>
      </c>
      <c r="K343">
        <v>756.67</v>
      </c>
      <c r="L343">
        <v>87.36</v>
      </c>
      <c r="M343">
        <v>2025</v>
      </c>
      <c r="N343" t="s">
        <v>621</v>
      </c>
      <c r="O343" t="s">
        <v>627</v>
      </c>
      <c r="P343">
        <v>0.11545323588882869</v>
      </c>
    </row>
    <row r="344" spans="1:16" x14ac:dyDescent="0.3">
      <c r="A344" t="s">
        <v>444</v>
      </c>
      <c r="B344" s="12">
        <v>45908</v>
      </c>
      <c r="C344" t="s">
        <v>32</v>
      </c>
      <c r="D344" t="s">
        <v>33</v>
      </c>
      <c r="E344" t="s">
        <v>140</v>
      </c>
      <c r="F344" t="s">
        <v>23</v>
      </c>
      <c r="G344" t="s">
        <v>58</v>
      </c>
      <c r="H344" t="s">
        <v>90</v>
      </c>
      <c r="I344">
        <v>7</v>
      </c>
      <c r="J344">
        <v>0.1</v>
      </c>
      <c r="K344">
        <v>310607.43</v>
      </c>
      <c r="L344">
        <v>50339.33</v>
      </c>
      <c r="M344">
        <v>2025</v>
      </c>
      <c r="N344" t="s">
        <v>621</v>
      </c>
      <c r="O344" t="s">
        <v>625</v>
      </c>
      <c r="P344">
        <v>0.16206737230979956</v>
      </c>
    </row>
    <row r="345" spans="1:16" x14ac:dyDescent="0.3">
      <c r="A345" t="s">
        <v>445</v>
      </c>
      <c r="B345" s="12">
        <v>45908</v>
      </c>
      <c r="C345" t="s">
        <v>20</v>
      </c>
      <c r="D345" t="s">
        <v>39</v>
      </c>
      <c r="E345" t="s">
        <v>47</v>
      </c>
      <c r="F345" t="s">
        <v>23</v>
      </c>
      <c r="G345" t="s">
        <v>58</v>
      </c>
      <c r="H345" t="s">
        <v>78</v>
      </c>
      <c r="I345">
        <v>6</v>
      </c>
      <c r="J345">
        <v>0.15</v>
      </c>
      <c r="K345">
        <v>56869.440000000002</v>
      </c>
      <c r="L345">
        <v>5614</v>
      </c>
      <c r="M345">
        <v>2025</v>
      </c>
      <c r="N345" t="s">
        <v>621</v>
      </c>
      <c r="O345" t="s">
        <v>625</v>
      </c>
      <c r="P345">
        <v>9.8717342741549766E-2</v>
      </c>
    </row>
    <row r="346" spans="1:16" x14ac:dyDescent="0.3">
      <c r="A346" t="s">
        <v>446</v>
      </c>
      <c r="B346" s="12">
        <v>45909</v>
      </c>
      <c r="C346" t="s">
        <v>66</v>
      </c>
      <c r="D346" t="s">
        <v>39</v>
      </c>
      <c r="E346" t="s">
        <v>128</v>
      </c>
      <c r="F346" t="s">
        <v>23</v>
      </c>
      <c r="G346" t="s">
        <v>58</v>
      </c>
      <c r="H346" t="s">
        <v>78</v>
      </c>
      <c r="I346">
        <v>3</v>
      </c>
      <c r="J346">
        <v>0.1</v>
      </c>
      <c r="K346">
        <v>107365.68</v>
      </c>
      <c r="L346">
        <v>11195.36</v>
      </c>
      <c r="M346">
        <v>2025</v>
      </c>
      <c r="N346" t="s">
        <v>621</v>
      </c>
      <c r="O346" t="s">
        <v>625</v>
      </c>
      <c r="P346">
        <v>0.1042731718366614</v>
      </c>
    </row>
    <row r="347" spans="1:16" x14ac:dyDescent="0.3">
      <c r="A347" t="s">
        <v>447</v>
      </c>
      <c r="B347" s="12">
        <v>45909</v>
      </c>
      <c r="C347" t="s">
        <v>179</v>
      </c>
      <c r="D347" t="s">
        <v>39</v>
      </c>
      <c r="E347" t="s">
        <v>40</v>
      </c>
      <c r="F347" t="s">
        <v>28</v>
      </c>
      <c r="G347" t="s">
        <v>71</v>
      </c>
      <c r="H347" t="s">
        <v>72</v>
      </c>
      <c r="I347">
        <v>2</v>
      </c>
      <c r="J347">
        <v>0.15</v>
      </c>
      <c r="K347">
        <v>9825.24</v>
      </c>
      <c r="L347">
        <v>1154.8599999999999</v>
      </c>
      <c r="M347">
        <v>2025</v>
      </c>
      <c r="N347" t="s">
        <v>621</v>
      </c>
      <c r="O347" t="s">
        <v>625</v>
      </c>
      <c r="P347">
        <v>0.1175401313352142</v>
      </c>
    </row>
    <row r="348" spans="1:16" x14ac:dyDescent="0.3">
      <c r="A348" t="s">
        <v>448</v>
      </c>
      <c r="B348" s="12">
        <v>45909</v>
      </c>
      <c r="C348" t="s">
        <v>100</v>
      </c>
      <c r="D348" t="s">
        <v>14</v>
      </c>
      <c r="E348" t="s">
        <v>54</v>
      </c>
      <c r="F348" t="s">
        <v>23</v>
      </c>
      <c r="G348" t="s">
        <v>24</v>
      </c>
      <c r="H348" t="s">
        <v>129</v>
      </c>
      <c r="I348">
        <v>3</v>
      </c>
      <c r="J348">
        <v>0</v>
      </c>
      <c r="K348">
        <v>100829.52</v>
      </c>
      <c r="L348">
        <v>9977.7900000000009</v>
      </c>
      <c r="M348">
        <v>2025</v>
      </c>
      <c r="N348" t="s">
        <v>621</v>
      </c>
      <c r="O348" t="s">
        <v>625</v>
      </c>
      <c r="P348">
        <v>9.8957031631212763E-2</v>
      </c>
    </row>
    <row r="349" spans="1:16" x14ac:dyDescent="0.3">
      <c r="A349" t="s">
        <v>449</v>
      </c>
      <c r="B349" s="12">
        <v>45911</v>
      </c>
      <c r="C349" t="s">
        <v>82</v>
      </c>
      <c r="D349" t="s">
        <v>14</v>
      </c>
      <c r="E349" t="s">
        <v>97</v>
      </c>
      <c r="F349" t="s">
        <v>23</v>
      </c>
      <c r="G349" t="s">
        <v>58</v>
      </c>
      <c r="H349" t="s">
        <v>78</v>
      </c>
      <c r="I349">
        <v>2</v>
      </c>
      <c r="J349">
        <v>0.1</v>
      </c>
      <c r="K349">
        <v>60577.9</v>
      </c>
      <c r="L349">
        <v>5504.68</v>
      </c>
      <c r="M349">
        <v>2025</v>
      </c>
      <c r="N349" t="s">
        <v>621</v>
      </c>
      <c r="O349" t="s">
        <v>625</v>
      </c>
      <c r="P349">
        <v>9.0869442486451332E-2</v>
      </c>
    </row>
    <row r="350" spans="1:16" x14ac:dyDescent="0.3">
      <c r="A350" t="s">
        <v>450</v>
      </c>
      <c r="B350" s="12">
        <v>45912</v>
      </c>
      <c r="C350" t="s">
        <v>135</v>
      </c>
      <c r="D350" t="s">
        <v>39</v>
      </c>
      <c r="E350" t="s">
        <v>128</v>
      </c>
      <c r="F350" t="s">
        <v>28</v>
      </c>
      <c r="G350" t="s">
        <v>92</v>
      </c>
      <c r="H350" t="s">
        <v>93</v>
      </c>
      <c r="I350">
        <v>7</v>
      </c>
      <c r="J350">
        <v>0.05</v>
      </c>
      <c r="K350">
        <v>2086.84</v>
      </c>
      <c r="L350">
        <v>139.44999999999999</v>
      </c>
      <c r="M350">
        <v>2025</v>
      </c>
      <c r="N350" t="s">
        <v>621</v>
      </c>
      <c r="O350" t="s">
        <v>625</v>
      </c>
      <c r="P350">
        <v>6.6823522646681094E-2</v>
      </c>
    </row>
    <row r="351" spans="1:16" x14ac:dyDescent="0.3">
      <c r="A351" t="s">
        <v>451</v>
      </c>
      <c r="B351" s="12">
        <v>45912</v>
      </c>
      <c r="C351" t="s">
        <v>56</v>
      </c>
      <c r="D351" t="s">
        <v>14</v>
      </c>
      <c r="E351" t="s">
        <v>97</v>
      </c>
      <c r="F351" t="s">
        <v>23</v>
      </c>
      <c r="G351" t="s">
        <v>58</v>
      </c>
      <c r="H351" t="s">
        <v>78</v>
      </c>
      <c r="I351">
        <v>6</v>
      </c>
      <c r="J351">
        <v>0.2</v>
      </c>
      <c r="K351">
        <v>104952.9</v>
      </c>
      <c r="L351">
        <v>4235.12</v>
      </c>
      <c r="M351">
        <v>2025</v>
      </c>
      <c r="N351" t="s">
        <v>621</v>
      </c>
      <c r="O351" t="s">
        <v>625</v>
      </c>
      <c r="P351">
        <v>4.0352577203678984E-2</v>
      </c>
    </row>
    <row r="352" spans="1:16" x14ac:dyDescent="0.3">
      <c r="A352" t="s">
        <v>452</v>
      </c>
      <c r="B352" s="12">
        <v>45913</v>
      </c>
      <c r="C352" t="s">
        <v>111</v>
      </c>
      <c r="D352" t="s">
        <v>21</v>
      </c>
      <c r="E352" t="s">
        <v>67</v>
      </c>
      <c r="F352" t="s">
        <v>16</v>
      </c>
      <c r="G352" t="s">
        <v>68</v>
      </c>
      <c r="H352" t="s">
        <v>69</v>
      </c>
      <c r="I352">
        <v>3</v>
      </c>
      <c r="J352">
        <v>0.1</v>
      </c>
      <c r="K352">
        <v>35961.81</v>
      </c>
      <c r="L352">
        <v>7325.68</v>
      </c>
      <c r="M352">
        <v>2025</v>
      </c>
      <c r="N352" t="s">
        <v>621</v>
      </c>
      <c r="O352" t="s">
        <v>625</v>
      </c>
      <c r="P352">
        <v>0.20370721051026078</v>
      </c>
    </row>
    <row r="353" spans="1:16" x14ac:dyDescent="0.3">
      <c r="A353" t="s">
        <v>453</v>
      </c>
      <c r="B353" s="12">
        <v>45914</v>
      </c>
      <c r="C353" t="s">
        <v>135</v>
      </c>
      <c r="D353" t="s">
        <v>33</v>
      </c>
      <c r="E353" t="s">
        <v>86</v>
      </c>
      <c r="F353" t="s">
        <v>28</v>
      </c>
      <c r="G353" t="s">
        <v>29</v>
      </c>
      <c r="H353" t="s">
        <v>30</v>
      </c>
      <c r="I353">
        <v>5</v>
      </c>
      <c r="J353">
        <v>0.15</v>
      </c>
      <c r="K353">
        <v>24628.6</v>
      </c>
      <c r="L353">
        <v>1199.23</v>
      </c>
      <c r="M353">
        <v>2025</v>
      </c>
      <c r="N353" t="s">
        <v>621</v>
      </c>
      <c r="O353" t="s">
        <v>625</v>
      </c>
      <c r="P353">
        <v>4.8692576922764595E-2</v>
      </c>
    </row>
    <row r="354" spans="1:16" x14ac:dyDescent="0.3">
      <c r="A354" t="s">
        <v>454</v>
      </c>
      <c r="B354" s="12">
        <v>45915</v>
      </c>
      <c r="C354" t="s">
        <v>100</v>
      </c>
      <c r="D354" t="s">
        <v>33</v>
      </c>
      <c r="E354" t="s">
        <v>140</v>
      </c>
      <c r="F354" t="s">
        <v>16</v>
      </c>
      <c r="G354" t="s">
        <v>41</v>
      </c>
      <c r="H354" t="s">
        <v>177</v>
      </c>
      <c r="I354">
        <v>3</v>
      </c>
      <c r="J354">
        <v>0.05</v>
      </c>
      <c r="K354">
        <v>25838.400000000001</v>
      </c>
      <c r="L354">
        <v>3808.67</v>
      </c>
      <c r="M354">
        <v>2025</v>
      </c>
      <c r="N354" t="s">
        <v>621</v>
      </c>
      <c r="O354" t="s">
        <v>625</v>
      </c>
      <c r="P354">
        <v>0.14740347699547959</v>
      </c>
    </row>
    <row r="355" spans="1:16" x14ac:dyDescent="0.3">
      <c r="A355" t="s">
        <v>455</v>
      </c>
      <c r="B355" s="12">
        <v>45915</v>
      </c>
      <c r="C355" t="s">
        <v>32</v>
      </c>
      <c r="D355" t="s">
        <v>21</v>
      </c>
      <c r="E355" t="s">
        <v>57</v>
      </c>
      <c r="F355" t="s">
        <v>23</v>
      </c>
      <c r="G355" t="s">
        <v>48</v>
      </c>
      <c r="H355" t="s">
        <v>49</v>
      </c>
      <c r="I355">
        <v>7</v>
      </c>
      <c r="J355">
        <v>0.1</v>
      </c>
      <c r="K355">
        <v>245007.77</v>
      </c>
      <c r="L355">
        <v>29465.1</v>
      </c>
      <c r="M355">
        <v>2025</v>
      </c>
      <c r="N355" t="s">
        <v>621</v>
      </c>
      <c r="O355" t="s">
        <v>625</v>
      </c>
      <c r="P355">
        <v>0.12026190026544872</v>
      </c>
    </row>
    <row r="356" spans="1:16" x14ac:dyDescent="0.3">
      <c r="A356" t="s">
        <v>456</v>
      </c>
      <c r="B356" s="12">
        <v>45915</v>
      </c>
      <c r="C356" t="s">
        <v>77</v>
      </c>
      <c r="D356" t="s">
        <v>14</v>
      </c>
      <c r="E356" t="s">
        <v>97</v>
      </c>
      <c r="F356" t="s">
        <v>23</v>
      </c>
      <c r="G356" t="s">
        <v>24</v>
      </c>
      <c r="H356" t="s">
        <v>132</v>
      </c>
      <c r="I356">
        <v>4</v>
      </c>
      <c r="J356">
        <v>0.1</v>
      </c>
      <c r="K356">
        <v>118480.64</v>
      </c>
      <c r="L356">
        <v>21464.12</v>
      </c>
      <c r="M356">
        <v>2025</v>
      </c>
      <c r="N356" t="s">
        <v>621</v>
      </c>
      <c r="O356" t="s">
        <v>625</v>
      </c>
      <c r="P356">
        <v>0.1811614116871752</v>
      </c>
    </row>
    <row r="357" spans="1:16" x14ac:dyDescent="0.3">
      <c r="A357" t="s">
        <v>457</v>
      </c>
      <c r="B357" s="12">
        <v>45917</v>
      </c>
      <c r="C357" t="s">
        <v>66</v>
      </c>
      <c r="D357" t="s">
        <v>39</v>
      </c>
      <c r="E357" t="s">
        <v>40</v>
      </c>
      <c r="F357" t="s">
        <v>23</v>
      </c>
      <c r="G357" t="s">
        <v>35</v>
      </c>
      <c r="H357" t="s">
        <v>155</v>
      </c>
      <c r="I357">
        <v>7</v>
      </c>
      <c r="J357">
        <v>0.2</v>
      </c>
      <c r="K357">
        <v>84431.27</v>
      </c>
      <c r="L357">
        <v>9674.75</v>
      </c>
      <c r="M357">
        <v>2025</v>
      </c>
      <c r="N357" t="s">
        <v>621</v>
      </c>
      <c r="O357" t="s">
        <v>625</v>
      </c>
      <c r="P357">
        <v>0.11458728501892722</v>
      </c>
    </row>
    <row r="358" spans="1:16" x14ac:dyDescent="0.3">
      <c r="A358" t="s">
        <v>458</v>
      </c>
      <c r="B358" s="12">
        <v>45917</v>
      </c>
      <c r="C358" t="s">
        <v>38</v>
      </c>
      <c r="D358" t="s">
        <v>14</v>
      </c>
      <c r="E358" t="s">
        <v>15</v>
      </c>
      <c r="F358" t="s">
        <v>23</v>
      </c>
      <c r="G358" t="s">
        <v>48</v>
      </c>
      <c r="H358" t="s">
        <v>118</v>
      </c>
      <c r="I358">
        <v>5</v>
      </c>
      <c r="J358">
        <v>0.05</v>
      </c>
      <c r="K358">
        <v>242517.8</v>
      </c>
      <c r="L358">
        <v>33699.839999999997</v>
      </c>
      <c r="M358">
        <v>2025</v>
      </c>
      <c r="N358" t="s">
        <v>621</v>
      </c>
      <c r="O358" t="s">
        <v>625</v>
      </c>
      <c r="P358">
        <v>0.13895821255182092</v>
      </c>
    </row>
    <row r="359" spans="1:16" x14ac:dyDescent="0.3">
      <c r="A359" t="s">
        <v>459</v>
      </c>
      <c r="B359" s="12">
        <v>45917</v>
      </c>
      <c r="C359" t="s">
        <v>111</v>
      </c>
      <c r="D359" t="s">
        <v>14</v>
      </c>
      <c r="E359" t="s">
        <v>114</v>
      </c>
      <c r="F359" t="s">
        <v>23</v>
      </c>
      <c r="G359" t="s">
        <v>48</v>
      </c>
      <c r="H359" t="s">
        <v>118</v>
      </c>
      <c r="I359">
        <v>3</v>
      </c>
      <c r="J359">
        <v>0.1</v>
      </c>
      <c r="K359">
        <v>53885.91</v>
      </c>
      <c r="L359">
        <v>8215.19</v>
      </c>
      <c r="M359">
        <v>2025</v>
      </c>
      <c r="N359" t="s">
        <v>621</v>
      </c>
      <c r="O359" t="s">
        <v>625</v>
      </c>
      <c r="P359">
        <v>0.15245525221713802</v>
      </c>
    </row>
    <row r="360" spans="1:16" x14ac:dyDescent="0.3">
      <c r="A360" t="s">
        <v>460</v>
      </c>
      <c r="B360" s="12">
        <v>45919</v>
      </c>
      <c r="C360" t="s">
        <v>150</v>
      </c>
      <c r="D360" t="s">
        <v>39</v>
      </c>
      <c r="E360" t="s">
        <v>52</v>
      </c>
      <c r="F360" t="s">
        <v>23</v>
      </c>
      <c r="G360" t="s">
        <v>58</v>
      </c>
      <c r="H360" t="s">
        <v>59</v>
      </c>
      <c r="I360">
        <v>5</v>
      </c>
      <c r="J360">
        <v>0.2</v>
      </c>
      <c r="K360">
        <v>75154.2</v>
      </c>
      <c r="L360">
        <v>11425.82</v>
      </c>
      <c r="M360">
        <v>2025</v>
      </c>
      <c r="N360" t="s">
        <v>621</v>
      </c>
      <c r="O360" t="s">
        <v>625</v>
      </c>
      <c r="P360">
        <v>0.1520316895130279</v>
      </c>
    </row>
    <row r="361" spans="1:16" x14ac:dyDescent="0.3">
      <c r="A361" t="s">
        <v>461</v>
      </c>
      <c r="B361" s="12">
        <v>45919</v>
      </c>
      <c r="C361" t="s">
        <v>85</v>
      </c>
      <c r="D361" t="s">
        <v>14</v>
      </c>
      <c r="E361" t="s">
        <v>54</v>
      </c>
      <c r="F361" t="s">
        <v>28</v>
      </c>
      <c r="G361" t="s">
        <v>71</v>
      </c>
      <c r="H361" t="s">
        <v>121</v>
      </c>
      <c r="I361">
        <v>4</v>
      </c>
      <c r="J361">
        <v>0.1</v>
      </c>
      <c r="K361">
        <v>8462.52</v>
      </c>
      <c r="L361">
        <v>1297.8399999999999</v>
      </c>
      <c r="M361">
        <v>2025</v>
      </c>
      <c r="N361" t="s">
        <v>621</v>
      </c>
      <c r="O361" t="s">
        <v>625</v>
      </c>
      <c r="P361">
        <v>0.153363300766202</v>
      </c>
    </row>
    <row r="362" spans="1:16" x14ac:dyDescent="0.3">
      <c r="A362" t="s">
        <v>462</v>
      </c>
      <c r="B362" s="12">
        <v>45919</v>
      </c>
      <c r="C362" t="s">
        <v>32</v>
      </c>
      <c r="D362" t="s">
        <v>21</v>
      </c>
      <c r="E362" t="s">
        <v>57</v>
      </c>
      <c r="F362" t="s">
        <v>16</v>
      </c>
      <c r="G362" t="s">
        <v>17</v>
      </c>
      <c r="H362" t="s">
        <v>153</v>
      </c>
      <c r="I362">
        <v>6</v>
      </c>
      <c r="J362">
        <v>0.2</v>
      </c>
      <c r="K362">
        <v>15604.38</v>
      </c>
      <c r="L362">
        <v>1685.28</v>
      </c>
      <c r="M362">
        <v>2025</v>
      </c>
      <c r="N362" t="s">
        <v>621</v>
      </c>
      <c r="O362" t="s">
        <v>625</v>
      </c>
      <c r="P362">
        <v>0.10800044602861504</v>
      </c>
    </row>
    <row r="363" spans="1:16" x14ac:dyDescent="0.3">
      <c r="A363" t="s">
        <v>463</v>
      </c>
      <c r="B363" s="12">
        <v>45920</v>
      </c>
      <c r="C363" t="s">
        <v>38</v>
      </c>
      <c r="D363" t="s">
        <v>21</v>
      </c>
      <c r="E363" t="s">
        <v>67</v>
      </c>
      <c r="F363" t="s">
        <v>28</v>
      </c>
      <c r="G363" t="s">
        <v>74</v>
      </c>
      <c r="H363" t="s">
        <v>75</v>
      </c>
      <c r="I363">
        <v>1</v>
      </c>
      <c r="J363">
        <v>0.2</v>
      </c>
      <c r="K363">
        <v>1930.2</v>
      </c>
      <c r="L363">
        <v>227.06</v>
      </c>
      <c r="M363">
        <v>2025</v>
      </c>
      <c r="N363" t="s">
        <v>621</v>
      </c>
      <c r="O363" t="s">
        <v>625</v>
      </c>
      <c r="P363">
        <v>0.11763547818878872</v>
      </c>
    </row>
    <row r="364" spans="1:16" x14ac:dyDescent="0.3">
      <c r="A364" t="s">
        <v>464</v>
      </c>
      <c r="B364" s="12">
        <v>45920</v>
      </c>
      <c r="C364" t="s">
        <v>51</v>
      </c>
      <c r="D364" t="s">
        <v>33</v>
      </c>
      <c r="E364" t="s">
        <v>34</v>
      </c>
      <c r="F364" t="s">
        <v>28</v>
      </c>
      <c r="G364" t="s">
        <v>29</v>
      </c>
      <c r="H364" t="s">
        <v>30</v>
      </c>
      <c r="I364">
        <v>2</v>
      </c>
      <c r="J364">
        <v>0</v>
      </c>
      <c r="K364">
        <v>8037.86</v>
      </c>
      <c r="L364">
        <v>1418.22</v>
      </c>
      <c r="M364">
        <v>2025</v>
      </c>
      <c r="N364" t="s">
        <v>621</v>
      </c>
      <c r="O364" t="s">
        <v>625</v>
      </c>
      <c r="P364">
        <v>0.17644248593531114</v>
      </c>
    </row>
    <row r="365" spans="1:16" x14ac:dyDescent="0.3">
      <c r="A365" t="s">
        <v>465</v>
      </c>
      <c r="B365" s="12">
        <v>45921</v>
      </c>
      <c r="C365" t="s">
        <v>150</v>
      </c>
      <c r="D365" t="s">
        <v>14</v>
      </c>
      <c r="E365" t="s">
        <v>54</v>
      </c>
      <c r="F365" t="s">
        <v>23</v>
      </c>
      <c r="G365" t="s">
        <v>58</v>
      </c>
      <c r="H365" t="s">
        <v>78</v>
      </c>
      <c r="I365">
        <v>3</v>
      </c>
      <c r="J365">
        <v>0.15</v>
      </c>
      <c r="K365">
        <v>136615.67999999999</v>
      </c>
      <c r="L365">
        <v>7989.3</v>
      </c>
      <c r="M365">
        <v>2025</v>
      </c>
      <c r="N365" t="s">
        <v>621</v>
      </c>
      <c r="O365" t="s">
        <v>625</v>
      </c>
      <c r="P365">
        <v>5.8480110043005316E-2</v>
      </c>
    </row>
    <row r="366" spans="1:16" x14ac:dyDescent="0.3">
      <c r="A366" t="s">
        <v>466</v>
      </c>
      <c r="B366" s="12">
        <v>45921</v>
      </c>
      <c r="C366" t="s">
        <v>150</v>
      </c>
      <c r="D366" t="s">
        <v>21</v>
      </c>
      <c r="E366" t="s">
        <v>57</v>
      </c>
      <c r="F366" t="s">
        <v>23</v>
      </c>
      <c r="G366" t="s">
        <v>58</v>
      </c>
      <c r="H366" t="s">
        <v>90</v>
      </c>
      <c r="I366">
        <v>7</v>
      </c>
      <c r="J366">
        <v>0.15</v>
      </c>
      <c r="K366">
        <v>272823.95</v>
      </c>
      <c r="L366">
        <v>23620.06</v>
      </c>
      <c r="M366">
        <v>2025</v>
      </c>
      <c r="N366" t="s">
        <v>621</v>
      </c>
      <c r="O366" t="s">
        <v>625</v>
      </c>
      <c r="P366">
        <v>8.6576196847820724E-2</v>
      </c>
    </row>
    <row r="367" spans="1:16" x14ac:dyDescent="0.3">
      <c r="A367" t="s">
        <v>467</v>
      </c>
      <c r="B367" s="12">
        <v>45922</v>
      </c>
      <c r="C367" t="s">
        <v>32</v>
      </c>
      <c r="D367" t="s">
        <v>14</v>
      </c>
      <c r="E367" t="s">
        <v>15</v>
      </c>
      <c r="F367" t="s">
        <v>23</v>
      </c>
      <c r="G367" t="s">
        <v>48</v>
      </c>
      <c r="H367" t="s">
        <v>118</v>
      </c>
      <c r="I367">
        <v>5</v>
      </c>
      <c r="J367">
        <v>0.05</v>
      </c>
      <c r="K367">
        <v>216380.1</v>
      </c>
      <c r="L367">
        <v>31150.28</v>
      </c>
      <c r="M367">
        <v>2025</v>
      </c>
      <c r="N367" t="s">
        <v>621</v>
      </c>
      <c r="O367" t="s">
        <v>625</v>
      </c>
      <c r="P367">
        <v>0.14396092801509935</v>
      </c>
    </row>
    <row r="368" spans="1:16" x14ac:dyDescent="0.3">
      <c r="A368" t="s">
        <v>468</v>
      </c>
      <c r="B368" s="12">
        <v>45923</v>
      </c>
      <c r="C368" t="s">
        <v>147</v>
      </c>
      <c r="D368" t="s">
        <v>21</v>
      </c>
      <c r="E368" t="s">
        <v>57</v>
      </c>
      <c r="F368" t="s">
        <v>16</v>
      </c>
      <c r="G368" t="s">
        <v>41</v>
      </c>
      <c r="H368" t="s">
        <v>42</v>
      </c>
      <c r="I368">
        <v>7</v>
      </c>
      <c r="J368">
        <v>0.1</v>
      </c>
      <c r="K368">
        <v>20653.36</v>
      </c>
      <c r="L368">
        <v>4029.66</v>
      </c>
      <c r="M368">
        <v>2025</v>
      </c>
      <c r="N368" t="s">
        <v>621</v>
      </c>
      <c r="O368" t="s">
        <v>625</v>
      </c>
      <c r="P368">
        <v>0.19510917351946608</v>
      </c>
    </row>
    <row r="369" spans="1:16" x14ac:dyDescent="0.3">
      <c r="A369" t="s">
        <v>469</v>
      </c>
      <c r="B369" s="12">
        <v>45924</v>
      </c>
      <c r="C369" t="s">
        <v>56</v>
      </c>
      <c r="D369" t="s">
        <v>33</v>
      </c>
      <c r="E369" t="s">
        <v>34</v>
      </c>
      <c r="F369" t="s">
        <v>28</v>
      </c>
      <c r="G369" t="s">
        <v>92</v>
      </c>
      <c r="H369" t="s">
        <v>204</v>
      </c>
      <c r="I369">
        <v>3</v>
      </c>
      <c r="J369">
        <v>0</v>
      </c>
      <c r="K369">
        <v>5528.4</v>
      </c>
      <c r="L369">
        <v>1120.3900000000001</v>
      </c>
      <c r="M369">
        <v>2025</v>
      </c>
      <c r="N369" t="s">
        <v>621</v>
      </c>
      <c r="O369" t="s">
        <v>625</v>
      </c>
      <c r="P369">
        <v>0.20266080601982495</v>
      </c>
    </row>
    <row r="370" spans="1:16" x14ac:dyDescent="0.3">
      <c r="A370" t="s">
        <v>470</v>
      </c>
      <c r="B370" s="12">
        <v>45925</v>
      </c>
      <c r="C370" t="s">
        <v>56</v>
      </c>
      <c r="D370" t="s">
        <v>14</v>
      </c>
      <c r="E370" t="s">
        <v>97</v>
      </c>
      <c r="F370" t="s">
        <v>23</v>
      </c>
      <c r="G370" t="s">
        <v>58</v>
      </c>
      <c r="H370" t="s">
        <v>101</v>
      </c>
      <c r="I370">
        <v>6</v>
      </c>
      <c r="J370">
        <v>0.1</v>
      </c>
      <c r="K370">
        <v>207218.82</v>
      </c>
      <c r="L370">
        <v>31836.16</v>
      </c>
      <c r="M370">
        <v>2025</v>
      </c>
      <c r="N370" t="s">
        <v>621</v>
      </c>
      <c r="O370" t="s">
        <v>625</v>
      </c>
      <c r="P370">
        <v>0.15363546612223736</v>
      </c>
    </row>
    <row r="371" spans="1:16" x14ac:dyDescent="0.3">
      <c r="A371" t="s">
        <v>471</v>
      </c>
      <c r="B371" s="12">
        <v>45926</v>
      </c>
      <c r="C371" t="s">
        <v>229</v>
      </c>
      <c r="D371" t="s">
        <v>21</v>
      </c>
      <c r="E371" t="s">
        <v>105</v>
      </c>
      <c r="F371" t="s">
        <v>16</v>
      </c>
      <c r="G371" t="s">
        <v>62</v>
      </c>
      <c r="H371" t="s">
        <v>63</v>
      </c>
      <c r="I371">
        <v>2</v>
      </c>
      <c r="J371">
        <v>0.15</v>
      </c>
      <c r="K371">
        <v>4029.76</v>
      </c>
      <c r="L371">
        <v>671.05</v>
      </c>
      <c r="M371">
        <v>2025</v>
      </c>
      <c r="N371" t="s">
        <v>621</v>
      </c>
      <c r="O371" t="s">
        <v>625</v>
      </c>
      <c r="P371">
        <v>0.16652356467878979</v>
      </c>
    </row>
    <row r="372" spans="1:16" x14ac:dyDescent="0.3">
      <c r="A372" t="s">
        <v>472</v>
      </c>
      <c r="B372" s="12">
        <v>45926</v>
      </c>
      <c r="C372" t="s">
        <v>100</v>
      </c>
      <c r="D372" t="s">
        <v>33</v>
      </c>
      <c r="E372" t="s">
        <v>86</v>
      </c>
      <c r="F372" t="s">
        <v>28</v>
      </c>
      <c r="G372" t="s">
        <v>74</v>
      </c>
      <c r="H372" t="s">
        <v>75</v>
      </c>
      <c r="I372">
        <v>6</v>
      </c>
      <c r="J372">
        <v>0.1</v>
      </c>
      <c r="K372">
        <v>11954.64</v>
      </c>
      <c r="L372">
        <v>914.69</v>
      </c>
      <c r="M372">
        <v>2025</v>
      </c>
      <c r="N372" t="s">
        <v>621</v>
      </c>
      <c r="O372" t="s">
        <v>625</v>
      </c>
      <c r="P372">
        <v>7.6513387270549349E-2</v>
      </c>
    </row>
    <row r="373" spans="1:16" x14ac:dyDescent="0.3">
      <c r="A373" t="s">
        <v>473</v>
      </c>
      <c r="B373" s="12">
        <v>45927</v>
      </c>
      <c r="C373" t="s">
        <v>82</v>
      </c>
      <c r="D373" t="s">
        <v>21</v>
      </c>
      <c r="E373" t="s">
        <v>67</v>
      </c>
      <c r="F373" t="s">
        <v>16</v>
      </c>
      <c r="G373" t="s">
        <v>41</v>
      </c>
      <c r="H373" t="s">
        <v>42</v>
      </c>
      <c r="I373">
        <v>2</v>
      </c>
      <c r="J373">
        <v>0.05</v>
      </c>
      <c r="K373">
        <v>7254.84</v>
      </c>
      <c r="L373">
        <v>1495.33</v>
      </c>
      <c r="M373">
        <v>2025</v>
      </c>
      <c r="N373" t="s">
        <v>621</v>
      </c>
      <c r="O373" t="s">
        <v>625</v>
      </c>
      <c r="P373">
        <v>0.20611481438598231</v>
      </c>
    </row>
    <row r="374" spans="1:16" x14ac:dyDescent="0.3">
      <c r="A374" t="s">
        <v>474</v>
      </c>
      <c r="B374" s="12">
        <v>45928</v>
      </c>
      <c r="C374" t="s">
        <v>56</v>
      </c>
      <c r="D374" t="s">
        <v>21</v>
      </c>
      <c r="E374" t="s">
        <v>22</v>
      </c>
      <c r="F374" t="s">
        <v>28</v>
      </c>
      <c r="G374" t="s">
        <v>71</v>
      </c>
      <c r="H374" t="s">
        <v>121</v>
      </c>
      <c r="I374">
        <v>6</v>
      </c>
      <c r="J374">
        <v>0</v>
      </c>
      <c r="K374">
        <v>6361.92</v>
      </c>
      <c r="L374">
        <v>1548.49</v>
      </c>
      <c r="M374">
        <v>2025</v>
      </c>
      <c r="N374" t="s">
        <v>621</v>
      </c>
      <c r="O374" t="s">
        <v>625</v>
      </c>
      <c r="P374">
        <v>0.243399791257985</v>
      </c>
    </row>
    <row r="375" spans="1:16" x14ac:dyDescent="0.3">
      <c r="A375" t="s">
        <v>475</v>
      </c>
      <c r="B375" s="12">
        <v>45928</v>
      </c>
      <c r="C375" t="s">
        <v>32</v>
      </c>
      <c r="D375" t="s">
        <v>21</v>
      </c>
      <c r="E375" t="s">
        <v>67</v>
      </c>
      <c r="F375" t="s">
        <v>23</v>
      </c>
      <c r="G375" t="s">
        <v>58</v>
      </c>
      <c r="H375" t="s">
        <v>78</v>
      </c>
      <c r="I375">
        <v>5</v>
      </c>
      <c r="J375">
        <v>0.1</v>
      </c>
      <c r="K375">
        <v>117160.6</v>
      </c>
      <c r="L375">
        <v>21919.62</v>
      </c>
      <c r="M375">
        <v>2025</v>
      </c>
      <c r="N375" t="s">
        <v>621</v>
      </c>
      <c r="O375" t="s">
        <v>625</v>
      </c>
      <c r="P375">
        <v>0.1870903699707922</v>
      </c>
    </row>
    <row r="376" spans="1:16" x14ac:dyDescent="0.3">
      <c r="A376" t="s">
        <v>476</v>
      </c>
      <c r="B376" s="12">
        <v>45928</v>
      </c>
      <c r="C376" t="s">
        <v>38</v>
      </c>
      <c r="D376" t="s">
        <v>21</v>
      </c>
      <c r="E376" t="s">
        <v>22</v>
      </c>
      <c r="F376" t="s">
        <v>16</v>
      </c>
      <c r="G376" t="s">
        <v>68</v>
      </c>
      <c r="H376" t="s">
        <v>83</v>
      </c>
      <c r="I376">
        <v>3</v>
      </c>
      <c r="J376">
        <v>0</v>
      </c>
      <c r="K376">
        <v>5883.6</v>
      </c>
      <c r="L376">
        <v>1298.73</v>
      </c>
      <c r="M376">
        <v>2025</v>
      </c>
      <c r="N376" t="s">
        <v>621</v>
      </c>
      <c r="O376" t="s">
        <v>625</v>
      </c>
      <c r="P376">
        <v>0.22073730369161737</v>
      </c>
    </row>
    <row r="377" spans="1:16" x14ac:dyDescent="0.3">
      <c r="A377" t="s">
        <v>477</v>
      </c>
      <c r="B377" s="12">
        <v>45929</v>
      </c>
      <c r="C377" t="s">
        <v>51</v>
      </c>
      <c r="D377" t="s">
        <v>21</v>
      </c>
      <c r="E377" t="s">
        <v>22</v>
      </c>
      <c r="F377" t="s">
        <v>28</v>
      </c>
      <c r="G377" t="s">
        <v>74</v>
      </c>
      <c r="H377" t="s">
        <v>80</v>
      </c>
      <c r="I377">
        <v>6</v>
      </c>
      <c r="J377">
        <v>0.2</v>
      </c>
      <c r="K377">
        <v>5283.54</v>
      </c>
      <c r="L377">
        <v>85.31</v>
      </c>
      <c r="M377">
        <v>2025</v>
      </c>
      <c r="N377" t="s">
        <v>621</v>
      </c>
      <c r="O377" t="s">
        <v>625</v>
      </c>
      <c r="P377">
        <v>1.6146371561490971E-2</v>
      </c>
    </row>
    <row r="378" spans="1:16" x14ac:dyDescent="0.3">
      <c r="A378" t="s">
        <v>478</v>
      </c>
      <c r="B378" s="12">
        <v>45930</v>
      </c>
      <c r="C378" t="s">
        <v>82</v>
      </c>
      <c r="D378" t="s">
        <v>33</v>
      </c>
      <c r="E378" t="s">
        <v>140</v>
      </c>
      <c r="F378" t="s">
        <v>16</v>
      </c>
      <c r="G378" t="s">
        <v>17</v>
      </c>
      <c r="H378" t="s">
        <v>88</v>
      </c>
      <c r="I378">
        <v>2</v>
      </c>
      <c r="J378">
        <v>0.1</v>
      </c>
      <c r="K378">
        <v>6452.94</v>
      </c>
      <c r="L378">
        <v>334.33</v>
      </c>
      <c r="M378">
        <v>2025</v>
      </c>
      <c r="N378" t="s">
        <v>621</v>
      </c>
      <c r="O378" t="s">
        <v>625</v>
      </c>
      <c r="P378">
        <v>5.181049258167595E-2</v>
      </c>
    </row>
    <row r="379" spans="1:16" x14ac:dyDescent="0.3">
      <c r="A379" t="s">
        <v>479</v>
      </c>
      <c r="B379" s="12">
        <v>45930</v>
      </c>
      <c r="C379" t="s">
        <v>77</v>
      </c>
      <c r="D379" t="s">
        <v>33</v>
      </c>
      <c r="E379" t="s">
        <v>45</v>
      </c>
      <c r="F379" t="s">
        <v>28</v>
      </c>
      <c r="G379" t="s">
        <v>92</v>
      </c>
      <c r="H379" t="s">
        <v>93</v>
      </c>
      <c r="I379">
        <v>6</v>
      </c>
      <c r="J379">
        <v>0</v>
      </c>
      <c r="K379">
        <v>15198.9</v>
      </c>
      <c r="L379">
        <v>2042.86</v>
      </c>
      <c r="M379">
        <v>2025</v>
      </c>
      <c r="N379" t="s">
        <v>621</v>
      </c>
      <c r="O379" t="s">
        <v>625</v>
      </c>
      <c r="P379">
        <v>0.13440841113501634</v>
      </c>
    </row>
    <row r="380" spans="1:16" x14ac:dyDescent="0.3">
      <c r="A380" t="s">
        <v>480</v>
      </c>
      <c r="B380" s="12">
        <v>45930</v>
      </c>
      <c r="C380" t="s">
        <v>66</v>
      </c>
      <c r="D380" t="s">
        <v>33</v>
      </c>
      <c r="E380" t="s">
        <v>140</v>
      </c>
      <c r="F380" t="s">
        <v>28</v>
      </c>
      <c r="G380" t="s">
        <v>74</v>
      </c>
      <c r="H380" t="s">
        <v>159</v>
      </c>
      <c r="I380">
        <v>7</v>
      </c>
      <c r="J380">
        <v>0</v>
      </c>
      <c r="K380">
        <v>33078.57</v>
      </c>
      <c r="L380">
        <v>3238.79</v>
      </c>
      <c r="M380">
        <v>2025</v>
      </c>
      <c r="N380" t="s">
        <v>621</v>
      </c>
      <c r="O380" t="s">
        <v>625</v>
      </c>
      <c r="P380">
        <v>9.7912031868366736E-2</v>
      </c>
    </row>
    <row r="381" spans="1:16" x14ac:dyDescent="0.3">
      <c r="A381" t="s">
        <v>481</v>
      </c>
      <c r="B381" s="12">
        <v>45931</v>
      </c>
      <c r="C381" t="s">
        <v>229</v>
      </c>
      <c r="D381" t="s">
        <v>39</v>
      </c>
      <c r="E381" t="s">
        <v>52</v>
      </c>
      <c r="F381" t="s">
        <v>23</v>
      </c>
      <c r="G381" t="s">
        <v>35</v>
      </c>
      <c r="H381" t="s">
        <v>155</v>
      </c>
      <c r="I381">
        <v>6</v>
      </c>
      <c r="J381">
        <v>0.1</v>
      </c>
      <c r="K381">
        <v>292531.38</v>
      </c>
      <c r="L381">
        <v>47725.59</v>
      </c>
      <c r="M381">
        <v>2025</v>
      </c>
      <c r="N381" t="s">
        <v>622</v>
      </c>
      <c r="O381" t="s">
        <v>625</v>
      </c>
      <c r="P381">
        <v>0.16314690752151101</v>
      </c>
    </row>
    <row r="382" spans="1:16" x14ac:dyDescent="0.3">
      <c r="A382" t="s">
        <v>482</v>
      </c>
      <c r="B382" s="12">
        <v>45932</v>
      </c>
      <c r="C382" t="s">
        <v>27</v>
      </c>
      <c r="D382" t="s">
        <v>21</v>
      </c>
      <c r="E382" t="s">
        <v>67</v>
      </c>
      <c r="F382" t="s">
        <v>28</v>
      </c>
      <c r="G382" t="s">
        <v>29</v>
      </c>
      <c r="H382" t="s">
        <v>30</v>
      </c>
      <c r="I382">
        <v>4</v>
      </c>
      <c r="J382">
        <v>0</v>
      </c>
      <c r="K382">
        <v>752.92</v>
      </c>
      <c r="L382">
        <v>99.24</v>
      </c>
      <c r="M382">
        <v>2025</v>
      </c>
      <c r="N382" t="s">
        <v>622</v>
      </c>
      <c r="O382" t="s">
        <v>627</v>
      </c>
      <c r="P382">
        <v>0.13180683206715188</v>
      </c>
    </row>
    <row r="383" spans="1:16" x14ac:dyDescent="0.3">
      <c r="A383" t="s">
        <v>483</v>
      </c>
      <c r="B383" s="12">
        <v>45932</v>
      </c>
      <c r="C383" t="s">
        <v>13</v>
      </c>
      <c r="D383" t="s">
        <v>21</v>
      </c>
      <c r="E383" t="s">
        <v>57</v>
      </c>
      <c r="F383" t="s">
        <v>16</v>
      </c>
      <c r="G383" t="s">
        <v>41</v>
      </c>
      <c r="H383" t="s">
        <v>177</v>
      </c>
      <c r="I383">
        <v>1</v>
      </c>
      <c r="J383">
        <v>0</v>
      </c>
      <c r="K383">
        <v>1913.59</v>
      </c>
      <c r="L383">
        <v>387.24</v>
      </c>
      <c r="M383">
        <v>2025</v>
      </c>
      <c r="N383" t="s">
        <v>622</v>
      </c>
      <c r="O383" t="s">
        <v>625</v>
      </c>
      <c r="P383">
        <v>0.20236309763324434</v>
      </c>
    </row>
    <row r="384" spans="1:16" x14ac:dyDescent="0.3">
      <c r="A384" t="s">
        <v>484</v>
      </c>
      <c r="B384" s="12">
        <v>45934</v>
      </c>
      <c r="C384" t="s">
        <v>85</v>
      </c>
      <c r="D384" t="s">
        <v>33</v>
      </c>
      <c r="E384" t="s">
        <v>34</v>
      </c>
      <c r="F384" t="s">
        <v>28</v>
      </c>
      <c r="G384" t="s">
        <v>71</v>
      </c>
      <c r="H384" t="s">
        <v>121</v>
      </c>
      <c r="I384">
        <v>6</v>
      </c>
      <c r="J384">
        <v>0.2</v>
      </c>
      <c r="K384">
        <v>6320.04</v>
      </c>
      <c r="L384">
        <v>726.49</v>
      </c>
      <c r="M384">
        <v>2025</v>
      </c>
      <c r="N384" t="s">
        <v>622</v>
      </c>
      <c r="O384" t="s">
        <v>625</v>
      </c>
      <c r="P384">
        <v>0.11495022183403902</v>
      </c>
    </row>
    <row r="385" spans="1:16" x14ac:dyDescent="0.3">
      <c r="A385" t="s">
        <v>485</v>
      </c>
      <c r="B385" s="12">
        <v>45934</v>
      </c>
      <c r="C385" t="s">
        <v>135</v>
      </c>
      <c r="D385" t="s">
        <v>39</v>
      </c>
      <c r="E385" t="s">
        <v>128</v>
      </c>
      <c r="F385" t="s">
        <v>16</v>
      </c>
      <c r="G385" t="s">
        <v>17</v>
      </c>
      <c r="H385" t="s">
        <v>153</v>
      </c>
      <c r="I385">
        <v>5</v>
      </c>
      <c r="J385">
        <v>0.05</v>
      </c>
      <c r="K385">
        <v>38202.25</v>
      </c>
      <c r="L385">
        <v>5939.16</v>
      </c>
      <c r="M385">
        <v>2025</v>
      </c>
      <c r="N385" t="s">
        <v>622</v>
      </c>
      <c r="O385" t="s">
        <v>625</v>
      </c>
      <c r="P385">
        <v>0.15546623562748266</v>
      </c>
    </row>
    <row r="386" spans="1:16" x14ac:dyDescent="0.3">
      <c r="A386" t="s">
        <v>486</v>
      </c>
      <c r="B386" s="12">
        <v>45935</v>
      </c>
      <c r="C386" t="s">
        <v>56</v>
      </c>
      <c r="D386" t="s">
        <v>21</v>
      </c>
      <c r="E386" t="s">
        <v>105</v>
      </c>
      <c r="F386" t="s">
        <v>16</v>
      </c>
      <c r="G386" t="s">
        <v>17</v>
      </c>
      <c r="H386" t="s">
        <v>88</v>
      </c>
      <c r="I386">
        <v>5</v>
      </c>
      <c r="J386">
        <v>0</v>
      </c>
      <c r="K386">
        <v>37803.300000000003</v>
      </c>
      <c r="L386">
        <v>3910.39</v>
      </c>
      <c r="M386">
        <v>2025</v>
      </c>
      <c r="N386" t="s">
        <v>622</v>
      </c>
      <c r="O386" t="s">
        <v>625</v>
      </c>
      <c r="P386">
        <v>0.10344044038483412</v>
      </c>
    </row>
    <row r="387" spans="1:16" x14ac:dyDescent="0.3">
      <c r="A387" t="s">
        <v>487</v>
      </c>
      <c r="B387" s="12">
        <v>45935</v>
      </c>
      <c r="C387" t="s">
        <v>100</v>
      </c>
      <c r="D387" t="s">
        <v>39</v>
      </c>
      <c r="E387" t="s">
        <v>40</v>
      </c>
      <c r="F387" t="s">
        <v>23</v>
      </c>
      <c r="G387" t="s">
        <v>35</v>
      </c>
      <c r="H387" t="s">
        <v>36</v>
      </c>
      <c r="I387">
        <v>5</v>
      </c>
      <c r="J387">
        <v>0.1</v>
      </c>
      <c r="K387">
        <v>149225.54999999999</v>
      </c>
      <c r="L387">
        <v>14263.46</v>
      </c>
      <c r="M387">
        <v>2025</v>
      </c>
      <c r="N387" t="s">
        <v>622</v>
      </c>
      <c r="O387" t="s">
        <v>625</v>
      </c>
      <c r="P387">
        <v>9.5583229547487006E-2</v>
      </c>
    </row>
    <row r="388" spans="1:16" x14ac:dyDescent="0.3">
      <c r="A388" t="s">
        <v>488</v>
      </c>
      <c r="B388" s="12">
        <v>45935</v>
      </c>
      <c r="C388" t="s">
        <v>95</v>
      </c>
      <c r="D388" t="s">
        <v>14</v>
      </c>
      <c r="E388" t="s">
        <v>15</v>
      </c>
      <c r="F388" t="s">
        <v>28</v>
      </c>
      <c r="G388" t="s">
        <v>71</v>
      </c>
      <c r="H388" t="s">
        <v>121</v>
      </c>
      <c r="I388">
        <v>7</v>
      </c>
      <c r="J388">
        <v>0.15</v>
      </c>
      <c r="K388">
        <v>11073.02</v>
      </c>
      <c r="L388">
        <v>1466.37</v>
      </c>
      <c r="M388">
        <v>2025</v>
      </c>
      <c r="N388" t="s">
        <v>622</v>
      </c>
      <c r="O388" t="s">
        <v>625</v>
      </c>
      <c r="P388">
        <v>0.13242728722606839</v>
      </c>
    </row>
    <row r="389" spans="1:16" x14ac:dyDescent="0.3">
      <c r="A389" t="s">
        <v>489</v>
      </c>
      <c r="B389" s="12">
        <v>45936</v>
      </c>
      <c r="C389" t="s">
        <v>27</v>
      </c>
      <c r="D389" t="s">
        <v>39</v>
      </c>
      <c r="E389" t="s">
        <v>128</v>
      </c>
      <c r="F389" t="s">
        <v>16</v>
      </c>
      <c r="G389" t="s">
        <v>17</v>
      </c>
      <c r="H389" t="s">
        <v>153</v>
      </c>
      <c r="I389">
        <v>4</v>
      </c>
      <c r="J389">
        <v>0.05</v>
      </c>
      <c r="K389">
        <v>20811.84</v>
      </c>
      <c r="L389">
        <v>4538.78</v>
      </c>
      <c r="M389">
        <v>2025</v>
      </c>
      <c r="N389" t="s">
        <v>622</v>
      </c>
      <c r="O389" t="s">
        <v>625</v>
      </c>
      <c r="P389">
        <v>0.21808643541368758</v>
      </c>
    </row>
    <row r="390" spans="1:16" x14ac:dyDescent="0.3">
      <c r="A390" t="s">
        <v>490</v>
      </c>
      <c r="B390" s="12">
        <v>45937</v>
      </c>
      <c r="C390" t="s">
        <v>77</v>
      </c>
      <c r="D390" t="s">
        <v>14</v>
      </c>
      <c r="E390" t="s">
        <v>114</v>
      </c>
      <c r="F390" t="s">
        <v>28</v>
      </c>
      <c r="G390" t="s">
        <v>29</v>
      </c>
      <c r="H390" t="s">
        <v>98</v>
      </c>
      <c r="I390">
        <v>2</v>
      </c>
      <c r="J390">
        <v>0.1</v>
      </c>
      <c r="K390">
        <v>5744.62</v>
      </c>
      <c r="L390">
        <v>1132.1099999999999</v>
      </c>
      <c r="M390">
        <v>2025</v>
      </c>
      <c r="N390" t="s">
        <v>622</v>
      </c>
      <c r="O390" t="s">
        <v>625</v>
      </c>
      <c r="P390">
        <v>0.197073087514927</v>
      </c>
    </row>
    <row r="391" spans="1:16" x14ac:dyDescent="0.3">
      <c r="A391" t="s">
        <v>491</v>
      </c>
      <c r="B391" s="12">
        <v>45937</v>
      </c>
      <c r="C391" t="s">
        <v>135</v>
      </c>
      <c r="D391" t="s">
        <v>33</v>
      </c>
      <c r="E391" t="s">
        <v>45</v>
      </c>
      <c r="F391" t="s">
        <v>28</v>
      </c>
      <c r="G391" t="s">
        <v>71</v>
      </c>
      <c r="H391" t="s">
        <v>72</v>
      </c>
      <c r="I391">
        <v>3</v>
      </c>
      <c r="J391">
        <v>0.05</v>
      </c>
      <c r="K391">
        <v>9167.34</v>
      </c>
      <c r="L391">
        <v>1984.17</v>
      </c>
      <c r="M391">
        <v>2025</v>
      </c>
      <c r="N391" t="s">
        <v>622</v>
      </c>
      <c r="O391" t="s">
        <v>625</v>
      </c>
      <c r="P391">
        <v>0.2164390106617623</v>
      </c>
    </row>
    <row r="392" spans="1:16" x14ac:dyDescent="0.3">
      <c r="A392" t="s">
        <v>492</v>
      </c>
      <c r="B392" s="12">
        <v>45937</v>
      </c>
      <c r="C392" t="s">
        <v>13</v>
      </c>
      <c r="D392" t="s">
        <v>33</v>
      </c>
      <c r="E392" t="s">
        <v>34</v>
      </c>
      <c r="F392" t="s">
        <v>28</v>
      </c>
      <c r="G392" t="s">
        <v>71</v>
      </c>
      <c r="H392" t="s">
        <v>72</v>
      </c>
      <c r="I392">
        <v>4</v>
      </c>
      <c r="J392">
        <v>0.2</v>
      </c>
      <c r="K392">
        <v>12297.88</v>
      </c>
      <c r="L392">
        <v>417.6</v>
      </c>
      <c r="M392">
        <v>2025</v>
      </c>
      <c r="N392" t="s">
        <v>622</v>
      </c>
      <c r="O392" t="s">
        <v>625</v>
      </c>
      <c r="P392">
        <v>3.3957072275871941E-2</v>
      </c>
    </row>
    <row r="393" spans="1:16" x14ac:dyDescent="0.3">
      <c r="A393" t="s">
        <v>493</v>
      </c>
      <c r="B393" s="12">
        <v>45938</v>
      </c>
      <c r="C393" t="s">
        <v>82</v>
      </c>
      <c r="D393" t="s">
        <v>21</v>
      </c>
      <c r="E393" t="s">
        <v>105</v>
      </c>
      <c r="F393" t="s">
        <v>28</v>
      </c>
      <c r="G393" t="s">
        <v>71</v>
      </c>
      <c r="H393" t="s">
        <v>121</v>
      </c>
      <c r="I393">
        <v>4</v>
      </c>
      <c r="J393">
        <v>0.15</v>
      </c>
      <c r="K393">
        <v>11429.92</v>
      </c>
      <c r="L393">
        <v>1233.81</v>
      </c>
      <c r="M393">
        <v>2025</v>
      </c>
      <c r="N393" t="s">
        <v>622</v>
      </c>
      <c r="O393" t="s">
        <v>625</v>
      </c>
      <c r="P393">
        <v>0.10794563741478505</v>
      </c>
    </row>
    <row r="394" spans="1:16" x14ac:dyDescent="0.3">
      <c r="A394" t="s">
        <v>494</v>
      </c>
      <c r="B394" s="12">
        <v>45938</v>
      </c>
      <c r="C394" t="s">
        <v>104</v>
      </c>
      <c r="D394" t="s">
        <v>39</v>
      </c>
      <c r="E394" t="s">
        <v>40</v>
      </c>
      <c r="F394" t="s">
        <v>23</v>
      </c>
      <c r="G394" t="s">
        <v>58</v>
      </c>
      <c r="H394" t="s">
        <v>78</v>
      </c>
      <c r="I394">
        <v>7</v>
      </c>
      <c r="J394">
        <v>0.05</v>
      </c>
      <c r="K394">
        <v>60996.11</v>
      </c>
      <c r="L394">
        <v>3909.02</v>
      </c>
      <c r="M394">
        <v>2025</v>
      </c>
      <c r="N394" t="s">
        <v>622</v>
      </c>
      <c r="O394" t="s">
        <v>625</v>
      </c>
      <c r="P394">
        <v>6.4086381902058995E-2</v>
      </c>
    </row>
    <row r="395" spans="1:16" x14ac:dyDescent="0.3">
      <c r="A395" t="s">
        <v>495</v>
      </c>
      <c r="B395" s="12">
        <v>45939</v>
      </c>
      <c r="C395" t="s">
        <v>147</v>
      </c>
      <c r="D395" t="s">
        <v>33</v>
      </c>
      <c r="E395" t="s">
        <v>86</v>
      </c>
      <c r="F395" t="s">
        <v>16</v>
      </c>
      <c r="G395" t="s">
        <v>68</v>
      </c>
      <c r="H395" t="s">
        <v>175</v>
      </c>
      <c r="I395">
        <v>6</v>
      </c>
      <c r="J395">
        <v>0.2</v>
      </c>
      <c r="K395">
        <v>66168.72</v>
      </c>
      <c r="L395">
        <v>8884.74</v>
      </c>
      <c r="M395">
        <v>2025</v>
      </c>
      <c r="N395" t="s">
        <v>622</v>
      </c>
      <c r="O395" t="s">
        <v>625</v>
      </c>
      <c r="P395">
        <v>0.13427401950649792</v>
      </c>
    </row>
    <row r="396" spans="1:16" x14ac:dyDescent="0.3">
      <c r="A396" t="s">
        <v>496</v>
      </c>
      <c r="B396" s="12">
        <v>45940</v>
      </c>
      <c r="C396" t="s">
        <v>95</v>
      </c>
      <c r="D396" t="s">
        <v>39</v>
      </c>
      <c r="E396" t="s">
        <v>128</v>
      </c>
      <c r="F396" t="s">
        <v>28</v>
      </c>
      <c r="G396" t="s">
        <v>29</v>
      </c>
      <c r="H396" t="s">
        <v>30</v>
      </c>
      <c r="I396">
        <v>5</v>
      </c>
      <c r="J396">
        <v>0.1</v>
      </c>
      <c r="K396">
        <v>13076.5</v>
      </c>
      <c r="L396">
        <v>1880.69</v>
      </c>
      <c r="M396">
        <v>2025</v>
      </c>
      <c r="N396" t="s">
        <v>622</v>
      </c>
      <c r="O396" t="s">
        <v>625</v>
      </c>
      <c r="P396">
        <v>0.14382212365694186</v>
      </c>
    </row>
    <row r="397" spans="1:16" x14ac:dyDescent="0.3">
      <c r="A397" t="s">
        <v>497</v>
      </c>
      <c r="B397" s="12">
        <v>45942</v>
      </c>
      <c r="C397" t="s">
        <v>27</v>
      </c>
      <c r="D397" t="s">
        <v>21</v>
      </c>
      <c r="E397" t="s">
        <v>105</v>
      </c>
      <c r="F397" t="s">
        <v>23</v>
      </c>
      <c r="G397" t="s">
        <v>58</v>
      </c>
      <c r="H397" t="s">
        <v>59</v>
      </c>
      <c r="I397">
        <v>2</v>
      </c>
      <c r="J397">
        <v>0.1</v>
      </c>
      <c r="K397">
        <v>37212.92</v>
      </c>
      <c r="L397">
        <v>5462.03</v>
      </c>
      <c r="M397">
        <v>2025</v>
      </c>
      <c r="N397" t="s">
        <v>622</v>
      </c>
      <c r="O397" t="s">
        <v>625</v>
      </c>
      <c r="P397">
        <v>0.14677778577977757</v>
      </c>
    </row>
    <row r="398" spans="1:16" x14ac:dyDescent="0.3">
      <c r="A398" t="s">
        <v>498</v>
      </c>
      <c r="B398" s="12">
        <v>45942</v>
      </c>
      <c r="C398" t="s">
        <v>95</v>
      </c>
      <c r="D398" t="s">
        <v>21</v>
      </c>
      <c r="E398" t="s">
        <v>22</v>
      </c>
      <c r="F398" t="s">
        <v>16</v>
      </c>
      <c r="G398" t="s">
        <v>68</v>
      </c>
      <c r="H398" t="s">
        <v>175</v>
      </c>
      <c r="I398">
        <v>1</v>
      </c>
      <c r="J398">
        <v>0.2</v>
      </c>
      <c r="K398">
        <v>11541.56</v>
      </c>
      <c r="L398">
        <v>1985.06</v>
      </c>
      <c r="M398">
        <v>2025</v>
      </c>
      <c r="N398" t="s">
        <v>622</v>
      </c>
      <c r="O398" t="s">
        <v>625</v>
      </c>
      <c r="P398">
        <v>0.17199234765490973</v>
      </c>
    </row>
    <row r="399" spans="1:16" x14ac:dyDescent="0.3">
      <c r="A399" t="s">
        <v>499</v>
      </c>
      <c r="B399" s="12">
        <v>45943</v>
      </c>
      <c r="C399" t="s">
        <v>138</v>
      </c>
      <c r="D399" t="s">
        <v>14</v>
      </c>
      <c r="E399" t="s">
        <v>114</v>
      </c>
      <c r="F399" t="s">
        <v>23</v>
      </c>
      <c r="G399" t="s">
        <v>48</v>
      </c>
      <c r="H399" t="s">
        <v>124</v>
      </c>
      <c r="I399">
        <v>5</v>
      </c>
      <c r="J399">
        <v>0.2</v>
      </c>
      <c r="K399">
        <v>193284.45</v>
      </c>
      <c r="L399">
        <v>25200.560000000001</v>
      </c>
      <c r="M399">
        <v>2025</v>
      </c>
      <c r="N399" t="s">
        <v>622</v>
      </c>
      <c r="O399" t="s">
        <v>625</v>
      </c>
      <c r="P399">
        <v>0.13038069022107054</v>
      </c>
    </row>
    <row r="400" spans="1:16" x14ac:dyDescent="0.3">
      <c r="A400" t="s">
        <v>500</v>
      </c>
      <c r="B400" s="12">
        <v>45944</v>
      </c>
      <c r="C400" t="s">
        <v>20</v>
      </c>
      <c r="D400" t="s">
        <v>14</v>
      </c>
      <c r="E400" t="s">
        <v>97</v>
      </c>
      <c r="F400" t="s">
        <v>16</v>
      </c>
      <c r="G400" t="s">
        <v>68</v>
      </c>
      <c r="H400" t="s">
        <v>175</v>
      </c>
      <c r="I400">
        <v>5</v>
      </c>
      <c r="J400">
        <v>0.05</v>
      </c>
      <c r="K400">
        <v>47393.8</v>
      </c>
      <c r="L400">
        <v>4668.21</v>
      </c>
      <c r="M400">
        <v>2025</v>
      </c>
      <c r="N400" t="s">
        <v>622</v>
      </c>
      <c r="O400" t="s">
        <v>625</v>
      </c>
      <c r="P400">
        <v>9.8498326785360107E-2</v>
      </c>
    </row>
    <row r="401" spans="1:16" x14ac:dyDescent="0.3">
      <c r="A401" t="s">
        <v>501</v>
      </c>
      <c r="B401" s="12">
        <v>45946</v>
      </c>
      <c r="C401" t="s">
        <v>111</v>
      </c>
      <c r="D401" t="s">
        <v>14</v>
      </c>
      <c r="E401" t="s">
        <v>15</v>
      </c>
      <c r="F401" t="s">
        <v>23</v>
      </c>
      <c r="G401" t="s">
        <v>24</v>
      </c>
      <c r="H401" t="s">
        <v>129</v>
      </c>
      <c r="I401">
        <v>3</v>
      </c>
      <c r="J401">
        <v>0.15</v>
      </c>
      <c r="K401">
        <v>130540.53</v>
      </c>
      <c r="L401">
        <v>22465.88</v>
      </c>
      <c r="M401">
        <v>2025</v>
      </c>
      <c r="N401" t="s">
        <v>622</v>
      </c>
      <c r="O401" t="s">
        <v>625</v>
      </c>
      <c r="P401">
        <v>0.17209888760218761</v>
      </c>
    </row>
    <row r="402" spans="1:16" x14ac:dyDescent="0.3">
      <c r="A402" t="s">
        <v>502</v>
      </c>
      <c r="B402" s="12">
        <v>45946</v>
      </c>
      <c r="C402" t="s">
        <v>66</v>
      </c>
      <c r="D402" t="s">
        <v>21</v>
      </c>
      <c r="E402" t="s">
        <v>57</v>
      </c>
      <c r="F402" t="s">
        <v>23</v>
      </c>
      <c r="G402" t="s">
        <v>24</v>
      </c>
      <c r="H402" t="s">
        <v>132</v>
      </c>
      <c r="I402">
        <v>6</v>
      </c>
      <c r="J402">
        <v>0.2</v>
      </c>
      <c r="K402">
        <v>215591.7</v>
      </c>
      <c r="L402">
        <v>34289.89</v>
      </c>
      <c r="M402">
        <v>2025</v>
      </c>
      <c r="N402" t="s">
        <v>622</v>
      </c>
      <c r="O402" t="s">
        <v>625</v>
      </c>
      <c r="P402">
        <v>0.15905013968534037</v>
      </c>
    </row>
    <row r="403" spans="1:16" x14ac:dyDescent="0.3">
      <c r="A403" t="s">
        <v>503</v>
      </c>
      <c r="B403" s="12">
        <v>45946</v>
      </c>
      <c r="C403" t="s">
        <v>38</v>
      </c>
      <c r="D403" t="s">
        <v>21</v>
      </c>
      <c r="E403" t="s">
        <v>22</v>
      </c>
      <c r="F403" t="s">
        <v>23</v>
      </c>
      <c r="G403" t="s">
        <v>24</v>
      </c>
      <c r="H403" t="s">
        <v>132</v>
      </c>
      <c r="I403">
        <v>1</v>
      </c>
      <c r="J403">
        <v>0</v>
      </c>
      <c r="K403">
        <v>24434.21</v>
      </c>
      <c r="L403">
        <v>3519.64</v>
      </c>
      <c r="M403">
        <v>2025</v>
      </c>
      <c r="N403" t="s">
        <v>622</v>
      </c>
      <c r="O403" t="s">
        <v>625</v>
      </c>
      <c r="P403">
        <v>0.14404558199344281</v>
      </c>
    </row>
    <row r="404" spans="1:16" x14ac:dyDescent="0.3">
      <c r="A404" t="s">
        <v>504</v>
      </c>
      <c r="B404" s="12">
        <v>45947</v>
      </c>
      <c r="C404" t="s">
        <v>82</v>
      </c>
      <c r="D404" t="s">
        <v>21</v>
      </c>
      <c r="E404" t="s">
        <v>67</v>
      </c>
      <c r="F404" t="s">
        <v>23</v>
      </c>
      <c r="G404" t="s">
        <v>35</v>
      </c>
      <c r="H404" t="s">
        <v>155</v>
      </c>
      <c r="I404">
        <v>4</v>
      </c>
      <c r="J404">
        <v>0.15</v>
      </c>
      <c r="K404">
        <v>87928.16</v>
      </c>
      <c r="L404">
        <v>3087.36</v>
      </c>
      <c r="M404">
        <v>2025</v>
      </c>
      <c r="N404" t="s">
        <v>622</v>
      </c>
      <c r="O404" t="s">
        <v>625</v>
      </c>
      <c r="P404">
        <v>3.5112300769173377E-2</v>
      </c>
    </row>
    <row r="405" spans="1:16" x14ac:dyDescent="0.3">
      <c r="A405" t="s">
        <v>505</v>
      </c>
      <c r="B405" s="12">
        <v>45949</v>
      </c>
      <c r="C405" t="s">
        <v>229</v>
      </c>
      <c r="D405" t="s">
        <v>33</v>
      </c>
      <c r="E405" t="s">
        <v>86</v>
      </c>
      <c r="F405" t="s">
        <v>23</v>
      </c>
      <c r="G405" t="s">
        <v>35</v>
      </c>
      <c r="H405" t="s">
        <v>155</v>
      </c>
      <c r="I405">
        <v>3</v>
      </c>
      <c r="J405">
        <v>0.15</v>
      </c>
      <c r="K405">
        <v>48986.61</v>
      </c>
      <c r="L405">
        <v>1781.83</v>
      </c>
      <c r="M405">
        <v>2025</v>
      </c>
      <c r="N405" t="s">
        <v>622</v>
      </c>
      <c r="O405" t="s">
        <v>625</v>
      </c>
      <c r="P405">
        <v>3.637381725332698E-2</v>
      </c>
    </row>
    <row r="406" spans="1:16" x14ac:dyDescent="0.3">
      <c r="A406" t="s">
        <v>506</v>
      </c>
      <c r="B406" s="12">
        <v>45950</v>
      </c>
      <c r="C406" t="s">
        <v>104</v>
      </c>
      <c r="D406" t="s">
        <v>33</v>
      </c>
      <c r="E406" t="s">
        <v>34</v>
      </c>
      <c r="F406" t="s">
        <v>16</v>
      </c>
      <c r="G406" t="s">
        <v>41</v>
      </c>
      <c r="H406" t="s">
        <v>42</v>
      </c>
      <c r="I406">
        <v>3</v>
      </c>
      <c r="J406">
        <v>0.1</v>
      </c>
      <c r="K406">
        <v>21805.11</v>
      </c>
      <c r="L406">
        <v>4331.22</v>
      </c>
      <c r="M406">
        <v>2025</v>
      </c>
      <c r="N406" t="s">
        <v>622</v>
      </c>
      <c r="O406" t="s">
        <v>625</v>
      </c>
      <c r="P406">
        <v>0.19863325614959063</v>
      </c>
    </row>
    <row r="407" spans="1:16" x14ac:dyDescent="0.3">
      <c r="A407" t="s">
        <v>507</v>
      </c>
      <c r="B407" s="12">
        <v>45950</v>
      </c>
      <c r="C407" t="s">
        <v>66</v>
      </c>
      <c r="D407" t="s">
        <v>33</v>
      </c>
      <c r="E407" t="s">
        <v>45</v>
      </c>
      <c r="F407" t="s">
        <v>23</v>
      </c>
      <c r="G407" t="s">
        <v>35</v>
      </c>
      <c r="H407" t="s">
        <v>36</v>
      </c>
      <c r="I407">
        <v>4</v>
      </c>
      <c r="J407">
        <v>0.15</v>
      </c>
      <c r="K407">
        <v>76220.44</v>
      </c>
      <c r="L407">
        <v>8637.58</v>
      </c>
      <c r="M407">
        <v>2025</v>
      </c>
      <c r="N407" t="s">
        <v>622</v>
      </c>
      <c r="O407" t="s">
        <v>625</v>
      </c>
      <c r="P407">
        <v>0.11332367013362819</v>
      </c>
    </row>
    <row r="408" spans="1:16" x14ac:dyDescent="0.3">
      <c r="A408" t="s">
        <v>508</v>
      </c>
      <c r="B408" s="12">
        <v>45950</v>
      </c>
      <c r="C408" t="s">
        <v>44</v>
      </c>
      <c r="D408" t="s">
        <v>14</v>
      </c>
      <c r="E408" t="s">
        <v>15</v>
      </c>
      <c r="F408" t="s">
        <v>28</v>
      </c>
      <c r="G408" t="s">
        <v>92</v>
      </c>
      <c r="H408" t="s">
        <v>204</v>
      </c>
      <c r="I408">
        <v>2</v>
      </c>
      <c r="J408">
        <v>0.1</v>
      </c>
      <c r="K408">
        <v>585.55999999999995</v>
      </c>
      <c r="L408">
        <v>71.36</v>
      </c>
      <c r="M408">
        <v>2025</v>
      </c>
      <c r="N408" t="s">
        <v>622</v>
      </c>
      <c r="O408" t="s">
        <v>627</v>
      </c>
      <c r="P408">
        <v>0.12186624769451466</v>
      </c>
    </row>
    <row r="409" spans="1:16" x14ac:dyDescent="0.3">
      <c r="A409" t="s">
        <v>509</v>
      </c>
      <c r="B409" s="12">
        <v>45950</v>
      </c>
      <c r="C409" t="s">
        <v>13</v>
      </c>
      <c r="D409" t="s">
        <v>21</v>
      </c>
      <c r="E409" t="s">
        <v>67</v>
      </c>
      <c r="F409" t="s">
        <v>16</v>
      </c>
      <c r="G409" t="s">
        <v>62</v>
      </c>
      <c r="H409" t="s">
        <v>180</v>
      </c>
      <c r="I409">
        <v>1</v>
      </c>
      <c r="J409">
        <v>0</v>
      </c>
      <c r="K409">
        <v>10968.9</v>
      </c>
      <c r="L409">
        <v>1081.6400000000001</v>
      </c>
      <c r="M409">
        <v>2025</v>
      </c>
      <c r="N409" t="s">
        <v>622</v>
      </c>
      <c r="O409" t="s">
        <v>625</v>
      </c>
      <c r="P409">
        <v>9.8609705622259305E-2</v>
      </c>
    </row>
    <row r="410" spans="1:16" x14ac:dyDescent="0.3">
      <c r="A410" t="s">
        <v>510</v>
      </c>
      <c r="B410" s="12">
        <v>45951</v>
      </c>
      <c r="C410" t="s">
        <v>77</v>
      </c>
      <c r="D410" t="s">
        <v>21</v>
      </c>
      <c r="E410" t="s">
        <v>57</v>
      </c>
      <c r="F410" t="s">
        <v>16</v>
      </c>
      <c r="G410" t="s">
        <v>62</v>
      </c>
      <c r="H410" t="s">
        <v>180</v>
      </c>
      <c r="I410">
        <v>7</v>
      </c>
      <c r="J410">
        <v>0</v>
      </c>
      <c r="K410">
        <v>50452.92</v>
      </c>
      <c r="L410">
        <v>6955.59</v>
      </c>
      <c r="M410">
        <v>2025</v>
      </c>
      <c r="N410" t="s">
        <v>622</v>
      </c>
      <c r="O410" t="s">
        <v>625</v>
      </c>
      <c r="P410">
        <v>0.13786298196417571</v>
      </c>
    </row>
    <row r="411" spans="1:16" x14ac:dyDescent="0.3">
      <c r="A411" t="s">
        <v>511</v>
      </c>
      <c r="B411" s="12">
        <v>45951</v>
      </c>
      <c r="C411" t="s">
        <v>150</v>
      </c>
      <c r="D411" t="s">
        <v>21</v>
      </c>
      <c r="E411" t="s">
        <v>57</v>
      </c>
      <c r="F411" t="s">
        <v>23</v>
      </c>
      <c r="G411" t="s">
        <v>24</v>
      </c>
      <c r="H411" t="s">
        <v>25</v>
      </c>
      <c r="I411">
        <v>2</v>
      </c>
      <c r="J411">
        <v>0.15</v>
      </c>
      <c r="K411">
        <v>31114.3</v>
      </c>
      <c r="L411">
        <v>4737.47</v>
      </c>
      <c r="M411">
        <v>2025</v>
      </c>
      <c r="N411" t="s">
        <v>622</v>
      </c>
      <c r="O411" t="s">
        <v>625</v>
      </c>
      <c r="P411">
        <v>0.1522602147565589</v>
      </c>
    </row>
    <row r="412" spans="1:16" x14ac:dyDescent="0.3">
      <c r="A412" t="s">
        <v>512</v>
      </c>
      <c r="B412" s="12">
        <v>45951</v>
      </c>
      <c r="C412" t="s">
        <v>229</v>
      </c>
      <c r="D412" t="s">
        <v>21</v>
      </c>
      <c r="E412" t="s">
        <v>105</v>
      </c>
      <c r="F412" t="s">
        <v>16</v>
      </c>
      <c r="G412" t="s">
        <v>68</v>
      </c>
      <c r="H412" t="s">
        <v>83</v>
      </c>
      <c r="I412">
        <v>2</v>
      </c>
      <c r="J412">
        <v>0.1</v>
      </c>
      <c r="K412">
        <v>15642.82</v>
      </c>
      <c r="L412">
        <v>945.93</v>
      </c>
      <c r="M412">
        <v>2025</v>
      </c>
      <c r="N412" t="s">
        <v>622</v>
      </c>
      <c r="O412" t="s">
        <v>625</v>
      </c>
      <c r="P412">
        <v>6.047055454195599E-2</v>
      </c>
    </row>
    <row r="413" spans="1:16" x14ac:dyDescent="0.3">
      <c r="A413" t="s">
        <v>513</v>
      </c>
      <c r="B413" s="12">
        <v>45952</v>
      </c>
      <c r="C413" t="s">
        <v>66</v>
      </c>
      <c r="D413" t="s">
        <v>14</v>
      </c>
      <c r="E413" t="s">
        <v>114</v>
      </c>
      <c r="F413" t="s">
        <v>16</v>
      </c>
      <c r="G413" t="s">
        <v>62</v>
      </c>
      <c r="H413" t="s">
        <v>180</v>
      </c>
      <c r="I413">
        <v>3</v>
      </c>
      <c r="J413">
        <v>0.2</v>
      </c>
      <c r="K413">
        <v>27804.42</v>
      </c>
      <c r="L413">
        <v>4484.3</v>
      </c>
      <c r="M413">
        <v>2025</v>
      </c>
      <c r="N413" t="s">
        <v>622</v>
      </c>
      <c r="O413" t="s">
        <v>625</v>
      </c>
      <c r="P413">
        <v>0.16128011301800219</v>
      </c>
    </row>
    <row r="414" spans="1:16" x14ac:dyDescent="0.3">
      <c r="A414" t="s">
        <v>514</v>
      </c>
      <c r="B414" s="12">
        <v>45952</v>
      </c>
      <c r="C414" t="s">
        <v>229</v>
      </c>
      <c r="D414" t="s">
        <v>14</v>
      </c>
      <c r="E414" t="s">
        <v>15</v>
      </c>
      <c r="F414" t="s">
        <v>23</v>
      </c>
      <c r="G414" t="s">
        <v>48</v>
      </c>
      <c r="H414" t="s">
        <v>124</v>
      </c>
      <c r="I414">
        <v>3</v>
      </c>
      <c r="J414">
        <v>0</v>
      </c>
      <c r="K414">
        <v>66879.149999999994</v>
      </c>
      <c r="L414">
        <v>5430.25</v>
      </c>
      <c r="M414">
        <v>2025</v>
      </c>
      <c r="N414" t="s">
        <v>622</v>
      </c>
      <c r="O414" t="s">
        <v>625</v>
      </c>
      <c r="P414">
        <v>8.1194961359407236E-2</v>
      </c>
    </row>
    <row r="415" spans="1:16" x14ac:dyDescent="0.3">
      <c r="A415" t="s">
        <v>515</v>
      </c>
      <c r="B415" s="12">
        <v>45953</v>
      </c>
      <c r="C415" t="s">
        <v>77</v>
      </c>
      <c r="D415" t="s">
        <v>14</v>
      </c>
      <c r="E415" t="s">
        <v>114</v>
      </c>
      <c r="F415" t="s">
        <v>16</v>
      </c>
      <c r="G415" t="s">
        <v>62</v>
      </c>
      <c r="H415" t="s">
        <v>63</v>
      </c>
      <c r="I415">
        <v>4</v>
      </c>
      <c r="J415">
        <v>0.1</v>
      </c>
      <c r="K415">
        <v>42524.76</v>
      </c>
      <c r="L415">
        <v>3440.65</v>
      </c>
      <c r="M415">
        <v>2025</v>
      </c>
      <c r="N415" t="s">
        <v>622</v>
      </c>
      <c r="O415" t="s">
        <v>625</v>
      </c>
      <c r="P415">
        <v>8.0909333762259908E-2</v>
      </c>
    </row>
    <row r="416" spans="1:16" x14ac:dyDescent="0.3">
      <c r="A416" t="s">
        <v>516</v>
      </c>
      <c r="B416" s="12">
        <v>45956</v>
      </c>
      <c r="C416" t="s">
        <v>38</v>
      </c>
      <c r="D416" t="s">
        <v>21</v>
      </c>
      <c r="E416" t="s">
        <v>22</v>
      </c>
      <c r="F416" t="s">
        <v>23</v>
      </c>
      <c r="G416" t="s">
        <v>35</v>
      </c>
      <c r="H416" t="s">
        <v>155</v>
      </c>
      <c r="I416">
        <v>7</v>
      </c>
      <c r="J416">
        <v>0.05</v>
      </c>
      <c r="K416">
        <v>106713.04</v>
      </c>
      <c r="L416">
        <v>21366.01</v>
      </c>
      <c r="M416">
        <v>2025</v>
      </c>
      <c r="N416" t="s">
        <v>622</v>
      </c>
      <c r="O416" t="s">
        <v>625</v>
      </c>
      <c r="P416">
        <v>0.20021929841001623</v>
      </c>
    </row>
    <row r="417" spans="1:16" x14ac:dyDescent="0.3">
      <c r="A417" t="s">
        <v>517</v>
      </c>
      <c r="B417" s="12">
        <v>45957</v>
      </c>
      <c r="C417" t="s">
        <v>100</v>
      </c>
      <c r="D417" t="s">
        <v>33</v>
      </c>
      <c r="E417" t="s">
        <v>140</v>
      </c>
      <c r="F417" t="s">
        <v>23</v>
      </c>
      <c r="G417" t="s">
        <v>35</v>
      </c>
      <c r="H417" t="s">
        <v>155</v>
      </c>
      <c r="I417">
        <v>7</v>
      </c>
      <c r="J417">
        <v>0</v>
      </c>
      <c r="K417">
        <v>193238.64</v>
      </c>
      <c r="L417">
        <v>34527.78</v>
      </c>
      <c r="M417">
        <v>2025</v>
      </c>
      <c r="N417" t="s">
        <v>622</v>
      </c>
      <c r="O417" t="s">
        <v>625</v>
      </c>
      <c r="P417">
        <v>0.17867948149500532</v>
      </c>
    </row>
    <row r="418" spans="1:16" x14ac:dyDescent="0.3">
      <c r="A418" t="s">
        <v>518</v>
      </c>
      <c r="B418" s="12">
        <v>45958</v>
      </c>
      <c r="C418" t="s">
        <v>44</v>
      </c>
      <c r="D418" t="s">
        <v>14</v>
      </c>
      <c r="E418" t="s">
        <v>15</v>
      </c>
      <c r="F418" t="s">
        <v>16</v>
      </c>
      <c r="G418" t="s">
        <v>62</v>
      </c>
      <c r="H418" t="s">
        <v>180</v>
      </c>
      <c r="I418">
        <v>2</v>
      </c>
      <c r="J418">
        <v>0.05</v>
      </c>
      <c r="K418">
        <v>5642.62</v>
      </c>
      <c r="L418">
        <v>533.34</v>
      </c>
      <c r="M418">
        <v>2025</v>
      </c>
      <c r="N418" t="s">
        <v>622</v>
      </c>
      <c r="O418" t="s">
        <v>625</v>
      </c>
      <c r="P418">
        <v>9.4519921596705081E-2</v>
      </c>
    </row>
    <row r="419" spans="1:16" x14ac:dyDescent="0.3">
      <c r="A419" t="s">
        <v>519</v>
      </c>
      <c r="B419" s="12">
        <v>45958</v>
      </c>
      <c r="C419" t="s">
        <v>27</v>
      </c>
      <c r="D419" t="s">
        <v>21</v>
      </c>
      <c r="E419" t="s">
        <v>22</v>
      </c>
      <c r="F419" t="s">
        <v>23</v>
      </c>
      <c r="G419" t="s">
        <v>48</v>
      </c>
      <c r="H419" t="s">
        <v>118</v>
      </c>
      <c r="I419">
        <v>2</v>
      </c>
      <c r="J419">
        <v>0</v>
      </c>
      <c r="K419">
        <v>80261.98</v>
      </c>
      <c r="L419">
        <v>15805.46</v>
      </c>
      <c r="M419">
        <v>2025</v>
      </c>
      <c r="N419" t="s">
        <v>622</v>
      </c>
      <c r="O419" t="s">
        <v>625</v>
      </c>
      <c r="P419">
        <v>0.19692337517713868</v>
      </c>
    </row>
    <row r="420" spans="1:16" x14ac:dyDescent="0.3">
      <c r="A420" t="s">
        <v>520</v>
      </c>
      <c r="B420" s="12">
        <v>45959</v>
      </c>
      <c r="C420" t="s">
        <v>95</v>
      </c>
      <c r="D420" t="s">
        <v>21</v>
      </c>
      <c r="E420" t="s">
        <v>105</v>
      </c>
      <c r="F420" t="s">
        <v>16</v>
      </c>
      <c r="G420" t="s">
        <v>17</v>
      </c>
      <c r="H420" t="s">
        <v>18</v>
      </c>
      <c r="I420">
        <v>5</v>
      </c>
      <c r="J420">
        <v>0.1</v>
      </c>
      <c r="K420">
        <v>7930.45</v>
      </c>
      <c r="L420">
        <v>810.6</v>
      </c>
      <c r="M420">
        <v>2025</v>
      </c>
      <c r="N420" t="s">
        <v>622</v>
      </c>
      <c r="O420" t="s">
        <v>625</v>
      </c>
      <c r="P420">
        <v>0.10221361965588334</v>
      </c>
    </row>
    <row r="421" spans="1:16" x14ac:dyDescent="0.3">
      <c r="A421" t="s">
        <v>521</v>
      </c>
      <c r="B421" s="12">
        <v>45960</v>
      </c>
      <c r="C421" t="s">
        <v>51</v>
      </c>
      <c r="D421" t="s">
        <v>33</v>
      </c>
      <c r="E421" t="s">
        <v>140</v>
      </c>
      <c r="F421" t="s">
        <v>28</v>
      </c>
      <c r="G421" t="s">
        <v>71</v>
      </c>
      <c r="H421" t="s">
        <v>72</v>
      </c>
      <c r="I421">
        <v>6</v>
      </c>
      <c r="J421">
        <v>0.1</v>
      </c>
      <c r="K421">
        <v>28770.240000000002</v>
      </c>
      <c r="L421">
        <v>4875.93</v>
      </c>
      <c r="M421">
        <v>2025</v>
      </c>
      <c r="N421" t="s">
        <v>622</v>
      </c>
      <c r="O421" t="s">
        <v>625</v>
      </c>
      <c r="P421">
        <v>0.16947825252761187</v>
      </c>
    </row>
    <row r="422" spans="1:16" x14ac:dyDescent="0.3">
      <c r="A422" t="s">
        <v>522</v>
      </c>
      <c r="B422" s="12">
        <v>45961</v>
      </c>
      <c r="C422" t="s">
        <v>147</v>
      </c>
      <c r="D422" t="s">
        <v>39</v>
      </c>
      <c r="E422" t="s">
        <v>52</v>
      </c>
      <c r="F422" t="s">
        <v>28</v>
      </c>
      <c r="G422" t="s">
        <v>92</v>
      </c>
      <c r="H422" t="s">
        <v>204</v>
      </c>
      <c r="I422">
        <v>3</v>
      </c>
      <c r="J422">
        <v>0.05</v>
      </c>
      <c r="K422">
        <v>531.41999999999996</v>
      </c>
      <c r="L422">
        <v>97.01</v>
      </c>
      <c r="M422">
        <v>2025</v>
      </c>
      <c r="N422" t="s">
        <v>622</v>
      </c>
      <c r="O422" t="s">
        <v>627</v>
      </c>
      <c r="P422">
        <v>0.18254864325768697</v>
      </c>
    </row>
    <row r="423" spans="1:16" x14ac:dyDescent="0.3">
      <c r="A423" t="s">
        <v>523</v>
      </c>
      <c r="B423" s="12">
        <v>45961</v>
      </c>
      <c r="C423" t="s">
        <v>104</v>
      </c>
      <c r="D423" t="s">
        <v>33</v>
      </c>
      <c r="E423" t="s">
        <v>140</v>
      </c>
      <c r="F423" t="s">
        <v>23</v>
      </c>
      <c r="G423" t="s">
        <v>35</v>
      </c>
      <c r="H423" t="s">
        <v>155</v>
      </c>
      <c r="I423">
        <v>7</v>
      </c>
      <c r="J423">
        <v>0.1</v>
      </c>
      <c r="K423">
        <v>189372.75</v>
      </c>
      <c r="L423">
        <v>33145.94</v>
      </c>
      <c r="M423">
        <v>2025</v>
      </c>
      <c r="N423" t="s">
        <v>622</v>
      </c>
      <c r="O423" t="s">
        <v>625</v>
      </c>
      <c r="P423">
        <v>0.17503014557268667</v>
      </c>
    </row>
    <row r="424" spans="1:16" x14ac:dyDescent="0.3">
      <c r="A424" t="s">
        <v>524</v>
      </c>
      <c r="B424" s="12">
        <v>45962</v>
      </c>
      <c r="C424" t="s">
        <v>77</v>
      </c>
      <c r="D424" t="s">
        <v>39</v>
      </c>
      <c r="E424" t="s">
        <v>40</v>
      </c>
      <c r="F424" t="s">
        <v>23</v>
      </c>
      <c r="G424" t="s">
        <v>35</v>
      </c>
      <c r="H424" t="s">
        <v>155</v>
      </c>
      <c r="I424">
        <v>3</v>
      </c>
      <c r="J424">
        <v>0.05</v>
      </c>
      <c r="K424">
        <v>35945.01</v>
      </c>
      <c r="L424">
        <v>5833.89</v>
      </c>
      <c r="M424">
        <v>2025</v>
      </c>
      <c r="N424" t="s">
        <v>623</v>
      </c>
      <c r="O424" t="s">
        <v>625</v>
      </c>
      <c r="P424">
        <v>0.16230041388220506</v>
      </c>
    </row>
    <row r="425" spans="1:16" x14ac:dyDescent="0.3">
      <c r="A425" t="s">
        <v>525</v>
      </c>
      <c r="B425" s="12">
        <v>45965</v>
      </c>
      <c r="C425" t="s">
        <v>111</v>
      </c>
      <c r="D425" t="s">
        <v>39</v>
      </c>
      <c r="E425" t="s">
        <v>40</v>
      </c>
      <c r="F425" t="s">
        <v>23</v>
      </c>
      <c r="G425" t="s">
        <v>35</v>
      </c>
      <c r="H425" t="s">
        <v>36</v>
      </c>
      <c r="I425">
        <v>7</v>
      </c>
      <c r="J425">
        <v>0.15</v>
      </c>
      <c r="K425">
        <v>109762.94</v>
      </c>
      <c r="L425">
        <v>8351.1200000000008</v>
      </c>
      <c r="M425">
        <v>2025</v>
      </c>
      <c r="N425" t="s">
        <v>623</v>
      </c>
      <c r="O425" t="s">
        <v>625</v>
      </c>
      <c r="P425">
        <v>7.608323902402761E-2</v>
      </c>
    </row>
    <row r="426" spans="1:16" x14ac:dyDescent="0.3">
      <c r="A426" t="s">
        <v>526</v>
      </c>
      <c r="B426" s="12">
        <v>45966</v>
      </c>
      <c r="C426" t="s">
        <v>56</v>
      </c>
      <c r="D426" t="s">
        <v>14</v>
      </c>
      <c r="E426" t="s">
        <v>54</v>
      </c>
      <c r="F426" t="s">
        <v>16</v>
      </c>
      <c r="G426" t="s">
        <v>17</v>
      </c>
      <c r="H426" t="s">
        <v>88</v>
      </c>
      <c r="I426">
        <v>7</v>
      </c>
      <c r="J426">
        <v>0.05</v>
      </c>
      <c r="K426">
        <v>40022.36</v>
      </c>
      <c r="L426">
        <v>7679.25</v>
      </c>
      <c r="M426">
        <v>2025</v>
      </c>
      <c r="N426" t="s">
        <v>623</v>
      </c>
      <c r="O426" t="s">
        <v>625</v>
      </c>
      <c r="P426">
        <v>0.19187399243822703</v>
      </c>
    </row>
    <row r="427" spans="1:16" x14ac:dyDescent="0.3">
      <c r="A427" t="s">
        <v>527</v>
      </c>
      <c r="B427" s="12">
        <v>45966</v>
      </c>
      <c r="C427" t="s">
        <v>56</v>
      </c>
      <c r="D427" t="s">
        <v>39</v>
      </c>
      <c r="E427" t="s">
        <v>47</v>
      </c>
      <c r="F427" t="s">
        <v>16</v>
      </c>
      <c r="G427" t="s">
        <v>17</v>
      </c>
      <c r="H427" t="s">
        <v>18</v>
      </c>
      <c r="I427">
        <v>3</v>
      </c>
      <c r="J427">
        <v>0.1</v>
      </c>
      <c r="K427">
        <v>20228.310000000001</v>
      </c>
      <c r="L427">
        <v>3068.84</v>
      </c>
      <c r="M427">
        <v>2025</v>
      </c>
      <c r="N427" t="s">
        <v>623</v>
      </c>
      <c r="O427" t="s">
        <v>625</v>
      </c>
      <c r="P427">
        <v>0.1517101527512679</v>
      </c>
    </row>
    <row r="428" spans="1:16" x14ac:dyDescent="0.3">
      <c r="A428" t="s">
        <v>528</v>
      </c>
      <c r="B428" s="12">
        <v>45966</v>
      </c>
      <c r="C428" t="s">
        <v>95</v>
      </c>
      <c r="D428" t="s">
        <v>33</v>
      </c>
      <c r="E428" t="s">
        <v>34</v>
      </c>
      <c r="F428" t="s">
        <v>16</v>
      </c>
      <c r="G428" t="s">
        <v>41</v>
      </c>
      <c r="H428" t="s">
        <v>42</v>
      </c>
      <c r="I428">
        <v>4</v>
      </c>
      <c r="J428">
        <v>0.05</v>
      </c>
      <c r="K428">
        <v>45173.440000000002</v>
      </c>
      <c r="L428">
        <v>4219.66</v>
      </c>
      <c r="M428">
        <v>2025</v>
      </c>
      <c r="N428" t="s">
        <v>623</v>
      </c>
      <c r="O428" t="s">
        <v>625</v>
      </c>
      <c r="P428">
        <v>9.3410198559153335E-2</v>
      </c>
    </row>
    <row r="429" spans="1:16" x14ac:dyDescent="0.3">
      <c r="A429" t="s">
        <v>529</v>
      </c>
      <c r="B429" s="12">
        <v>45967</v>
      </c>
      <c r="C429" t="s">
        <v>82</v>
      </c>
      <c r="D429" t="s">
        <v>39</v>
      </c>
      <c r="E429" t="s">
        <v>40</v>
      </c>
      <c r="F429" t="s">
        <v>16</v>
      </c>
      <c r="G429" t="s">
        <v>41</v>
      </c>
      <c r="H429" t="s">
        <v>42</v>
      </c>
      <c r="I429">
        <v>4</v>
      </c>
      <c r="J429">
        <v>0.05</v>
      </c>
      <c r="K429">
        <v>14781.24</v>
      </c>
      <c r="L429">
        <v>3289.07</v>
      </c>
      <c r="M429">
        <v>2025</v>
      </c>
      <c r="N429" t="s">
        <v>623</v>
      </c>
      <c r="O429" t="s">
        <v>625</v>
      </c>
      <c r="P429">
        <v>0.22251651417607726</v>
      </c>
    </row>
    <row r="430" spans="1:16" x14ac:dyDescent="0.3">
      <c r="A430" t="s">
        <v>530</v>
      </c>
      <c r="B430" s="12">
        <v>45967</v>
      </c>
      <c r="C430" t="s">
        <v>82</v>
      </c>
      <c r="D430" t="s">
        <v>39</v>
      </c>
      <c r="E430" t="s">
        <v>128</v>
      </c>
      <c r="F430" t="s">
        <v>16</v>
      </c>
      <c r="G430" t="s">
        <v>17</v>
      </c>
      <c r="H430" t="s">
        <v>153</v>
      </c>
      <c r="I430">
        <v>6</v>
      </c>
      <c r="J430">
        <v>0.2</v>
      </c>
      <c r="K430">
        <v>17886.12</v>
      </c>
      <c r="L430">
        <v>2471.5700000000002</v>
      </c>
      <c r="M430">
        <v>2025</v>
      </c>
      <c r="N430" t="s">
        <v>623</v>
      </c>
      <c r="O430" t="s">
        <v>625</v>
      </c>
      <c r="P430">
        <v>0.13818368656813218</v>
      </c>
    </row>
    <row r="431" spans="1:16" x14ac:dyDescent="0.3">
      <c r="A431" t="s">
        <v>531</v>
      </c>
      <c r="B431" s="12">
        <v>45967</v>
      </c>
      <c r="C431" t="s">
        <v>138</v>
      </c>
      <c r="D431" t="s">
        <v>39</v>
      </c>
      <c r="E431" t="s">
        <v>40</v>
      </c>
      <c r="F431" t="s">
        <v>28</v>
      </c>
      <c r="G431" t="s">
        <v>92</v>
      </c>
      <c r="H431" t="s">
        <v>93</v>
      </c>
      <c r="I431">
        <v>1</v>
      </c>
      <c r="J431">
        <v>0</v>
      </c>
      <c r="K431">
        <v>1709.07</v>
      </c>
      <c r="L431">
        <v>243.2</v>
      </c>
      <c r="M431">
        <v>2025</v>
      </c>
      <c r="N431" t="s">
        <v>623</v>
      </c>
      <c r="O431" t="s">
        <v>625</v>
      </c>
      <c r="P431">
        <v>0.14229961323994922</v>
      </c>
    </row>
    <row r="432" spans="1:16" x14ac:dyDescent="0.3">
      <c r="A432" t="s">
        <v>532</v>
      </c>
      <c r="B432" s="12">
        <v>45968</v>
      </c>
      <c r="C432" t="s">
        <v>111</v>
      </c>
      <c r="D432" t="s">
        <v>14</v>
      </c>
      <c r="E432" t="s">
        <v>15</v>
      </c>
      <c r="F432" t="s">
        <v>23</v>
      </c>
      <c r="G432" t="s">
        <v>35</v>
      </c>
      <c r="H432" t="s">
        <v>36</v>
      </c>
      <c r="I432">
        <v>3</v>
      </c>
      <c r="J432">
        <v>0.15</v>
      </c>
      <c r="K432">
        <v>118454.34</v>
      </c>
      <c r="L432">
        <v>20402.84</v>
      </c>
      <c r="M432">
        <v>2025</v>
      </c>
      <c r="N432" t="s">
        <v>623</v>
      </c>
      <c r="O432" t="s">
        <v>625</v>
      </c>
      <c r="P432">
        <v>0.17224223274554568</v>
      </c>
    </row>
    <row r="433" spans="1:16" x14ac:dyDescent="0.3">
      <c r="A433" t="s">
        <v>533</v>
      </c>
      <c r="B433" s="12">
        <v>45968</v>
      </c>
      <c r="C433" t="s">
        <v>179</v>
      </c>
      <c r="D433" t="s">
        <v>14</v>
      </c>
      <c r="E433" t="s">
        <v>97</v>
      </c>
      <c r="F433" t="s">
        <v>16</v>
      </c>
      <c r="G433" t="s">
        <v>68</v>
      </c>
      <c r="H433" t="s">
        <v>175</v>
      </c>
      <c r="I433">
        <v>2</v>
      </c>
      <c r="J433">
        <v>0</v>
      </c>
      <c r="K433">
        <v>1299.04</v>
      </c>
      <c r="L433">
        <v>149.83000000000001</v>
      </c>
      <c r="M433">
        <v>2025</v>
      </c>
      <c r="N433" t="s">
        <v>623</v>
      </c>
      <c r="O433" t="s">
        <v>625</v>
      </c>
      <c r="P433">
        <v>0.11533901958369258</v>
      </c>
    </row>
    <row r="434" spans="1:16" x14ac:dyDescent="0.3">
      <c r="A434" t="s">
        <v>534</v>
      </c>
      <c r="B434" s="12">
        <v>45970</v>
      </c>
      <c r="C434" t="s">
        <v>66</v>
      </c>
      <c r="D434" t="s">
        <v>33</v>
      </c>
      <c r="E434" t="s">
        <v>34</v>
      </c>
      <c r="F434" t="s">
        <v>28</v>
      </c>
      <c r="G434" t="s">
        <v>29</v>
      </c>
      <c r="H434" t="s">
        <v>30</v>
      </c>
      <c r="I434">
        <v>5</v>
      </c>
      <c r="J434">
        <v>0.15</v>
      </c>
      <c r="K434">
        <v>5259.7</v>
      </c>
      <c r="L434">
        <v>937.41</v>
      </c>
      <c r="M434">
        <v>2025</v>
      </c>
      <c r="N434" t="s">
        <v>623</v>
      </c>
      <c r="O434" t="s">
        <v>625</v>
      </c>
      <c r="P434">
        <v>0.17822499382094037</v>
      </c>
    </row>
    <row r="435" spans="1:16" x14ac:dyDescent="0.3">
      <c r="A435" t="s">
        <v>535</v>
      </c>
      <c r="B435" s="12">
        <v>45970</v>
      </c>
      <c r="C435" t="s">
        <v>77</v>
      </c>
      <c r="D435" t="s">
        <v>39</v>
      </c>
      <c r="E435" t="s">
        <v>40</v>
      </c>
      <c r="F435" t="s">
        <v>16</v>
      </c>
      <c r="G435" t="s">
        <v>17</v>
      </c>
      <c r="H435" t="s">
        <v>153</v>
      </c>
      <c r="I435">
        <v>2</v>
      </c>
      <c r="J435">
        <v>0.2</v>
      </c>
      <c r="K435">
        <v>19562.64</v>
      </c>
      <c r="L435">
        <v>668.44</v>
      </c>
      <c r="M435">
        <v>2025</v>
      </c>
      <c r="N435" t="s">
        <v>623</v>
      </c>
      <c r="O435" t="s">
        <v>625</v>
      </c>
      <c r="P435">
        <v>3.4169212335349426E-2</v>
      </c>
    </row>
    <row r="436" spans="1:16" x14ac:dyDescent="0.3">
      <c r="A436" t="s">
        <v>536</v>
      </c>
      <c r="B436" s="12">
        <v>45971</v>
      </c>
      <c r="C436" t="s">
        <v>143</v>
      </c>
      <c r="D436" t="s">
        <v>14</v>
      </c>
      <c r="E436" t="s">
        <v>114</v>
      </c>
      <c r="F436" t="s">
        <v>23</v>
      </c>
      <c r="G436" t="s">
        <v>58</v>
      </c>
      <c r="H436" t="s">
        <v>59</v>
      </c>
      <c r="I436">
        <v>3</v>
      </c>
      <c r="J436">
        <v>0.05</v>
      </c>
      <c r="K436">
        <v>90192.960000000006</v>
      </c>
      <c r="L436">
        <v>19206.04</v>
      </c>
      <c r="M436">
        <v>2025</v>
      </c>
      <c r="N436" t="s">
        <v>623</v>
      </c>
      <c r="O436" t="s">
        <v>625</v>
      </c>
      <c r="P436">
        <v>0.21294389273841327</v>
      </c>
    </row>
    <row r="437" spans="1:16" x14ac:dyDescent="0.3">
      <c r="A437" t="s">
        <v>537</v>
      </c>
      <c r="B437" s="12">
        <v>45971</v>
      </c>
      <c r="C437" t="s">
        <v>147</v>
      </c>
      <c r="D437" t="s">
        <v>14</v>
      </c>
      <c r="E437" t="s">
        <v>54</v>
      </c>
      <c r="F437" t="s">
        <v>16</v>
      </c>
      <c r="G437" t="s">
        <v>17</v>
      </c>
      <c r="H437" t="s">
        <v>88</v>
      </c>
      <c r="I437">
        <v>2</v>
      </c>
      <c r="J437">
        <v>0.05</v>
      </c>
      <c r="K437">
        <v>4334.2</v>
      </c>
      <c r="L437">
        <v>411.76</v>
      </c>
      <c r="M437">
        <v>2025</v>
      </c>
      <c r="N437" t="s">
        <v>623</v>
      </c>
      <c r="O437" t="s">
        <v>625</v>
      </c>
      <c r="P437">
        <v>9.5002537953947669E-2</v>
      </c>
    </row>
    <row r="438" spans="1:16" x14ac:dyDescent="0.3">
      <c r="A438" t="s">
        <v>538</v>
      </c>
      <c r="B438" s="12">
        <v>45972</v>
      </c>
      <c r="C438" t="s">
        <v>38</v>
      </c>
      <c r="D438" t="s">
        <v>33</v>
      </c>
      <c r="E438" t="s">
        <v>140</v>
      </c>
      <c r="F438" t="s">
        <v>16</v>
      </c>
      <c r="G438" t="s">
        <v>62</v>
      </c>
      <c r="H438" t="s">
        <v>167</v>
      </c>
      <c r="I438">
        <v>1</v>
      </c>
      <c r="J438">
        <v>0</v>
      </c>
      <c r="K438">
        <v>5144.12</v>
      </c>
      <c r="L438">
        <v>633.58000000000004</v>
      </c>
      <c r="M438">
        <v>2025</v>
      </c>
      <c r="N438" t="s">
        <v>623</v>
      </c>
      <c r="O438" t="s">
        <v>625</v>
      </c>
      <c r="P438">
        <v>0.12316586704820262</v>
      </c>
    </row>
    <row r="439" spans="1:16" x14ac:dyDescent="0.3">
      <c r="A439" t="s">
        <v>539</v>
      </c>
      <c r="B439" s="12">
        <v>45973</v>
      </c>
      <c r="C439" t="s">
        <v>13</v>
      </c>
      <c r="D439" t="s">
        <v>33</v>
      </c>
      <c r="E439" t="s">
        <v>86</v>
      </c>
      <c r="F439" t="s">
        <v>16</v>
      </c>
      <c r="G439" t="s">
        <v>17</v>
      </c>
      <c r="H439" t="s">
        <v>88</v>
      </c>
      <c r="I439">
        <v>7</v>
      </c>
      <c r="J439">
        <v>0.2</v>
      </c>
      <c r="K439">
        <v>3851.26</v>
      </c>
      <c r="L439">
        <v>505.35</v>
      </c>
      <c r="M439">
        <v>2025</v>
      </c>
      <c r="N439" t="s">
        <v>623</v>
      </c>
      <c r="O439" t="s">
        <v>625</v>
      </c>
      <c r="P439">
        <v>0.13121679658085925</v>
      </c>
    </row>
    <row r="440" spans="1:16" x14ac:dyDescent="0.3">
      <c r="A440" t="s">
        <v>540</v>
      </c>
      <c r="B440" s="12">
        <v>45973</v>
      </c>
      <c r="C440" t="s">
        <v>150</v>
      </c>
      <c r="D440" t="s">
        <v>33</v>
      </c>
      <c r="E440" t="s">
        <v>86</v>
      </c>
      <c r="F440" t="s">
        <v>23</v>
      </c>
      <c r="G440" t="s">
        <v>48</v>
      </c>
      <c r="H440" t="s">
        <v>118</v>
      </c>
      <c r="I440">
        <v>6</v>
      </c>
      <c r="J440">
        <v>0</v>
      </c>
      <c r="K440">
        <v>156774.06</v>
      </c>
      <c r="L440">
        <v>30201.84</v>
      </c>
      <c r="M440">
        <v>2025</v>
      </c>
      <c r="N440" t="s">
        <v>623</v>
      </c>
      <c r="O440" t="s">
        <v>625</v>
      </c>
      <c r="P440">
        <v>0.19264564558703143</v>
      </c>
    </row>
    <row r="441" spans="1:16" x14ac:dyDescent="0.3">
      <c r="A441" t="s">
        <v>541</v>
      </c>
      <c r="B441" s="12">
        <v>45974</v>
      </c>
      <c r="C441" t="s">
        <v>179</v>
      </c>
      <c r="D441" t="s">
        <v>21</v>
      </c>
      <c r="E441" t="s">
        <v>57</v>
      </c>
      <c r="F441" t="s">
        <v>23</v>
      </c>
      <c r="G441" t="s">
        <v>35</v>
      </c>
      <c r="H441" t="s">
        <v>155</v>
      </c>
      <c r="I441">
        <v>3</v>
      </c>
      <c r="J441">
        <v>0</v>
      </c>
      <c r="K441">
        <v>86827.83</v>
      </c>
      <c r="L441">
        <v>7589.85</v>
      </c>
      <c r="M441">
        <v>2025</v>
      </c>
      <c r="N441" t="s">
        <v>623</v>
      </c>
      <c r="O441" t="s">
        <v>625</v>
      </c>
      <c r="P441">
        <v>8.7412641776259986E-2</v>
      </c>
    </row>
    <row r="442" spans="1:16" x14ac:dyDescent="0.3">
      <c r="A442" t="s">
        <v>542</v>
      </c>
      <c r="B442" s="12">
        <v>45974</v>
      </c>
      <c r="C442" t="s">
        <v>32</v>
      </c>
      <c r="D442" t="s">
        <v>21</v>
      </c>
      <c r="E442" t="s">
        <v>22</v>
      </c>
      <c r="F442" t="s">
        <v>16</v>
      </c>
      <c r="G442" t="s">
        <v>17</v>
      </c>
      <c r="H442" t="s">
        <v>18</v>
      </c>
      <c r="I442">
        <v>3</v>
      </c>
      <c r="J442">
        <v>0</v>
      </c>
      <c r="K442">
        <v>2589.7199999999998</v>
      </c>
      <c r="L442">
        <v>230.06</v>
      </c>
      <c r="M442">
        <v>2025</v>
      </c>
      <c r="N442" t="s">
        <v>623</v>
      </c>
      <c r="O442" t="s">
        <v>625</v>
      </c>
      <c r="P442">
        <v>8.8835858702871362E-2</v>
      </c>
    </row>
    <row r="443" spans="1:16" x14ac:dyDescent="0.3">
      <c r="A443" t="s">
        <v>543</v>
      </c>
      <c r="B443" s="12">
        <v>45975</v>
      </c>
      <c r="C443" t="s">
        <v>82</v>
      </c>
      <c r="D443" t="s">
        <v>39</v>
      </c>
      <c r="E443" t="s">
        <v>52</v>
      </c>
      <c r="F443" t="s">
        <v>16</v>
      </c>
      <c r="G443" t="s">
        <v>41</v>
      </c>
      <c r="H443" t="s">
        <v>42</v>
      </c>
      <c r="I443">
        <v>7</v>
      </c>
      <c r="J443">
        <v>0.1</v>
      </c>
      <c r="K443">
        <v>71306.27</v>
      </c>
      <c r="L443">
        <v>9566.94</v>
      </c>
      <c r="M443">
        <v>2025</v>
      </c>
      <c r="N443" t="s">
        <v>623</v>
      </c>
      <c r="O443" t="s">
        <v>625</v>
      </c>
      <c r="P443">
        <v>0.13416688322078829</v>
      </c>
    </row>
    <row r="444" spans="1:16" x14ac:dyDescent="0.3">
      <c r="A444" t="s">
        <v>544</v>
      </c>
      <c r="B444" s="12">
        <v>45975</v>
      </c>
      <c r="C444" t="s">
        <v>77</v>
      </c>
      <c r="D444" t="s">
        <v>21</v>
      </c>
      <c r="E444" t="s">
        <v>67</v>
      </c>
      <c r="F444" t="s">
        <v>23</v>
      </c>
      <c r="G444" t="s">
        <v>58</v>
      </c>
      <c r="H444" t="s">
        <v>59</v>
      </c>
      <c r="I444">
        <v>6</v>
      </c>
      <c r="J444">
        <v>0.1</v>
      </c>
      <c r="K444">
        <v>209184.36</v>
      </c>
      <c r="L444">
        <v>42807.83</v>
      </c>
      <c r="M444">
        <v>2025</v>
      </c>
      <c r="N444" t="s">
        <v>623</v>
      </c>
      <c r="O444" t="s">
        <v>625</v>
      </c>
      <c r="P444">
        <v>0.20464163764442048</v>
      </c>
    </row>
    <row r="445" spans="1:16" x14ac:dyDescent="0.3">
      <c r="A445" t="s">
        <v>545</v>
      </c>
      <c r="B445" s="12">
        <v>45975</v>
      </c>
      <c r="C445" t="s">
        <v>27</v>
      </c>
      <c r="D445" t="s">
        <v>39</v>
      </c>
      <c r="E445" t="s">
        <v>47</v>
      </c>
      <c r="F445" t="s">
        <v>16</v>
      </c>
      <c r="G445" t="s">
        <v>68</v>
      </c>
      <c r="H445" t="s">
        <v>69</v>
      </c>
      <c r="I445">
        <v>1</v>
      </c>
      <c r="J445">
        <v>0.15</v>
      </c>
      <c r="K445">
        <v>7289.96</v>
      </c>
      <c r="L445">
        <v>848.02</v>
      </c>
      <c r="M445">
        <v>2025</v>
      </c>
      <c r="N445" t="s">
        <v>623</v>
      </c>
      <c r="O445" t="s">
        <v>625</v>
      </c>
      <c r="P445">
        <v>0.1163271129059693</v>
      </c>
    </row>
    <row r="446" spans="1:16" x14ac:dyDescent="0.3">
      <c r="A446" t="s">
        <v>546</v>
      </c>
      <c r="B446" s="12">
        <v>45976</v>
      </c>
      <c r="C446" t="s">
        <v>38</v>
      </c>
      <c r="D446" t="s">
        <v>14</v>
      </c>
      <c r="E446" t="s">
        <v>54</v>
      </c>
      <c r="F446" t="s">
        <v>23</v>
      </c>
      <c r="G446" t="s">
        <v>35</v>
      </c>
      <c r="H446" t="s">
        <v>155</v>
      </c>
      <c r="I446">
        <v>6</v>
      </c>
      <c r="J446">
        <v>0.05</v>
      </c>
      <c r="K446">
        <v>101013.18</v>
      </c>
      <c r="L446">
        <v>20009.2</v>
      </c>
      <c r="M446">
        <v>2025</v>
      </c>
      <c r="N446" t="s">
        <v>623</v>
      </c>
      <c r="O446" t="s">
        <v>625</v>
      </c>
      <c r="P446">
        <v>0.19808504197175064</v>
      </c>
    </row>
    <row r="447" spans="1:16" x14ac:dyDescent="0.3">
      <c r="A447" t="s">
        <v>547</v>
      </c>
      <c r="B447" s="12">
        <v>45978</v>
      </c>
      <c r="C447" t="s">
        <v>77</v>
      </c>
      <c r="D447" t="s">
        <v>33</v>
      </c>
      <c r="E447" t="s">
        <v>34</v>
      </c>
      <c r="F447" t="s">
        <v>23</v>
      </c>
      <c r="G447" t="s">
        <v>58</v>
      </c>
      <c r="H447" t="s">
        <v>101</v>
      </c>
      <c r="I447">
        <v>7</v>
      </c>
      <c r="J447">
        <v>0.15</v>
      </c>
      <c r="K447">
        <v>321582.09999999998</v>
      </c>
      <c r="L447">
        <v>38299.85</v>
      </c>
      <c r="M447">
        <v>2025</v>
      </c>
      <c r="N447" t="s">
        <v>623</v>
      </c>
      <c r="O447" t="s">
        <v>625</v>
      </c>
      <c r="P447">
        <v>0.11909820229421973</v>
      </c>
    </row>
    <row r="448" spans="1:16" x14ac:dyDescent="0.3">
      <c r="A448" t="s">
        <v>548</v>
      </c>
      <c r="B448" s="12">
        <v>45979</v>
      </c>
      <c r="C448" t="s">
        <v>44</v>
      </c>
      <c r="D448" t="s">
        <v>14</v>
      </c>
      <c r="E448" t="s">
        <v>97</v>
      </c>
      <c r="F448" t="s">
        <v>28</v>
      </c>
      <c r="G448" t="s">
        <v>71</v>
      </c>
      <c r="H448" t="s">
        <v>121</v>
      </c>
      <c r="I448">
        <v>4</v>
      </c>
      <c r="J448">
        <v>0</v>
      </c>
      <c r="K448">
        <v>18380.96</v>
      </c>
      <c r="L448">
        <v>3003.95</v>
      </c>
      <c r="M448">
        <v>2025</v>
      </c>
      <c r="N448" t="s">
        <v>623</v>
      </c>
      <c r="O448" t="s">
        <v>625</v>
      </c>
      <c r="P448">
        <v>0.16342726386434658</v>
      </c>
    </row>
    <row r="449" spans="1:16" x14ac:dyDescent="0.3">
      <c r="A449" t="s">
        <v>549</v>
      </c>
      <c r="B449" s="12">
        <v>45980</v>
      </c>
      <c r="C449" t="s">
        <v>61</v>
      </c>
      <c r="D449" t="s">
        <v>33</v>
      </c>
      <c r="E449" t="s">
        <v>86</v>
      </c>
      <c r="F449" t="s">
        <v>23</v>
      </c>
      <c r="G449" t="s">
        <v>35</v>
      </c>
      <c r="H449" t="s">
        <v>36</v>
      </c>
      <c r="I449">
        <v>3</v>
      </c>
      <c r="J449">
        <v>0.15</v>
      </c>
      <c r="K449">
        <v>107616.06</v>
      </c>
      <c r="L449">
        <v>8893.26</v>
      </c>
      <c r="M449">
        <v>2025</v>
      </c>
      <c r="N449" t="s">
        <v>623</v>
      </c>
      <c r="O449" t="s">
        <v>625</v>
      </c>
      <c r="P449">
        <v>8.2638780865978562E-2</v>
      </c>
    </row>
    <row r="450" spans="1:16" x14ac:dyDescent="0.3">
      <c r="A450" t="s">
        <v>550</v>
      </c>
      <c r="B450" s="12">
        <v>45980</v>
      </c>
      <c r="C450" t="s">
        <v>44</v>
      </c>
      <c r="D450" t="s">
        <v>33</v>
      </c>
      <c r="E450" t="s">
        <v>34</v>
      </c>
      <c r="F450" t="s">
        <v>23</v>
      </c>
      <c r="G450" t="s">
        <v>58</v>
      </c>
      <c r="H450" t="s">
        <v>90</v>
      </c>
      <c r="I450">
        <v>4</v>
      </c>
      <c r="J450">
        <v>0.1</v>
      </c>
      <c r="K450">
        <v>151639.35999999999</v>
      </c>
      <c r="L450">
        <v>8311.2800000000007</v>
      </c>
      <c r="M450">
        <v>2025</v>
      </c>
      <c r="N450" t="s">
        <v>623</v>
      </c>
      <c r="O450" t="s">
        <v>625</v>
      </c>
      <c r="P450">
        <v>5.4809516473823164E-2</v>
      </c>
    </row>
    <row r="451" spans="1:16" x14ac:dyDescent="0.3">
      <c r="A451" t="s">
        <v>551</v>
      </c>
      <c r="B451" s="12">
        <v>45981</v>
      </c>
      <c r="C451" t="s">
        <v>32</v>
      </c>
      <c r="D451" t="s">
        <v>14</v>
      </c>
      <c r="E451" t="s">
        <v>97</v>
      </c>
      <c r="F451" t="s">
        <v>28</v>
      </c>
      <c r="G451" t="s">
        <v>92</v>
      </c>
      <c r="H451" t="s">
        <v>204</v>
      </c>
      <c r="I451">
        <v>1</v>
      </c>
      <c r="J451">
        <v>0</v>
      </c>
      <c r="K451">
        <v>416.97</v>
      </c>
      <c r="L451">
        <v>35.14</v>
      </c>
      <c r="M451">
        <v>2025</v>
      </c>
      <c r="N451" t="s">
        <v>623</v>
      </c>
      <c r="O451" t="s">
        <v>626</v>
      </c>
      <c r="P451">
        <v>8.4274648056215068E-2</v>
      </c>
    </row>
    <row r="452" spans="1:16" x14ac:dyDescent="0.3">
      <c r="A452" t="s">
        <v>552</v>
      </c>
      <c r="B452" s="12">
        <v>45982</v>
      </c>
      <c r="C452" t="s">
        <v>77</v>
      </c>
      <c r="D452" t="s">
        <v>14</v>
      </c>
      <c r="E452" t="s">
        <v>54</v>
      </c>
      <c r="F452" t="s">
        <v>23</v>
      </c>
      <c r="G452" t="s">
        <v>58</v>
      </c>
      <c r="H452" t="s">
        <v>90</v>
      </c>
      <c r="I452">
        <v>3</v>
      </c>
      <c r="J452">
        <v>0</v>
      </c>
      <c r="K452">
        <v>32557.11</v>
      </c>
      <c r="L452">
        <v>7870.52</v>
      </c>
      <c r="M452">
        <v>2025</v>
      </c>
      <c r="N452" t="s">
        <v>623</v>
      </c>
      <c r="O452" t="s">
        <v>625</v>
      </c>
      <c r="P452">
        <v>0.2417450443236516</v>
      </c>
    </row>
    <row r="453" spans="1:16" x14ac:dyDescent="0.3">
      <c r="A453" t="s">
        <v>553</v>
      </c>
      <c r="B453" s="12">
        <v>45983</v>
      </c>
      <c r="C453" t="s">
        <v>82</v>
      </c>
      <c r="D453" t="s">
        <v>39</v>
      </c>
      <c r="E453" t="s">
        <v>40</v>
      </c>
      <c r="F453" t="s">
        <v>28</v>
      </c>
      <c r="G453" t="s">
        <v>71</v>
      </c>
      <c r="H453" t="s">
        <v>72</v>
      </c>
      <c r="I453">
        <v>4</v>
      </c>
      <c r="J453">
        <v>0.15</v>
      </c>
      <c r="K453">
        <v>15563.8</v>
      </c>
      <c r="L453">
        <v>1402.59</v>
      </c>
      <c r="M453">
        <v>2025</v>
      </c>
      <c r="N453" t="s">
        <v>623</v>
      </c>
      <c r="O453" t="s">
        <v>625</v>
      </c>
      <c r="P453">
        <v>9.0118737069353236E-2</v>
      </c>
    </row>
    <row r="454" spans="1:16" x14ac:dyDescent="0.3">
      <c r="A454" t="s">
        <v>554</v>
      </c>
      <c r="B454" s="12">
        <v>45984</v>
      </c>
      <c r="C454" t="s">
        <v>13</v>
      </c>
      <c r="D454" t="s">
        <v>33</v>
      </c>
      <c r="E454" t="s">
        <v>140</v>
      </c>
      <c r="F454" t="s">
        <v>28</v>
      </c>
      <c r="G454" t="s">
        <v>92</v>
      </c>
      <c r="H454" t="s">
        <v>204</v>
      </c>
      <c r="I454">
        <v>5</v>
      </c>
      <c r="J454">
        <v>0.15</v>
      </c>
      <c r="K454">
        <v>18957.75</v>
      </c>
      <c r="L454">
        <v>790.45</v>
      </c>
      <c r="M454">
        <v>2025</v>
      </c>
      <c r="N454" t="s">
        <v>623</v>
      </c>
      <c r="O454" t="s">
        <v>625</v>
      </c>
      <c r="P454">
        <v>4.1695348867877256E-2</v>
      </c>
    </row>
    <row r="455" spans="1:16" x14ac:dyDescent="0.3">
      <c r="A455" t="s">
        <v>555</v>
      </c>
      <c r="B455" s="12">
        <v>45985</v>
      </c>
      <c r="C455" t="s">
        <v>138</v>
      </c>
      <c r="D455" t="s">
        <v>21</v>
      </c>
      <c r="E455" t="s">
        <v>67</v>
      </c>
      <c r="F455" t="s">
        <v>28</v>
      </c>
      <c r="G455" t="s">
        <v>92</v>
      </c>
      <c r="H455" t="s">
        <v>204</v>
      </c>
      <c r="I455">
        <v>6</v>
      </c>
      <c r="J455">
        <v>0.1</v>
      </c>
      <c r="K455">
        <v>18971.28</v>
      </c>
      <c r="L455">
        <v>3597.25</v>
      </c>
      <c r="M455">
        <v>2025</v>
      </c>
      <c r="N455" t="s">
        <v>623</v>
      </c>
      <c r="O455" t="s">
        <v>625</v>
      </c>
      <c r="P455">
        <v>0.18961556626648282</v>
      </c>
    </row>
    <row r="456" spans="1:16" x14ac:dyDescent="0.3">
      <c r="A456" t="s">
        <v>556</v>
      </c>
      <c r="B456" s="12">
        <v>45985</v>
      </c>
      <c r="C456" t="s">
        <v>143</v>
      </c>
      <c r="D456" t="s">
        <v>39</v>
      </c>
      <c r="E456" t="s">
        <v>40</v>
      </c>
      <c r="F456" t="s">
        <v>23</v>
      </c>
      <c r="G456" t="s">
        <v>35</v>
      </c>
      <c r="H456" t="s">
        <v>36</v>
      </c>
      <c r="I456">
        <v>1</v>
      </c>
      <c r="J456">
        <v>0.2</v>
      </c>
      <c r="K456">
        <v>1773.95</v>
      </c>
      <c r="L456">
        <v>110.25</v>
      </c>
      <c r="M456">
        <v>2025</v>
      </c>
      <c r="N456" t="s">
        <v>623</v>
      </c>
      <c r="O456" t="s">
        <v>625</v>
      </c>
      <c r="P456">
        <v>6.2149440514106938E-2</v>
      </c>
    </row>
    <row r="457" spans="1:16" x14ac:dyDescent="0.3">
      <c r="A457" t="s">
        <v>557</v>
      </c>
      <c r="B457" s="12">
        <v>45985</v>
      </c>
      <c r="C457" t="s">
        <v>104</v>
      </c>
      <c r="D457" t="s">
        <v>39</v>
      </c>
      <c r="E457" t="s">
        <v>128</v>
      </c>
      <c r="F457" t="s">
        <v>23</v>
      </c>
      <c r="G457" t="s">
        <v>58</v>
      </c>
      <c r="H457" t="s">
        <v>59</v>
      </c>
      <c r="I457">
        <v>2</v>
      </c>
      <c r="J457">
        <v>0.2</v>
      </c>
      <c r="K457">
        <v>54008.08</v>
      </c>
      <c r="L457">
        <v>2561.67</v>
      </c>
      <c r="M457">
        <v>2025</v>
      </c>
      <c r="N457" t="s">
        <v>623</v>
      </c>
      <c r="O457" t="s">
        <v>625</v>
      </c>
      <c r="P457">
        <v>4.7431236215025603E-2</v>
      </c>
    </row>
    <row r="458" spans="1:16" x14ac:dyDescent="0.3">
      <c r="A458" t="s">
        <v>558</v>
      </c>
      <c r="B458" s="12">
        <v>45986</v>
      </c>
      <c r="C458" t="s">
        <v>66</v>
      </c>
      <c r="D458" t="s">
        <v>21</v>
      </c>
      <c r="E458" t="s">
        <v>57</v>
      </c>
      <c r="F458" t="s">
        <v>16</v>
      </c>
      <c r="G458" t="s">
        <v>41</v>
      </c>
      <c r="H458" t="s">
        <v>177</v>
      </c>
      <c r="I458">
        <v>6</v>
      </c>
      <c r="J458">
        <v>0.1</v>
      </c>
      <c r="K458">
        <v>62348.76</v>
      </c>
      <c r="L458">
        <v>12106.16</v>
      </c>
      <c r="M458">
        <v>2025</v>
      </c>
      <c r="N458" t="s">
        <v>623</v>
      </c>
      <c r="O458" t="s">
        <v>625</v>
      </c>
      <c r="P458">
        <v>0.19416841650098574</v>
      </c>
    </row>
    <row r="459" spans="1:16" x14ac:dyDescent="0.3">
      <c r="A459" t="s">
        <v>559</v>
      </c>
      <c r="B459" s="12">
        <v>45987</v>
      </c>
      <c r="C459" t="s">
        <v>56</v>
      </c>
      <c r="D459" t="s">
        <v>39</v>
      </c>
      <c r="E459" t="s">
        <v>47</v>
      </c>
      <c r="F459" t="s">
        <v>23</v>
      </c>
      <c r="G459" t="s">
        <v>58</v>
      </c>
      <c r="H459" t="s">
        <v>101</v>
      </c>
      <c r="I459">
        <v>7</v>
      </c>
      <c r="J459">
        <v>0.2</v>
      </c>
      <c r="K459">
        <v>265138.02</v>
      </c>
      <c r="L459">
        <v>25193.19</v>
      </c>
      <c r="M459">
        <v>2025</v>
      </c>
      <c r="N459" t="s">
        <v>623</v>
      </c>
      <c r="O459" t="s">
        <v>625</v>
      </c>
      <c r="P459">
        <v>9.5019152666222656E-2</v>
      </c>
    </row>
    <row r="460" spans="1:16" x14ac:dyDescent="0.3">
      <c r="A460" t="s">
        <v>560</v>
      </c>
      <c r="B460" s="12">
        <v>45989</v>
      </c>
      <c r="C460" t="s">
        <v>100</v>
      </c>
      <c r="D460" t="s">
        <v>14</v>
      </c>
      <c r="E460" t="s">
        <v>54</v>
      </c>
      <c r="F460" t="s">
        <v>28</v>
      </c>
      <c r="G460" t="s">
        <v>29</v>
      </c>
      <c r="H460" t="s">
        <v>98</v>
      </c>
      <c r="I460">
        <v>5</v>
      </c>
      <c r="J460">
        <v>0.1</v>
      </c>
      <c r="K460">
        <v>11206.4</v>
      </c>
      <c r="L460">
        <v>839.77</v>
      </c>
      <c r="M460">
        <v>2025</v>
      </c>
      <c r="N460" t="s">
        <v>623</v>
      </c>
      <c r="O460" t="s">
        <v>625</v>
      </c>
      <c r="P460">
        <v>7.4936643346659046E-2</v>
      </c>
    </row>
    <row r="461" spans="1:16" x14ac:dyDescent="0.3">
      <c r="A461" t="s">
        <v>561</v>
      </c>
      <c r="B461" s="12">
        <v>45990</v>
      </c>
      <c r="C461" t="s">
        <v>100</v>
      </c>
      <c r="D461" t="s">
        <v>21</v>
      </c>
      <c r="E461" t="s">
        <v>57</v>
      </c>
      <c r="F461" t="s">
        <v>23</v>
      </c>
      <c r="G461" t="s">
        <v>58</v>
      </c>
      <c r="H461" t="s">
        <v>78</v>
      </c>
      <c r="I461">
        <v>3</v>
      </c>
      <c r="J461">
        <v>0.05</v>
      </c>
      <c r="K461">
        <v>10049.16</v>
      </c>
      <c r="L461">
        <v>1404.12</v>
      </c>
      <c r="M461">
        <v>2025</v>
      </c>
      <c r="N461" t="s">
        <v>623</v>
      </c>
      <c r="O461" t="s">
        <v>625</v>
      </c>
      <c r="P461">
        <v>0.13972511135259066</v>
      </c>
    </row>
    <row r="462" spans="1:16" x14ac:dyDescent="0.3">
      <c r="A462" t="s">
        <v>562</v>
      </c>
      <c r="B462" s="12">
        <v>45994</v>
      </c>
      <c r="C462" t="s">
        <v>85</v>
      </c>
      <c r="D462" t="s">
        <v>39</v>
      </c>
      <c r="E462" t="s">
        <v>52</v>
      </c>
      <c r="F462" t="s">
        <v>16</v>
      </c>
      <c r="G462" t="s">
        <v>62</v>
      </c>
      <c r="H462" t="s">
        <v>167</v>
      </c>
      <c r="I462">
        <v>3</v>
      </c>
      <c r="J462">
        <v>0.05</v>
      </c>
      <c r="K462">
        <v>13031.4</v>
      </c>
      <c r="L462">
        <v>1865.06</v>
      </c>
      <c r="M462">
        <v>2025</v>
      </c>
      <c r="N462" t="s">
        <v>624</v>
      </c>
      <c r="O462" t="s">
        <v>625</v>
      </c>
      <c r="P462">
        <v>0.14312046288196204</v>
      </c>
    </row>
    <row r="463" spans="1:16" x14ac:dyDescent="0.3">
      <c r="A463" t="s">
        <v>563</v>
      </c>
      <c r="B463" s="12">
        <v>45994</v>
      </c>
      <c r="C463" t="s">
        <v>66</v>
      </c>
      <c r="D463" t="s">
        <v>14</v>
      </c>
      <c r="E463" t="s">
        <v>15</v>
      </c>
      <c r="F463" t="s">
        <v>16</v>
      </c>
      <c r="G463" t="s">
        <v>62</v>
      </c>
      <c r="H463" t="s">
        <v>63</v>
      </c>
      <c r="I463">
        <v>1</v>
      </c>
      <c r="J463">
        <v>0.1</v>
      </c>
      <c r="K463">
        <v>1471.95</v>
      </c>
      <c r="L463">
        <v>112.41</v>
      </c>
      <c r="M463">
        <v>2025</v>
      </c>
      <c r="N463" t="s">
        <v>624</v>
      </c>
      <c r="O463" t="s">
        <v>625</v>
      </c>
      <c r="P463">
        <v>7.6368083154998462E-2</v>
      </c>
    </row>
    <row r="464" spans="1:16" x14ac:dyDescent="0.3">
      <c r="A464" t="s">
        <v>564</v>
      </c>
      <c r="B464" s="12">
        <v>45994</v>
      </c>
      <c r="C464" t="s">
        <v>77</v>
      </c>
      <c r="D464" t="s">
        <v>21</v>
      </c>
      <c r="E464" t="s">
        <v>22</v>
      </c>
      <c r="F464" t="s">
        <v>23</v>
      </c>
      <c r="G464" t="s">
        <v>24</v>
      </c>
      <c r="H464" t="s">
        <v>132</v>
      </c>
      <c r="I464">
        <v>4</v>
      </c>
      <c r="J464">
        <v>0.2</v>
      </c>
      <c r="K464">
        <v>135263.67999999999</v>
      </c>
      <c r="L464">
        <v>23130.82</v>
      </c>
      <c r="M464">
        <v>2025</v>
      </c>
      <c r="N464" t="s">
        <v>624</v>
      </c>
      <c r="O464" t="s">
        <v>625</v>
      </c>
      <c r="P464">
        <v>0.17100540218926472</v>
      </c>
    </row>
    <row r="465" spans="1:16" x14ac:dyDescent="0.3">
      <c r="A465" t="s">
        <v>565</v>
      </c>
      <c r="B465" s="12">
        <v>45995</v>
      </c>
      <c r="C465" t="s">
        <v>95</v>
      </c>
      <c r="D465" t="s">
        <v>14</v>
      </c>
      <c r="E465" t="s">
        <v>15</v>
      </c>
      <c r="F465" t="s">
        <v>28</v>
      </c>
      <c r="G465" t="s">
        <v>92</v>
      </c>
      <c r="H465" t="s">
        <v>204</v>
      </c>
      <c r="I465">
        <v>6</v>
      </c>
      <c r="J465">
        <v>0.2</v>
      </c>
      <c r="K465">
        <v>13783.68</v>
      </c>
      <c r="L465">
        <v>663.35</v>
      </c>
      <c r="M465">
        <v>2025</v>
      </c>
      <c r="N465" t="s">
        <v>624</v>
      </c>
      <c r="O465" t="s">
        <v>625</v>
      </c>
      <c r="P465">
        <v>4.8125754515484981E-2</v>
      </c>
    </row>
    <row r="466" spans="1:16" x14ac:dyDescent="0.3">
      <c r="A466" t="s">
        <v>566</v>
      </c>
      <c r="B466" s="12">
        <v>45995</v>
      </c>
      <c r="C466" t="s">
        <v>56</v>
      </c>
      <c r="D466" t="s">
        <v>39</v>
      </c>
      <c r="E466" t="s">
        <v>52</v>
      </c>
      <c r="F466" t="s">
        <v>28</v>
      </c>
      <c r="G466" t="s">
        <v>74</v>
      </c>
      <c r="H466" t="s">
        <v>159</v>
      </c>
      <c r="I466">
        <v>1</v>
      </c>
      <c r="J466">
        <v>0</v>
      </c>
      <c r="K466">
        <v>3410.88</v>
      </c>
      <c r="L466">
        <v>338.67</v>
      </c>
      <c r="M466">
        <v>2025</v>
      </c>
      <c r="N466" t="s">
        <v>624</v>
      </c>
      <c r="O466" t="s">
        <v>625</v>
      </c>
      <c r="P466">
        <v>9.929109203490008E-2</v>
      </c>
    </row>
    <row r="467" spans="1:16" x14ac:dyDescent="0.3">
      <c r="A467" t="s">
        <v>567</v>
      </c>
      <c r="B467" s="12">
        <v>45996</v>
      </c>
      <c r="C467" t="s">
        <v>20</v>
      </c>
      <c r="D467" t="s">
        <v>39</v>
      </c>
      <c r="E467" t="s">
        <v>128</v>
      </c>
      <c r="F467" t="s">
        <v>28</v>
      </c>
      <c r="G467" t="s">
        <v>29</v>
      </c>
      <c r="H467" t="s">
        <v>30</v>
      </c>
      <c r="I467">
        <v>2</v>
      </c>
      <c r="J467">
        <v>0.1</v>
      </c>
      <c r="K467">
        <v>4164.78</v>
      </c>
      <c r="L467">
        <v>196.88</v>
      </c>
      <c r="M467">
        <v>2025</v>
      </c>
      <c r="N467" t="s">
        <v>624</v>
      </c>
      <c r="O467" t="s">
        <v>625</v>
      </c>
      <c r="P467">
        <v>4.7272605035560106E-2</v>
      </c>
    </row>
    <row r="468" spans="1:16" x14ac:dyDescent="0.3">
      <c r="A468" t="s">
        <v>568</v>
      </c>
      <c r="B468" s="12">
        <v>45997</v>
      </c>
      <c r="C468" t="s">
        <v>100</v>
      </c>
      <c r="D468" t="s">
        <v>33</v>
      </c>
      <c r="E468" t="s">
        <v>86</v>
      </c>
      <c r="F468" t="s">
        <v>23</v>
      </c>
      <c r="G468" t="s">
        <v>35</v>
      </c>
      <c r="H468" t="s">
        <v>36</v>
      </c>
      <c r="I468">
        <v>2</v>
      </c>
      <c r="J468">
        <v>0</v>
      </c>
      <c r="K468">
        <v>13613.46</v>
      </c>
      <c r="L468">
        <v>1825.03</v>
      </c>
      <c r="M468">
        <v>2025</v>
      </c>
      <c r="N468" t="s">
        <v>624</v>
      </c>
      <c r="O468" t="s">
        <v>625</v>
      </c>
      <c r="P468">
        <v>0.13406070168788831</v>
      </c>
    </row>
    <row r="469" spans="1:16" x14ac:dyDescent="0.3">
      <c r="A469" t="s">
        <v>569</v>
      </c>
      <c r="B469" s="12">
        <v>45997</v>
      </c>
      <c r="C469" t="s">
        <v>82</v>
      </c>
      <c r="D469" t="s">
        <v>21</v>
      </c>
      <c r="E469" t="s">
        <v>67</v>
      </c>
      <c r="F469" t="s">
        <v>28</v>
      </c>
      <c r="G469" t="s">
        <v>92</v>
      </c>
      <c r="H469" t="s">
        <v>93</v>
      </c>
      <c r="I469">
        <v>5</v>
      </c>
      <c r="J469">
        <v>0.2</v>
      </c>
      <c r="K469">
        <v>24510.799999999999</v>
      </c>
      <c r="L469">
        <v>1692.72</v>
      </c>
      <c r="M469">
        <v>2025</v>
      </c>
      <c r="N469" t="s">
        <v>624</v>
      </c>
      <c r="O469" t="s">
        <v>625</v>
      </c>
      <c r="P469">
        <v>6.9060169394715806E-2</v>
      </c>
    </row>
    <row r="470" spans="1:16" x14ac:dyDescent="0.3">
      <c r="A470" t="s">
        <v>570</v>
      </c>
      <c r="B470" s="12">
        <v>45998</v>
      </c>
      <c r="C470" t="s">
        <v>13</v>
      </c>
      <c r="D470" t="s">
        <v>39</v>
      </c>
      <c r="E470" t="s">
        <v>128</v>
      </c>
      <c r="F470" t="s">
        <v>23</v>
      </c>
      <c r="G470" t="s">
        <v>35</v>
      </c>
      <c r="H470" t="s">
        <v>155</v>
      </c>
      <c r="I470">
        <v>4</v>
      </c>
      <c r="J470">
        <v>0.15</v>
      </c>
      <c r="K470">
        <v>172707.72</v>
      </c>
      <c r="L470">
        <v>17503.68</v>
      </c>
      <c r="M470">
        <v>2025</v>
      </c>
      <c r="N470" t="s">
        <v>624</v>
      </c>
      <c r="O470" t="s">
        <v>625</v>
      </c>
      <c r="P470">
        <v>0.10134856739467119</v>
      </c>
    </row>
    <row r="471" spans="1:16" x14ac:dyDescent="0.3">
      <c r="A471" t="s">
        <v>571</v>
      </c>
      <c r="B471" s="12">
        <v>45998</v>
      </c>
      <c r="C471" t="s">
        <v>95</v>
      </c>
      <c r="D471" t="s">
        <v>33</v>
      </c>
      <c r="E471" t="s">
        <v>45</v>
      </c>
      <c r="F471" t="s">
        <v>16</v>
      </c>
      <c r="G471" t="s">
        <v>68</v>
      </c>
      <c r="H471" t="s">
        <v>69</v>
      </c>
      <c r="I471">
        <v>3</v>
      </c>
      <c r="J471">
        <v>0</v>
      </c>
      <c r="K471">
        <v>9747.42</v>
      </c>
      <c r="L471">
        <v>1286.07</v>
      </c>
      <c r="M471">
        <v>2025</v>
      </c>
      <c r="N471" t="s">
        <v>624</v>
      </c>
      <c r="O471" t="s">
        <v>625</v>
      </c>
      <c r="P471">
        <v>0.13193952861372546</v>
      </c>
    </row>
    <row r="472" spans="1:16" x14ac:dyDescent="0.3">
      <c r="A472" t="s">
        <v>572</v>
      </c>
      <c r="B472" s="12">
        <v>45998</v>
      </c>
      <c r="C472" t="s">
        <v>147</v>
      </c>
      <c r="D472" t="s">
        <v>39</v>
      </c>
      <c r="E472" t="s">
        <v>52</v>
      </c>
      <c r="F472" t="s">
        <v>16</v>
      </c>
      <c r="G472" t="s">
        <v>68</v>
      </c>
      <c r="H472" t="s">
        <v>175</v>
      </c>
      <c r="I472">
        <v>1</v>
      </c>
      <c r="J472">
        <v>0.05</v>
      </c>
      <c r="K472">
        <v>3012.86</v>
      </c>
      <c r="L472">
        <v>338.62</v>
      </c>
      <c r="M472">
        <v>2025</v>
      </c>
      <c r="N472" t="s">
        <v>624</v>
      </c>
      <c r="O472" t="s">
        <v>625</v>
      </c>
      <c r="P472">
        <v>0.11239154822992106</v>
      </c>
    </row>
    <row r="473" spans="1:16" x14ac:dyDescent="0.3">
      <c r="A473" t="s">
        <v>573</v>
      </c>
      <c r="B473" s="12">
        <v>45999</v>
      </c>
      <c r="C473" t="s">
        <v>20</v>
      </c>
      <c r="D473" t="s">
        <v>39</v>
      </c>
      <c r="E473" t="s">
        <v>52</v>
      </c>
      <c r="F473" t="s">
        <v>23</v>
      </c>
      <c r="G473" t="s">
        <v>35</v>
      </c>
      <c r="H473" t="s">
        <v>155</v>
      </c>
      <c r="I473">
        <v>1</v>
      </c>
      <c r="J473">
        <v>0.2</v>
      </c>
      <c r="K473">
        <v>8428.0499999999993</v>
      </c>
      <c r="L473">
        <v>1286.28</v>
      </c>
      <c r="M473">
        <v>2025</v>
      </c>
      <c r="N473" t="s">
        <v>624</v>
      </c>
      <c r="O473" t="s">
        <v>625</v>
      </c>
      <c r="P473">
        <v>0.15261893320518982</v>
      </c>
    </row>
    <row r="474" spans="1:16" x14ac:dyDescent="0.3">
      <c r="A474" t="s">
        <v>574</v>
      </c>
      <c r="B474" s="12">
        <v>46000</v>
      </c>
      <c r="C474" t="s">
        <v>20</v>
      </c>
      <c r="D474" t="s">
        <v>33</v>
      </c>
      <c r="E474" t="s">
        <v>86</v>
      </c>
      <c r="F474" t="s">
        <v>16</v>
      </c>
      <c r="G474" t="s">
        <v>17</v>
      </c>
      <c r="H474" t="s">
        <v>18</v>
      </c>
      <c r="I474">
        <v>3</v>
      </c>
      <c r="J474">
        <v>0.2</v>
      </c>
      <c r="K474">
        <v>11930.49</v>
      </c>
      <c r="L474">
        <v>514.04</v>
      </c>
      <c r="M474">
        <v>2025</v>
      </c>
      <c r="N474" t="s">
        <v>624</v>
      </c>
      <c r="O474" t="s">
        <v>625</v>
      </c>
      <c r="P474">
        <v>4.3086243733492922E-2</v>
      </c>
    </row>
    <row r="475" spans="1:16" x14ac:dyDescent="0.3">
      <c r="A475" t="s">
        <v>575</v>
      </c>
      <c r="B475" s="12">
        <v>46000</v>
      </c>
      <c r="C475" t="s">
        <v>229</v>
      </c>
      <c r="D475" t="s">
        <v>21</v>
      </c>
      <c r="E475" t="s">
        <v>105</v>
      </c>
      <c r="F475" t="s">
        <v>23</v>
      </c>
      <c r="G475" t="s">
        <v>58</v>
      </c>
      <c r="H475" t="s">
        <v>90</v>
      </c>
      <c r="I475">
        <v>6</v>
      </c>
      <c r="J475">
        <v>0</v>
      </c>
      <c r="K475">
        <v>100827.12</v>
      </c>
      <c r="L475">
        <v>12399.55</v>
      </c>
      <c r="M475">
        <v>2025</v>
      </c>
      <c r="N475" t="s">
        <v>624</v>
      </c>
      <c r="O475" t="s">
        <v>625</v>
      </c>
      <c r="P475">
        <v>0.12297832170550939</v>
      </c>
    </row>
    <row r="476" spans="1:16" x14ac:dyDescent="0.3">
      <c r="A476" t="s">
        <v>576</v>
      </c>
      <c r="B476" s="12">
        <v>46001</v>
      </c>
      <c r="C476" t="s">
        <v>85</v>
      </c>
      <c r="D476" t="s">
        <v>21</v>
      </c>
      <c r="E476" t="s">
        <v>67</v>
      </c>
      <c r="F476" t="s">
        <v>16</v>
      </c>
      <c r="G476" t="s">
        <v>17</v>
      </c>
      <c r="H476" t="s">
        <v>18</v>
      </c>
      <c r="I476">
        <v>3</v>
      </c>
      <c r="J476">
        <v>0.15</v>
      </c>
      <c r="K476">
        <v>5146.4399999999996</v>
      </c>
      <c r="L476">
        <v>589.66999999999996</v>
      </c>
      <c r="M476">
        <v>2025</v>
      </c>
      <c r="N476" t="s">
        <v>624</v>
      </c>
      <c r="O476" t="s">
        <v>625</v>
      </c>
      <c r="P476">
        <v>0.11457823272009389</v>
      </c>
    </row>
    <row r="477" spans="1:16" x14ac:dyDescent="0.3">
      <c r="A477" t="s">
        <v>577</v>
      </c>
      <c r="B477" s="12">
        <v>46001</v>
      </c>
      <c r="C477" t="s">
        <v>143</v>
      </c>
      <c r="D477" t="s">
        <v>39</v>
      </c>
      <c r="E477" t="s">
        <v>47</v>
      </c>
      <c r="F477" t="s">
        <v>16</v>
      </c>
      <c r="G477" t="s">
        <v>41</v>
      </c>
      <c r="H477" t="s">
        <v>177</v>
      </c>
      <c r="I477">
        <v>4</v>
      </c>
      <c r="J477">
        <v>0.1</v>
      </c>
      <c r="K477">
        <v>15500.44</v>
      </c>
      <c r="L477">
        <v>1221.48</v>
      </c>
      <c r="M477">
        <v>2025</v>
      </c>
      <c r="N477" t="s">
        <v>624</v>
      </c>
      <c r="O477" t="s">
        <v>625</v>
      </c>
      <c r="P477">
        <v>7.8802924304084268E-2</v>
      </c>
    </row>
    <row r="478" spans="1:16" x14ac:dyDescent="0.3">
      <c r="A478" t="s">
        <v>578</v>
      </c>
      <c r="B478" s="12">
        <v>46002</v>
      </c>
      <c r="C478" t="s">
        <v>147</v>
      </c>
      <c r="D478" t="s">
        <v>39</v>
      </c>
      <c r="E478" t="s">
        <v>52</v>
      </c>
      <c r="F478" t="s">
        <v>28</v>
      </c>
      <c r="G478" t="s">
        <v>71</v>
      </c>
      <c r="H478" t="s">
        <v>72</v>
      </c>
      <c r="I478">
        <v>2</v>
      </c>
      <c r="J478">
        <v>0.1</v>
      </c>
      <c r="K478">
        <v>1237.18</v>
      </c>
      <c r="L478">
        <v>213.98</v>
      </c>
      <c r="M478">
        <v>2025</v>
      </c>
      <c r="N478" t="s">
        <v>624</v>
      </c>
      <c r="O478" t="s">
        <v>625</v>
      </c>
      <c r="P478">
        <v>0.17295785576876443</v>
      </c>
    </row>
    <row r="479" spans="1:16" x14ac:dyDescent="0.3">
      <c r="A479" t="s">
        <v>579</v>
      </c>
      <c r="B479" s="12">
        <v>46003</v>
      </c>
      <c r="C479" t="s">
        <v>20</v>
      </c>
      <c r="D479" t="s">
        <v>33</v>
      </c>
      <c r="E479" t="s">
        <v>34</v>
      </c>
      <c r="F479" t="s">
        <v>23</v>
      </c>
      <c r="G479" t="s">
        <v>58</v>
      </c>
      <c r="H479" t="s">
        <v>59</v>
      </c>
      <c r="I479">
        <v>7</v>
      </c>
      <c r="J479">
        <v>0.2</v>
      </c>
      <c r="K479">
        <v>155225.21</v>
      </c>
      <c r="L479">
        <v>1851.86</v>
      </c>
      <c r="M479">
        <v>2025</v>
      </c>
      <c r="N479" t="s">
        <v>624</v>
      </c>
      <c r="O479" t="s">
        <v>625</v>
      </c>
      <c r="P479">
        <v>1.1930149748227108E-2</v>
      </c>
    </row>
    <row r="480" spans="1:16" x14ac:dyDescent="0.3">
      <c r="A480" t="s">
        <v>580</v>
      </c>
      <c r="B480" s="12">
        <v>46004</v>
      </c>
      <c r="C480" t="s">
        <v>32</v>
      </c>
      <c r="D480" t="s">
        <v>39</v>
      </c>
      <c r="E480" t="s">
        <v>52</v>
      </c>
      <c r="F480" t="s">
        <v>23</v>
      </c>
      <c r="G480" t="s">
        <v>58</v>
      </c>
      <c r="H480" t="s">
        <v>90</v>
      </c>
      <c r="I480">
        <v>7</v>
      </c>
      <c r="J480">
        <v>0.2</v>
      </c>
      <c r="K480">
        <v>19496.82</v>
      </c>
      <c r="L480">
        <v>1249.31</v>
      </c>
      <c r="M480">
        <v>2025</v>
      </c>
      <c r="N480" t="s">
        <v>624</v>
      </c>
      <c r="O480" t="s">
        <v>625</v>
      </c>
      <c r="P480">
        <v>6.4077629069766245E-2</v>
      </c>
    </row>
    <row r="481" spans="1:16" x14ac:dyDescent="0.3">
      <c r="A481" t="s">
        <v>581</v>
      </c>
      <c r="B481" s="12">
        <v>46004</v>
      </c>
      <c r="C481" t="s">
        <v>100</v>
      </c>
      <c r="D481" t="s">
        <v>14</v>
      </c>
      <c r="E481" t="s">
        <v>114</v>
      </c>
      <c r="F481" t="s">
        <v>23</v>
      </c>
      <c r="G481" t="s">
        <v>58</v>
      </c>
      <c r="H481" t="s">
        <v>78</v>
      </c>
      <c r="I481">
        <v>2</v>
      </c>
      <c r="J481">
        <v>0</v>
      </c>
      <c r="K481">
        <v>66709.740000000005</v>
      </c>
      <c r="L481">
        <v>9569.58</v>
      </c>
      <c r="M481">
        <v>2025</v>
      </c>
      <c r="N481" t="s">
        <v>624</v>
      </c>
      <c r="O481" t="s">
        <v>625</v>
      </c>
      <c r="P481">
        <v>0.14345101629836962</v>
      </c>
    </row>
    <row r="482" spans="1:16" x14ac:dyDescent="0.3">
      <c r="A482" t="s">
        <v>582</v>
      </c>
      <c r="B482" s="12">
        <v>46005</v>
      </c>
      <c r="C482" t="s">
        <v>44</v>
      </c>
      <c r="D482" t="s">
        <v>14</v>
      </c>
      <c r="E482" t="s">
        <v>97</v>
      </c>
      <c r="F482" t="s">
        <v>28</v>
      </c>
      <c r="G482" t="s">
        <v>74</v>
      </c>
      <c r="H482" t="s">
        <v>75</v>
      </c>
      <c r="I482">
        <v>6</v>
      </c>
      <c r="J482">
        <v>0.1</v>
      </c>
      <c r="K482">
        <v>18600.36</v>
      </c>
      <c r="L482">
        <v>3666.48</v>
      </c>
      <c r="M482">
        <v>2025</v>
      </c>
      <c r="N482" t="s">
        <v>624</v>
      </c>
      <c r="O482" t="s">
        <v>625</v>
      </c>
      <c r="P482">
        <v>0.19711876544324949</v>
      </c>
    </row>
    <row r="483" spans="1:16" x14ac:dyDescent="0.3">
      <c r="A483" t="s">
        <v>583</v>
      </c>
      <c r="B483" s="12">
        <v>46006</v>
      </c>
      <c r="C483" t="s">
        <v>104</v>
      </c>
      <c r="D483" t="s">
        <v>14</v>
      </c>
      <c r="E483" t="s">
        <v>114</v>
      </c>
      <c r="F483" t="s">
        <v>23</v>
      </c>
      <c r="G483" t="s">
        <v>58</v>
      </c>
      <c r="H483" t="s">
        <v>101</v>
      </c>
      <c r="I483">
        <v>6</v>
      </c>
      <c r="J483">
        <v>0</v>
      </c>
      <c r="K483">
        <v>296611.62</v>
      </c>
      <c r="L483">
        <v>36468.35</v>
      </c>
      <c r="M483">
        <v>2025</v>
      </c>
      <c r="N483" t="s">
        <v>624</v>
      </c>
      <c r="O483" t="s">
        <v>625</v>
      </c>
      <c r="P483">
        <v>0.12294983588303114</v>
      </c>
    </row>
    <row r="484" spans="1:16" x14ac:dyDescent="0.3">
      <c r="A484" t="s">
        <v>584</v>
      </c>
      <c r="B484" s="12">
        <v>46007</v>
      </c>
      <c r="C484" t="s">
        <v>20</v>
      </c>
      <c r="D484" t="s">
        <v>33</v>
      </c>
      <c r="E484" t="s">
        <v>45</v>
      </c>
      <c r="F484" t="s">
        <v>23</v>
      </c>
      <c r="G484" t="s">
        <v>24</v>
      </c>
      <c r="H484" t="s">
        <v>25</v>
      </c>
      <c r="I484">
        <v>6</v>
      </c>
      <c r="J484">
        <v>0.05</v>
      </c>
      <c r="K484">
        <v>118628.4</v>
      </c>
      <c r="L484">
        <v>15808.07</v>
      </c>
      <c r="M484">
        <v>2025</v>
      </c>
      <c r="N484" t="s">
        <v>624</v>
      </c>
      <c r="O484" t="s">
        <v>625</v>
      </c>
      <c r="P484">
        <v>0.13325704468744415</v>
      </c>
    </row>
    <row r="485" spans="1:16" x14ac:dyDescent="0.3">
      <c r="A485" t="s">
        <v>585</v>
      </c>
      <c r="B485" s="12">
        <v>46009</v>
      </c>
      <c r="C485" t="s">
        <v>179</v>
      </c>
      <c r="D485" t="s">
        <v>39</v>
      </c>
      <c r="E485" t="s">
        <v>128</v>
      </c>
      <c r="F485" t="s">
        <v>16</v>
      </c>
      <c r="G485" t="s">
        <v>68</v>
      </c>
      <c r="H485" t="s">
        <v>69</v>
      </c>
      <c r="I485">
        <v>6</v>
      </c>
      <c r="J485">
        <v>0.15</v>
      </c>
      <c r="K485">
        <v>24590.639999999999</v>
      </c>
      <c r="L485">
        <v>1719.36</v>
      </c>
      <c r="M485">
        <v>2025</v>
      </c>
      <c r="N485" t="s">
        <v>624</v>
      </c>
      <c r="O485" t="s">
        <v>625</v>
      </c>
      <c r="P485">
        <v>6.9919286362616018E-2</v>
      </c>
    </row>
    <row r="486" spans="1:16" x14ac:dyDescent="0.3">
      <c r="A486" t="s">
        <v>586</v>
      </c>
      <c r="B486" s="12">
        <v>46009</v>
      </c>
      <c r="C486" t="s">
        <v>56</v>
      </c>
      <c r="D486" t="s">
        <v>39</v>
      </c>
      <c r="E486" t="s">
        <v>128</v>
      </c>
      <c r="F486" t="s">
        <v>16</v>
      </c>
      <c r="G486" t="s">
        <v>68</v>
      </c>
      <c r="H486" t="s">
        <v>83</v>
      </c>
      <c r="I486">
        <v>2</v>
      </c>
      <c r="J486">
        <v>0.15</v>
      </c>
      <c r="K486">
        <v>1481.74</v>
      </c>
      <c r="L486">
        <v>267.18</v>
      </c>
      <c r="M486">
        <v>2025</v>
      </c>
      <c r="N486" t="s">
        <v>624</v>
      </c>
      <c r="O486" t="s">
        <v>625</v>
      </c>
      <c r="P486">
        <v>0.1803150350263879</v>
      </c>
    </row>
    <row r="487" spans="1:16" x14ac:dyDescent="0.3">
      <c r="A487" t="s">
        <v>587</v>
      </c>
      <c r="B487" s="12">
        <v>46009</v>
      </c>
      <c r="C487" t="s">
        <v>66</v>
      </c>
      <c r="D487" t="s">
        <v>21</v>
      </c>
      <c r="E487" t="s">
        <v>105</v>
      </c>
      <c r="F487" t="s">
        <v>23</v>
      </c>
      <c r="G487" t="s">
        <v>48</v>
      </c>
      <c r="H487" t="s">
        <v>118</v>
      </c>
      <c r="I487">
        <v>7</v>
      </c>
      <c r="J487">
        <v>0.1</v>
      </c>
      <c r="K487">
        <v>85514.52</v>
      </c>
      <c r="L487">
        <v>13538.84</v>
      </c>
      <c r="M487">
        <v>2025</v>
      </c>
      <c r="N487" t="s">
        <v>624</v>
      </c>
      <c r="O487" t="s">
        <v>625</v>
      </c>
      <c r="P487">
        <v>0.15832211886355674</v>
      </c>
    </row>
    <row r="488" spans="1:16" x14ac:dyDescent="0.3">
      <c r="A488" t="s">
        <v>588</v>
      </c>
      <c r="B488" s="12">
        <v>46011</v>
      </c>
      <c r="C488" t="s">
        <v>82</v>
      </c>
      <c r="D488" t="s">
        <v>21</v>
      </c>
      <c r="E488" t="s">
        <v>105</v>
      </c>
      <c r="F488" t="s">
        <v>16</v>
      </c>
      <c r="G488" t="s">
        <v>41</v>
      </c>
      <c r="H488" t="s">
        <v>177</v>
      </c>
      <c r="I488">
        <v>6</v>
      </c>
      <c r="J488">
        <v>0.15</v>
      </c>
      <c r="K488">
        <v>34764.720000000001</v>
      </c>
      <c r="L488">
        <v>3211.36</v>
      </c>
      <c r="M488">
        <v>2025</v>
      </c>
      <c r="N488" t="s">
        <v>624</v>
      </c>
      <c r="O488" t="s">
        <v>625</v>
      </c>
      <c r="P488">
        <v>9.2374108003746333E-2</v>
      </c>
    </row>
    <row r="489" spans="1:16" x14ac:dyDescent="0.3">
      <c r="A489" t="s">
        <v>589</v>
      </c>
      <c r="B489" s="12">
        <v>46011</v>
      </c>
      <c r="C489" t="s">
        <v>51</v>
      </c>
      <c r="D489" t="s">
        <v>33</v>
      </c>
      <c r="E489" t="s">
        <v>34</v>
      </c>
      <c r="F489" t="s">
        <v>23</v>
      </c>
      <c r="G489" t="s">
        <v>48</v>
      </c>
      <c r="H489" t="s">
        <v>118</v>
      </c>
      <c r="I489">
        <v>3</v>
      </c>
      <c r="J489">
        <v>0.1</v>
      </c>
      <c r="K489">
        <v>48834.45</v>
      </c>
      <c r="L489">
        <v>9812.9599999999991</v>
      </c>
      <c r="M489">
        <v>2025</v>
      </c>
      <c r="N489" t="s">
        <v>624</v>
      </c>
      <c r="O489" t="s">
        <v>625</v>
      </c>
      <c r="P489">
        <v>0.20094339139685202</v>
      </c>
    </row>
    <row r="490" spans="1:16" x14ac:dyDescent="0.3">
      <c r="A490" t="s">
        <v>590</v>
      </c>
      <c r="B490" s="12">
        <v>46012</v>
      </c>
      <c r="C490" t="s">
        <v>32</v>
      </c>
      <c r="D490" t="s">
        <v>14</v>
      </c>
      <c r="E490" t="s">
        <v>54</v>
      </c>
      <c r="F490" t="s">
        <v>16</v>
      </c>
      <c r="G490" t="s">
        <v>62</v>
      </c>
      <c r="H490" t="s">
        <v>167</v>
      </c>
      <c r="I490">
        <v>5</v>
      </c>
      <c r="J490">
        <v>0.05</v>
      </c>
      <c r="K490">
        <v>52204.9</v>
      </c>
      <c r="L490">
        <v>6729.26</v>
      </c>
      <c r="M490">
        <v>2025</v>
      </c>
      <c r="N490" t="s">
        <v>624</v>
      </c>
      <c r="O490" t="s">
        <v>625</v>
      </c>
      <c r="P490">
        <v>0.1289009269244841</v>
      </c>
    </row>
    <row r="491" spans="1:16" x14ac:dyDescent="0.3">
      <c r="A491" t="s">
        <v>591</v>
      </c>
      <c r="B491" s="12">
        <v>46012</v>
      </c>
      <c r="C491" t="s">
        <v>51</v>
      </c>
      <c r="D491" t="s">
        <v>21</v>
      </c>
      <c r="E491" t="s">
        <v>57</v>
      </c>
      <c r="F491" t="s">
        <v>23</v>
      </c>
      <c r="G491" t="s">
        <v>48</v>
      </c>
      <c r="H491" t="s">
        <v>118</v>
      </c>
      <c r="I491">
        <v>4</v>
      </c>
      <c r="J491">
        <v>0</v>
      </c>
      <c r="K491">
        <v>99205.8</v>
      </c>
      <c r="L491">
        <v>15386.51</v>
      </c>
      <c r="M491">
        <v>2025</v>
      </c>
      <c r="N491" t="s">
        <v>624</v>
      </c>
      <c r="O491" t="s">
        <v>625</v>
      </c>
      <c r="P491">
        <v>0.15509687941632444</v>
      </c>
    </row>
    <row r="492" spans="1:16" x14ac:dyDescent="0.3">
      <c r="A492" t="s">
        <v>592</v>
      </c>
      <c r="B492" s="12">
        <v>46012</v>
      </c>
      <c r="C492" t="s">
        <v>135</v>
      </c>
      <c r="D492" t="s">
        <v>39</v>
      </c>
      <c r="E492" t="s">
        <v>52</v>
      </c>
      <c r="F492" t="s">
        <v>28</v>
      </c>
      <c r="G492" t="s">
        <v>29</v>
      </c>
      <c r="H492" t="s">
        <v>98</v>
      </c>
      <c r="I492">
        <v>3</v>
      </c>
      <c r="J492">
        <v>0.05</v>
      </c>
      <c r="K492">
        <v>12788.16</v>
      </c>
      <c r="L492">
        <v>1545.78</v>
      </c>
      <c r="M492">
        <v>2025</v>
      </c>
      <c r="N492" t="s">
        <v>624</v>
      </c>
      <c r="O492" t="s">
        <v>625</v>
      </c>
      <c r="P492">
        <v>0.12087587268223106</v>
      </c>
    </row>
    <row r="493" spans="1:16" x14ac:dyDescent="0.3">
      <c r="A493" t="s">
        <v>593</v>
      </c>
      <c r="B493" s="12">
        <v>46016</v>
      </c>
      <c r="C493" t="s">
        <v>44</v>
      </c>
      <c r="D493" t="s">
        <v>14</v>
      </c>
      <c r="E493" t="s">
        <v>54</v>
      </c>
      <c r="F493" t="s">
        <v>28</v>
      </c>
      <c r="G493" t="s">
        <v>29</v>
      </c>
      <c r="H493" t="s">
        <v>98</v>
      </c>
      <c r="I493">
        <v>5</v>
      </c>
      <c r="J493">
        <v>0</v>
      </c>
      <c r="K493">
        <v>18440.650000000001</v>
      </c>
      <c r="L493">
        <v>1821.58</v>
      </c>
      <c r="M493">
        <v>2025</v>
      </c>
      <c r="N493" t="s">
        <v>624</v>
      </c>
      <c r="O493" t="s">
        <v>625</v>
      </c>
      <c r="P493">
        <v>9.8780682893498867E-2</v>
      </c>
    </row>
    <row r="494" spans="1:16" x14ac:dyDescent="0.3">
      <c r="A494" t="s">
        <v>594</v>
      </c>
      <c r="B494" s="12">
        <v>46017</v>
      </c>
      <c r="C494" t="s">
        <v>100</v>
      </c>
      <c r="D494" t="s">
        <v>21</v>
      </c>
      <c r="E494" t="s">
        <v>57</v>
      </c>
      <c r="F494" t="s">
        <v>28</v>
      </c>
      <c r="G494" t="s">
        <v>74</v>
      </c>
      <c r="H494" t="s">
        <v>159</v>
      </c>
      <c r="I494">
        <v>6</v>
      </c>
      <c r="J494">
        <v>0.2</v>
      </c>
      <c r="K494">
        <v>19139.099999999999</v>
      </c>
      <c r="L494">
        <v>947.88</v>
      </c>
      <c r="M494">
        <v>2025</v>
      </c>
      <c r="N494" t="s">
        <v>624</v>
      </c>
      <c r="O494" t="s">
        <v>625</v>
      </c>
      <c r="P494">
        <v>4.9525839773030086E-2</v>
      </c>
    </row>
    <row r="495" spans="1:16" x14ac:dyDescent="0.3">
      <c r="A495" t="s">
        <v>595</v>
      </c>
      <c r="B495" s="12">
        <v>46017</v>
      </c>
      <c r="C495" t="s">
        <v>135</v>
      </c>
      <c r="D495" t="s">
        <v>33</v>
      </c>
      <c r="E495" t="s">
        <v>86</v>
      </c>
      <c r="F495" t="s">
        <v>28</v>
      </c>
      <c r="G495" t="s">
        <v>29</v>
      </c>
      <c r="H495" t="s">
        <v>30</v>
      </c>
      <c r="I495">
        <v>2</v>
      </c>
      <c r="J495">
        <v>0.05</v>
      </c>
      <c r="K495">
        <v>6227.08</v>
      </c>
      <c r="L495">
        <v>658.25</v>
      </c>
      <c r="M495">
        <v>2025</v>
      </c>
      <c r="N495" t="s">
        <v>624</v>
      </c>
      <c r="O495" t="s">
        <v>625</v>
      </c>
      <c r="P495">
        <v>0.10570765109810698</v>
      </c>
    </row>
    <row r="496" spans="1:16" x14ac:dyDescent="0.3">
      <c r="A496" t="s">
        <v>596</v>
      </c>
      <c r="B496" s="12">
        <v>46017</v>
      </c>
      <c r="C496" t="s">
        <v>135</v>
      </c>
      <c r="D496" t="s">
        <v>33</v>
      </c>
      <c r="E496" t="s">
        <v>140</v>
      </c>
      <c r="F496" t="s">
        <v>16</v>
      </c>
      <c r="G496" t="s">
        <v>68</v>
      </c>
      <c r="H496" t="s">
        <v>83</v>
      </c>
      <c r="I496">
        <v>7</v>
      </c>
      <c r="J496">
        <v>0.1</v>
      </c>
      <c r="K496">
        <v>18037.88</v>
      </c>
      <c r="L496">
        <v>1793.15</v>
      </c>
      <c r="M496">
        <v>2025</v>
      </c>
      <c r="N496" t="s">
        <v>624</v>
      </c>
      <c r="O496" t="s">
        <v>625</v>
      </c>
      <c r="P496">
        <v>9.9410241114809506E-2</v>
      </c>
    </row>
    <row r="497" spans="1:16" x14ac:dyDescent="0.3">
      <c r="A497" t="s">
        <v>597</v>
      </c>
      <c r="B497" s="12">
        <v>46017</v>
      </c>
      <c r="C497" t="s">
        <v>20</v>
      </c>
      <c r="D497" t="s">
        <v>33</v>
      </c>
      <c r="E497" t="s">
        <v>140</v>
      </c>
      <c r="F497" t="s">
        <v>16</v>
      </c>
      <c r="G497" t="s">
        <v>62</v>
      </c>
      <c r="H497" t="s">
        <v>180</v>
      </c>
      <c r="I497">
        <v>6</v>
      </c>
      <c r="J497">
        <v>0.15</v>
      </c>
      <c r="K497">
        <v>62579.16</v>
      </c>
      <c r="L497">
        <v>2819.51</v>
      </c>
      <c r="M497">
        <v>2025</v>
      </c>
      <c r="N497" t="s">
        <v>624</v>
      </c>
      <c r="O497" t="s">
        <v>625</v>
      </c>
      <c r="P497">
        <v>4.5055095018852923E-2</v>
      </c>
    </row>
    <row r="498" spans="1:16" x14ac:dyDescent="0.3">
      <c r="A498" t="s">
        <v>598</v>
      </c>
      <c r="B498" s="12">
        <v>46018</v>
      </c>
      <c r="C498" t="s">
        <v>138</v>
      </c>
      <c r="D498" t="s">
        <v>14</v>
      </c>
      <c r="E498" t="s">
        <v>15</v>
      </c>
      <c r="F498" t="s">
        <v>23</v>
      </c>
      <c r="G498" t="s">
        <v>58</v>
      </c>
      <c r="H498" t="s">
        <v>78</v>
      </c>
      <c r="I498">
        <v>1</v>
      </c>
      <c r="J498">
        <v>0.2</v>
      </c>
      <c r="K498">
        <v>9952.33</v>
      </c>
      <c r="L498">
        <v>1490.57</v>
      </c>
      <c r="M498">
        <v>2025</v>
      </c>
      <c r="N498" t="s">
        <v>624</v>
      </c>
      <c r="O498" t="s">
        <v>625</v>
      </c>
      <c r="P498">
        <v>0.14977095815753697</v>
      </c>
    </row>
    <row r="499" spans="1:16" x14ac:dyDescent="0.3">
      <c r="A499" t="s">
        <v>599</v>
      </c>
      <c r="B499" s="12">
        <v>46018</v>
      </c>
      <c r="C499" t="s">
        <v>138</v>
      </c>
      <c r="D499" t="s">
        <v>14</v>
      </c>
      <c r="E499" t="s">
        <v>15</v>
      </c>
      <c r="F499" t="s">
        <v>16</v>
      </c>
      <c r="G499" t="s">
        <v>62</v>
      </c>
      <c r="H499" t="s">
        <v>63</v>
      </c>
      <c r="I499">
        <v>1</v>
      </c>
      <c r="J499">
        <v>0.15</v>
      </c>
      <c r="K499">
        <v>8331.9500000000007</v>
      </c>
      <c r="L499">
        <v>1591.98</v>
      </c>
      <c r="M499">
        <v>2025</v>
      </c>
      <c r="N499" t="s">
        <v>624</v>
      </c>
      <c r="O499" t="s">
        <v>625</v>
      </c>
      <c r="P499">
        <v>0.19106931750670611</v>
      </c>
    </row>
    <row r="500" spans="1:16" x14ac:dyDescent="0.3">
      <c r="A500" t="s">
        <v>600</v>
      </c>
      <c r="B500" s="12">
        <v>46019</v>
      </c>
      <c r="C500" t="s">
        <v>143</v>
      </c>
      <c r="D500" t="s">
        <v>33</v>
      </c>
      <c r="E500" t="s">
        <v>34</v>
      </c>
      <c r="F500" t="s">
        <v>23</v>
      </c>
      <c r="G500" t="s">
        <v>58</v>
      </c>
      <c r="H500" t="s">
        <v>78</v>
      </c>
      <c r="I500">
        <v>1</v>
      </c>
      <c r="J500">
        <v>0</v>
      </c>
      <c r="K500">
        <v>17102.27</v>
      </c>
      <c r="L500">
        <v>3178.09</v>
      </c>
      <c r="M500">
        <v>2025</v>
      </c>
      <c r="N500" t="s">
        <v>624</v>
      </c>
      <c r="O500" t="s">
        <v>625</v>
      </c>
      <c r="P500">
        <v>0.18582854790621361</v>
      </c>
    </row>
    <row r="501" spans="1:16" x14ac:dyDescent="0.3">
      <c r="A501" t="s">
        <v>601</v>
      </c>
      <c r="B501" s="12">
        <v>46020</v>
      </c>
      <c r="C501" t="s">
        <v>38</v>
      </c>
      <c r="D501" t="s">
        <v>33</v>
      </c>
      <c r="E501" t="s">
        <v>34</v>
      </c>
      <c r="F501" t="s">
        <v>23</v>
      </c>
      <c r="G501" t="s">
        <v>58</v>
      </c>
      <c r="H501" t="s">
        <v>90</v>
      </c>
      <c r="I501">
        <v>4</v>
      </c>
      <c r="J501">
        <v>0</v>
      </c>
      <c r="K501">
        <v>44533.760000000002</v>
      </c>
      <c r="L501">
        <v>9350.08</v>
      </c>
      <c r="M501">
        <v>2025</v>
      </c>
      <c r="N501" t="s">
        <v>624</v>
      </c>
      <c r="O501" t="s">
        <v>625</v>
      </c>
      <c r="P501">
        <v>0.20995487468383536</v>
      </c>
    </row>
    <row r="502" spans="1:16" x14ac:dyDescent="0.3">
      <c r="A502" t="s">
        <v>602</v>
      </c>
      <c r="B502" s="12">
        <v>46022</v>
      </c>
      <c r="C502" t="s">
        <v>32</v>
      </c>
      <c r="D502" t="s">
        <v>14</v>
      </c>
      <c r="E502" t="s">
        <v>15</v>
      </c>
      <c r="F502" t="s">
        <v>28</v>
      </c>
      <c r="G502" t="s">
        <v>71</v>
      </c>
      <c r="H502" t="s">
        <v>121</v>
      </c>
      <c r="I502">
        <v>3</v>
      </c>
      <c r="J502">
        <v>0</v>
      </c>
      <c r="K502">
        <v>4370.49</v>
      </c>
      <c r="L502">
        <v>794.03</v>
      </c>
      <c r="M502">
        <v>2025</v>
      </c>
      <c r="N502" t="s">
        <v>624</v>
      </c>
      <c r="O502" t="s">
        <v>625</v>
      </c>
      <c r="P502">
        <v>0.18167985740729301</v>
      </c>
    </row>
    <row r="503" spans="1:16" x14ac:dyDescent="0.3">
      <c r="A503" t="s">
        <v>603</v>
      </c>
      <c r="B503" s="12">
        <v>46022</v>
      </c>
      <c r="C503" t="s">
        <v>20</v>
      </c>
      <c r="D503" t="s">
        <v>39</v>
      </c>
      <c r="E503" t="s">
        <v>128</v>
      </c>
      <c r="F503" t="s">
        <v>16</v>
      </c>
      <c r="G503" t="s">
        <v>68</v>
      </c>
      <c r="H503" t="s">
        <v>83</v>
      </c>
      <c r="I503">
        <v>6</v>
      </c>
      <c r="J503">
        <v>0.1</v>
      </c>
      <c r="K503">
        <v>65520.84</v>
      </c>
      <c r="L503">
        <v>11801.48</v>
      </c>
      <c r="M503">
        <v>2025</v>
      </c>
      <c r="N503" t="s">
        <v>624</v>
      </c>
      <c r="O503" t="s">
        <v>625</v>
      </c>
      <c r="P503">
        <v>0.18011795941566072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3845-CE0D-438D-8B53-E85D5A35E9EA}">
  <dimension ref="A3:C4"/>
  <sheetViews>
    <sheetView workbookViewId="0">
      <selection activeCell="B13" sqref="B13"/>
    </sheetView>
  </sheetViews>
  <sheetFormatPr defaultRowHeight="14.4" x14ac:dyDescent="0.3"/>
  <cols>
    <col min="1" max="1" width="12.88671875" bestFit="1" customWidth="1"/>
    <col min="2" max="2" width="11.44140625" bestFit="1" customWidth="1"/>
    <col min="3" max="3" width="12.77734375" bestFit="1" customWidth="1"/>
  </cols>
  <sheetData>
    <row r="3" spans="1:3" x14ac:dyDescent="0.3">
      <c r="A3" t="s">
        <v>608</v>
      </c>
      <c r="B3" t="s">
        <v>609</v>
      </c>
      <c r="C3" t="s">
        <v>610</v>
      </c>
    </row>
    <row r="4" spans="1:3" x14ac:dyDescent="0.3">
      <c r="A4" s="4">
        <v>28206799.620000001</v>
      </c>
      <c r="B4" s="4">
        <v>3669196.0499999989</v>
      </c>
      <c r="C4">
        <v>2013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644AA-66BE-4908-83EE-E698AAE58D29}">
  <dimension ref="A3:C7"/>
  <sheetViews>
    <sheetView workbookViewId="0">
      <selection activeCell="O16" sqref="O16"/>
    </sheetView>
  </sheetViews>
  <sheetFormatPr defaultRowHeight="14.4" x14ac:dyDescent="0.3"/>
  <cols>
    <col min="1" max="1" width="13.109375" bestFit="1" customWidth="1"/>
    <col min="2" max="2" width="13.33203125" bestFit="1" customWidth="1"/>
    <col min="3" max="3" width="11.6640625" bestFit="1" customWidth="1"/>
  </cols>
  <sheetData>
    <row r="3" spans="1:3" x14ac:dyDescent="0.3">
      <c r="A3" s="8" t="s">
        <v>611</v>
      </c>
      <c r="B3" t="s">
        <v>608</v>
      </c>
      <c r="C3" t="s">
        <v>609</v>
      </c>
    </row>
    <row r="4" spans="1:3" x14ac:dyDescent="0.3">
      <c r="A4" s="9" t="s">
        <v>23</v>
      </c>
      <c r="B4" s="4">
        <v>23257553.489999995</v>
      </c>
      <c r="C4" s="4">
        <v>3044292.8899999987</v>
      </c>
    </row>
    <row r="5" spans="1:3" x14ac:dyDescent="0.3">
      <c r="A5" s="9" t="s">
        <v>16</v>
      </c>
      <c r="B5" s="4">
        <v>3535383.6299999994</v>
      </c>
      <c r="C5" s="4">
        <v>445930.1999999999</v>
      </c>
    </row>
    <row r="6" spans="1:3" x14ac:dyDescent="0.3">
      <c r="A6" s="9" t="s">
        <v>28</v>
      </c>
      <c r="B6" s="4">
        <v>1413862.5</v>
      </c>
      <c r="C6" s="4">
        <v>178972.95999999996</v>
      </c>
    </row>
    <row r="7" spans="1:3" x14ac:dyDescent="0.3">
      <c r="A7" s="9" t="s">
        <v>612</v>
      </c>
      <c r="B7" s="4">
        <v>28206799.619999994</v>
      </c>
      <c r="C7" s="4">
        <v>3669196.0499999989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A66AD-E5B5-48B7-A9B6-FCF89B6BA692}">
  <dimension ref="A3:C8"/>
  <sheetViews>
    <sheetView workbookViewId="0">
      <selection activeCell="N9" sqref="N9"/>
    </sheetView>
  </sheetViews>
  <sheetFormatPr defaultRowHeight="14.4" x14ac:dyDescent="0.3"/>
  <cols>
    <col min="1" max="1" width="12.5546875" bestFit="1" customWidth="1"/>
    <col min="2" max="2" width="13.33203125" bestFit="1" customWidth="1"/>
    <col min="3" max="3" width="11.6640625" bestFit="1" customWidth="1"/>
  </cols>
  <sheetData>
    <row r="3" spans="1:3" x14ac:dyDescent="0.3">
      <c r="A3" s="8" t="s">
        <v>611</v>
      </c>
      <c r="B3" t="s">
        <v>608</v>
      </c>
      <c r="C3" t="s">
        <v>609</v>
      </c>
    </row>
    <row r="4" spans="1:3" x14ac:dyDescent="0.3">
      <c r="A4" s="9" t="s">
        <v>14</v>
      </c>
      <c r="B4" s="4">
        <v>7688556.7300000023</v>
      </c>
      <c r="C4" s="4">
        <v>1000696.5399999997</v>
      </c>
    </row>
    <row r="5" spans="1:3" x14ac:dyDescent="0.3">
      <c r="A5" s="9" t="s">
        <v>21</v>
      </c>
      <c r="B5" s="4">
        <v>7211184.2999999952</v>
      </c>
      <c r="C5" s="4">
        <v>1007683.6700000003</v>
      </c>
    </row>
    <row r="6" spans="1:3" x14ac:dyDescent="0.3">
      <c r="A6" s="9" t="s">
        <v>33</v>
      </c>
      <c r="B6" s="4">
        <v>6840045.4000000022</v>
      </c>
      <c r="C6" s="4">
        <v>864726.84999999963</v>
      </c>
    </row>
    <row r="7" spans="1:3" x14ac:dyDescent="0.3">
      <c r="A7" s="9" t="s">
        <v>39</v>
      </c>
      <c r="B7" s="4">
        <v>6467013.1899999985</v>
      </c>
      <c r="C7" s="4">
        <v>796088.98999999976</v>
      </c>
    </row>
    <row r="8" spans="1:3" x14ac:dyDescent="0.3">
      <c r="A8" s="9" t="s">
        <v>612</v>
      </c>
      <c r="B8" s="4">
        <v>28206799.620000001</v>
      </c>
      <c r="C8" s="4">
        <v>3669196.0499999993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3C24-0FF0-40F4-B555-B2940776747C}">
  <dimension ref="A1:S21"/>
  <sheetViews>
    <sheetView tabSelected="1" workbookViewId="0">
      <selection activeCell="D23" sqref="D23"/>
    </sheetView>
  </sheetViews>
  <sheetFormatPr defaultRowHeight="14.4" x14ac:dyDescent="0.3"/>
  <cols>
    <col min="1" max="1" width="13.44140625" customWidth="1"/>
    <col min="3" max="3" width="10.77734375" customWidth="1"/>
    <col min="5" max="5" width="14.109375" customWidth="1"/>
  </cols>
  <sheetData>
    <row r="1" spans="1:19" ht="25.8" x14ac:dyDescent="0.5">
      <c r="A1" s="10" t="s">
        <v>629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</sheetData>
  <mergeCells count="2">
    <mergeCell ref="A1:S1"/>
    <mergeCell ref="A2:S2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8731-C9EF-42B5-9C28-5C0FB5F75653}">
  <dimension ref="A3:B16"/>
  <sheetViews>
    <sheetView workbookViewId="0">
      <selection activeCell="O8" sqref="O8"/>
    </sheetView>
  </sheetViews>
  <sheetFormatPr defaultRowHeight="14.4" x14ac:dyDescent="0.3"/>
  <cols>
    <col min="1" max="1" width="12.5546875" bestFit="1" customWidth="1"/>
    <col min="2" max="2" width="13.33203125" bestFit="1" customWidth="1"/>
  </cols>
  <sheetData>
    <row r="3" spans="1:2" x14ac:dyDescent="0.3">
      <c r="A3" s="8" t="s">
        <v>611</v>
      </c>
      <c r="B3" t="s">
        <v>608</v>
      </c>
    </row>
    <row r="4" spans="1:2" x14ac:dyDescent="0.3">
      <c r="A4" s="9" t="s">
        <v>613</v>
      </c>
      <c r="B4" s="4">
        <v>2422038.0100000002</v>
      </c>
    </row>
    <row r="5" spans="1:2" x14ac:dyDescent="0.3">
      <c r="A5" s="9" t="s">
        <v>614</v>
      </c>
      <c r="B5" s="4">
        <v>1977129.4099999997</v>
      </c>
    </row>
    <row r="6" spans="1:2" x14ac:dyDescent="0.3">
      <c r="A6" s="9" t="s">
        <v>615</v>
      </c>
      <c r="B6" s="4">
        <v>2668670</v>
      </c>
    </row>
    <row r="7" spans="1:2" x14ac:dyDescent="0.3">
      <c r="A7" s="9" t="s">
        <v>616</v>
      </c>
      <c r="B7" s="4">
        <v>3087515.98</v>
      </c>
    </row>
    <row r="8" spans="1:2" x14ac:dyDescent="0.3">
      <c r="A8" s="9" t="s">
        <v>617</v>
      </c>
      <c r="B8" s="4">
        <v>1433885.66</v>
      </c>
    </row>
    <row r="9" spans="1:2" x14ac:dyDescent="0.3">
      <c r="A9" s="9" t="s">
        <v>618</v>
      </c>
      <c r="B9" s="4">
        <v>2784274.2600000007</v>
      </c>
    </row>
    <row r="10" spans="1:2" x14ac:dyDescent="0.3">
      <c r="A10" s="9" t="s">
        <v>619</v>
      </c>
      <c r="B10" s="4">
        <v>1897637.43</v>
      </c>
    </row>
    <row r="11" spans="1:2" x14ac:dyDescent="0.3">
      <c r="A11" s="9" t="s">
        <v>620</v>
      </c>
      <c r="B11" s="4">
        <v>2526096.64</v>
      </c>
    </row>
    <row r="12" spans="1:2" x14ac:dyDescent="0.3">
      <c r="A12" s="9" t="s">
        <v>621</v>
      </c>
      <c r="B12" s="4">
        <v>2813180.959999999</v>
      </c>
    </row>
    <row r="13" spans="1:2" x14ac:dyDescent="0.3">
      <c r="A13" s="9" t="s">
        <v>622</v>
      </c>
      <c r="B13" s="4">
        <v>2490888.4400000004</v>
      </c>
    </row>
    <row r="14" spans="1:2" x14ac:dyDescent="0.3">
      <c r="A14" s="9" t="s">
        <v>623</v>
      </c>
      <c r="B14" s="4">
        <v>2258801.89</v>
      </c>
    </row>
    <row r="15" spans="1:2" x14ac:dyDescent="0.3">
      <c r="A15" s="9" t="s">
        <v>624</v>
      </c>
      <c r="B15" s="4">
        <v>1846680.9399999995</v>
      </c>
    </row>
    <row r="16" spans="1:2" x14ac:dyDescent="0.3">
      <c r="A16" s="9" t="s">
        <v>612</v>
      </c>
      <c r="B16" s="4">
        <v>28206799.620000005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B2B7-986F-43EA-BBD8-468CC1315D93}">
  <dimension ref="A3:B9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3.33203125" bestFit="1" customWidth="1"/>
  </cols>
  <sheetData>
    <row r="3" spans="1:2" x14ac:dyDescent="0.3">
      <c r="A3" s="8" t="s">
        <v>611</v>
      </c>
      <c r="B3" t="s">
        <v>608</v>
      </c>
    </row>
    <row r="4" spans="1:2" x14ac:dyDescent="0.3">
      <c r="A4" s="9" t="s">
        <v>155</v>
      </c>
      <c r="B4" s="4">
        <v>2541920.1700000004</v>
      </c>
    </row>
    <row r="5" spans="1:2" x14ac:dyDescent="0.3">
      <c r="A5" s="9" t="s">
        <v>59</v>
      </c>
      <c r="B5" s="4">
        <v>2538982.2299999995</v>
      </c>
    </row>
    <row r="6" spans="1:2" x14ac:dyDescent="0.3">
      <c r="A6" s="9" t="s">
        <v>101</v>
      </c>
      <c r="B6" s="4">
        <v>2498101.25</v>
      </c>
    </row>
    <row r="7" spans="1:2" x14ac:dyDescent="0.3">
      <c r="A7" s="9" t="s">
        <v>78</v>
      </c>
      <c r="B7" s="4">
        <v>2437685.7200000002</v>
      </c>
    </row>
    <row r="8" spans="1:2" x14ac:dyDescent="0.3">
      <c r="A8" s="9" t="s">
        <v>36</v>
      </c>
      <c r="B8" s="4">
        <v>2283390.41</v>
      </c>
    </row>
    <row r="9" spans="1:2" x14ac:dyDescent="0.3">
      <c r="A9" s="9" t="s">
        <v>612</v>
      </c>
      <c r="B9" s="4">
        <v>12300079.780000001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8273-6B68-42AC-A1D7-8A0F4891352E}">
  <dimension ref="A3:B9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8" t="s">
        <v>611</v>
      </c>
      <c r="B3" t="s">
        <v>608</v>
      </c>
    </row>
    <row r="4" spans="1:2" x14ac:dyDescent="0.3">
      <c r="A4" s="9" t="s">
        <v>77</v>
      </c>
      <c r="B4" s="4">
        <v>2509588.1399999997</v>
      </c>
    </row>
    <row r="5" spans="1:2" x14ac:dyDescent="0.3">
      <c r="A5" s="9" t="s">
        <v>32</v>
      </c>
      <c r="B5" s="4">
        <v>1969245.6</v>
      </c>
    </row>
    <row r="6" spans="1:2" x14ac:dyDescent="0.3">
      <c r="A6" s="9" t="s">
        <v>229</v>
      </c>
      <c r="B6" s="4">
        <v>1667817.6700000004</v>
      </c>
    </row>
    <row r="7" spans="1:2" x14ac:dyDescent="0.3">
      <c r="A7" s="9" t="s">
        <v>95</v>
      </c>
      <c r="B7" s="4">
        <v>1583397.3899999997</v>
      </c>
    </row>
    <row r="8" spans="1:2" x14ac:dyDescent="0.3">
      <c r="A8" s="9" t="s">
        <v>100</v>
      </c>
      <c r="B8" s="4">
        <v>1575503.9699999997</v>
      </c>
    </row>
    <row r="9" spans="1:2" x14ac:dyDescent="0.3">
      <c r="A9" s="9" t="s">
        <v>612</v>
      </c>
      <c r="B9" s="4">
        <v>9305552.7699999996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0529-206B-427D-8689-A895C854D514}">
  <dimension ref="A3:C16"/>
  <sheetViews>
    <sheetView workbookViewId="0">
      <selection activeCell="F7" sqref="F7"/>
    </sheetView>
  </sheetViews>
  <sheetFormatPr defaultRowHeight="14.4" x14ac:dyDescent="0.3"/>
  <cols>
    <col min="1" max="1" width="12.5546875" bestFit="1" customWidth="1"/>
    <col min="2" max="2" width="13.33203125" bestFit="1" customWidth="1"/>
    <col min="3" max="3" width="11.6640625" bestFit="1" customWidth="1"/>
  </cols>
  <sheetData>
    <row r="3" spans="1:3" x14ac:dyDescent="0.3">
      <c r="A3" s="8" t="s">
        <v>611</v>
      </c>
      <c r="B3" t="s">
        <v>608</v>
      </c>
      <c r="C3" t="s">
        <v>609</v>
      </c>
    </row>
    <row r="4" spans="1:3" x14ac:dyDescent="0.3">
      <c r="A4" s="9" t="s">
        <v>58</v>
      </c>
      <c r="B4" s="4">
        <v>8780114.3599999994</v>
      </c>
      <c r="C4" s="4">
        <v>1141547.6400000011</v>
      </c>
    </row>
    <row r="5" spans="1:3" x14ac:dyDescent="0.3">
      <c r="A5" s="9" t="s">
        <v>48</v>
      </c>
      <c r="B5" s="4">
        <v>5180365.8999999994</v>
      </c>
      <c r="C5" s="4">
        <v>673552.37999999989</v>
      </c>
    </row>
    <row r="6" spans="1:3" x14ac:dyDescent="0.3">
      <c r="A6" s="9" t="s">
        <v>35</v>
      </c>
      <c r="B6" s="4">
        <v>4825310.5799999982</v>
      </c>
      <c r="C6" s="4">
        <v>615519.28999999992</v>
      </c>
    </row>
    <row r="7" spans="1:3" x14ac:dyDescent="0.3">
      <c r="A7" s="9" t="s">
        <v>24</v>
      </c>
      <c r="B7" s="4">
        <v>4471762.6500000004</v>
      </c>
      <c r="C7" s="4">
        <v>613673.57999999984</v>
      </c>
    </row>
    <row r="8" spans="1:3" x14ac:dyDescent="0.3">
      <c r="A8" s="9" t="s">
        <v>17</v>
      </c>
      <c r="B8" s="4">
        <v>1118606.6499999999</v>
      </c>
      <c r="C8" s="4">
        <v>143794.18000000002</v>
      </c>
    </row>
    <row r="9" spans="1:3" x14ac:dyDescent="0.3">
      <c r="A9" s="9" t="s">
        <v>68</v>
      </c>
      <c r="B9" s="4">
        <v>935596.30999999994</v>
      </c>
      <c r="C9" s="4">
        <v>120405.55999999998</v>
      </c>
    </row>
    <row r="10" spans="1:3" x14ac:dyDescent="0.3">
      <c r="A10" s="9" t="s">
        <v>62</v>
      </c>
      <c r="B10" s="4">
        <v>785248.64</v>
      </c>
      <c r="C10" s="4">
        <v>83662.489999999991</v>
      </c>
    </row>
    <row r="11" spans="1:3" x14ac:dyDescent="0.3">
      <c r="A11" s="9" t="s">
        <v>41</v>
      </c>
      <c r="B11" s="4">
        <v>695932.03</v>
      </c>
      <c r="C11" s="4">
        <v>98067.97</v>
      </c>
    </row>
    <row r="12" spans="1:3" x14ac:dyDescent="0.3">
      <c r="A12" s="9" t="s">
        <v>71</v>
      </c>
      <c r="B12" s="4">
        <v>459059.07</v>
      </c>
      <c r="C12" s="4">
        <v>61273.979999999981</v>
      </c>
    </row>
    <row r="13" spans="1:3" x14ac:dyDescent="0.3">
      <c r="A13" s="9" t="s">
        <v>29</v>
      </c>
      <c r="B13" s="4">
        <v>366202.35000000003</v>
      </c>
      <c r="C13" s="4">
        <v>44565.650000000009</v>
      </c>
    </row>
    <row r="14" spans="1:3" x14ac:dyDescent="0.3">
      <c r="A14" s="9" t="s">
        <v>92</v>
      </c>
      <c r="B14" s="4">
        <v>297649.98</v>
      </c>
      <c r="C14" s="4">
        <v>36216.409999999996</v>
      </c>
    </row>
    <row r="15" spans="1:3" x14ac:dyDescent="0.3">
      <c r="A15" s="9" t="s">
        <v>74</v>
      </c>
      <c r="B15" s="4">
        <v>290951.09999999998</v>
      </c>
      <c r="C15" s="4">
        <v>36916.92</v>
      </c>
    </row>
    <row r="16" spans="1:3" x14ac:dyDescent="0.3">
      <c r="A16" s="9" t="s">
        <v>612</v>
      </c>
      <c r="B16" s="4">
        <v>28206799.620000001</v>
      </c>
      <c r="C16" s="4">
        <v>3669196.0500000007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E309-A7C2-4B38-97C2-CF29280866FF}">
  <dimension ref="A3:C7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3.33203125" bestFit="1" customWidth="1"/>
    <col min="3" max="3" width="15.88671875" bestFit="1" customWidth="1"/>
  </cols>
  <sheetData>
    <row r="3" spans="1:3" x14ac:dyDescent="0.3">
      <c r="A3" s="8" t="s">
        <v>611</v>
      </c>
      <c r="B3" t="s">
        <v>608</v>
      </c>
      <c r="C3" t="s">
        <v>628</v>
      </c>
    </row>
    <row r="4" spans="1:3" x14ac:dyDescent="0.3">
      <c r="A4" s="9" t="s">
        <v>625</v>
      </c>
      <c r="B4" s="4">
        <v>28199039.179999996</v>
      </c>
      <c r="C4">
        <v>487</v>
      </c>
    </row>
    <row r="5" spans="1:3" x14ac:dyDescent="0.3">
      <c r="A5" s="9" t="s">
        <v>626</v>
      </c>
      <c r="B5" s="4">
        <v>1005.63</v>
      </c>
      <c r="C5">
        <v>3</v>
      </c>
    </row>
    <row r="6" spans="1:3" x14ac:dyDescent="0.3">
      <c r="A6" s="9" t="s">
        <v>627</v>
      </c>
      <c r="B6" s="4">
        <v>6754.8099999999995</v>
      </c>
      <c r="C6">
        <v>10</v>
      </c>
    </row>
    <row r="7" spans="1:3" x14ac:dyDescent="0.3">
      <c r="A7" s="9" t="s">
        <v>612</v>
      </c>
      <c r="B7" s="4">
        <v>28206799.620000001</v>
      </c>
      <c r="C7">
        <v>500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1"/>
  <sheetViews>
    <sheetView topLeftCell="B1" workbookViewId="0">
      <pane ySplit="1" topLeftCell="A476" activePane="bottomLeft" state="frozen"/>
      <selection pane="bottomLeft" activeCell="A2" sqref="A1:P501"/>
    </sheetView>
  </sheetViews>
  <sheetFormatPr defaultRowHeight="14.4" x14ac:dyDescent="0.3"/>
  <cols>
    <col min="1" max="1" width="12" customWidth="1"/>
    <col min="2" max="2" width="21" customWidth="1"/>
    <col min="3" max="3" width="16" customWidth="1"/>
    <col min="4" max="4" width="12" customWidth="1"/>
    <col min="5" max="5" width="13" customWidth="1"/>
    <col min="6" max="6" width="17" customWidth="1"/>
    <col min="7" max="7" width="14" customWidth="1"/>
    <col min="8" max="8" width="19" customWidth="1"/>
    <col min="9" max="12" width="12" customWidth="1"/>
    <col min="15" max="15" width="13.21875" customWidth="1"/>
    <col min="16" max="16" width="12.88671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604</v>
      </c>
      <c r="N1" s="5" t="s">
        <v>605</v>
      </c>
      <c r="O1" s="5" t="s">
        <v>606</v>
      </c>
      <c r="P1" s="6" t="s">
        <v>607</v>
      </c>
    </row>
    <row r="2" spans="1:16" x14ac:dyDescent="0.3">
      <c r="A2" t="s">
        <v>12</v>
      </c>
      <c r="B2" s="2">
        <v>45658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6</v>
      </c>
      <c r="J2" s="3">
        <v>0</v>
      </c>
      <c r="K2" s="4">
        <v>14565.72</v>
      </c>
      <c r="L2" s="4">
        <v>2664.67</v>
      </c>
      <c r="M2">
        <f>YEAR(B2)</f>
        <v>2025</v>
      </c>
      <c r="N2" t="str">
        <f>TEXT(B2,"mmm")</f>
        <v>Jan</v>
      </c>
      <c r="O2" t="str">
        <f>IF(K2&gt;=1000,"High",IF(K2&gt;=500,"Medium","Low"))</f>
        <v>High</v>
      </c>
      <c r="P2" s="7">
        <f>IFERROR(L2/K2,0)</f>
        <v>0.18294117970138107</v>
      </c>
    </row>
    <row r="3" spans="1:16" x14ac:dyDescent="0.3">
      <c r="A3" t="s">
        <v>19</v>
      </c>
      <c r="B3" s="2">
        <v>45658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5</v>
      </c>
      <c r="J3" s="3">
        <v>0</v>
      </c>
      <c r="K3" s="4">
        <v>153118.95000000001</v>
      </c>
      <c r="L3" s="4">
        <v>29734.03</v>
      </c>
      <c r="M3">
        <f t="shared" ref="M3:M66" si="0">YEAR(B3)</f>
        <v>2025</v>
      </c>
      <c r="N3" t="str">
        <f t="shared" ref="N3:N66" si="1">TEXT(B3,"mmm")</f>
        <v>Jan</v>
      </c>
      <c r="O3" t="str">
        <f t="shared" ref="O3:O66" si="2">IF(K3&gt;=1000,"High",IF(K3&gt;=500,"Medium","Low"))</f>
        <v>High</v>
      </c>
      <c r="P3" s="7">
        <f t="shared" ref="P3:P66" si="3">IFERROR(L3/K3,0)</f>
        <v>0.19418909285885252</v>
      </c>
    </row>
    <row r="4" spans="1:16" x14ac:dyDescent="0.3">
      <c r="A4" t="s">
        <v>26</v>
      </c>
      <c r="B4" s="2">
        <v>45660</v>
      </c>
      <c r="C4" t="s">
        <v>27</v>
      </c>
      <c r="D4" t="s">
        <v>14</v>
      </c>
      <c r="E4" t="s">
        <v>15</v>
      </c>
      <c r="F4" t="s">
        <v>28</v>
      </c>
      <c r="G4" t="s">
        <v>29</v>
      </c>
      <c r="H4" t="s">
        <v>30</v>
      </c>
      <c r="I4">
        <v>4</v>
      </c>
      <c r="J4" s="3">
        <v>0.1</v>
      </c>
      <c r="K4" s="4">
        <v>14739.16</v>
      </c>
      <c r="L4" s="4">
        <v>2479.4299999999998</v>
      </c>
      <c r="M4">
        <f t="shared" si="0"/>
        <v>2025</v>
      </c>
      <c r="N4" t="str">
        <f t="shared" si="1"/>
        <v>Jan</v>
      </c>
      <c r="O4" t="str">
        <f t="shared" si="2"/>
        <v>High</v>
      </c>
      <c r="P4" s="7">
        <f t="shared" si="3"/>
        <v>0.16822057702067145</v>
      </c>
    </row>
    <row r="5" spans="1:16" x14ac:dyDescent="0.3">
      <c r="A5" t="s">
        <v>31</v>
      </c>
      <c r="B5" s="2">
        <v>45661</v>
      </c>
      <c r="C5" t="s">
        <v>32</v>
      </c>
      <c r="D5" t="s">
        <v>33</v>
      </c>
      <c r="E5" t="s">
        <v>34</v>
      </c>
      <c r="F5" t="s">
        <v>23</v>
      </c>
      <c r="G5" t="s">
        <v>35</v>
      </c>
      <c r="H5" t="s">
        <v>36</v>
      </c>
      <c r="I5">
        <v>2</v>
      </c>
      <c r="J5" s="3">
        <v>0.2</v>
      </c>
      <c r="K5" s="4">
        <v>87786.9</v>
      </c>
      <c r="L5" s="4">
        <v>5093.42</v>
      </c>
      <c r="M5">
        <f t="shared" si="0"/>
        <v>2025</v>
      </c>
      <c r="N5" t="str">
        <f t="shared" si="1"/>
        <v>Jan</v>
      </c>
      <c r="O5" t="str">
        <f t="shared" si="2"/>
        <v>High</v>
      </c>
      <c r="P5" s="7">
        <f t="shared" si="3"/>
        <v>5.8020274095565517E-2</v>
      </c>
    </row>
    <row r="6" spans="1:16" x14ac:dyDescent="0.3">
      <c r="A6" t="s">
        <v>37</v>
      </c>
      <c r="B6" s="2">
        <v>45661</v>
      </c>
      <c r="C6" t="s">
        <v>38</v>
      </c>
      <c r="D6" t="s">
        <v>39</v>
      </c>
      <c r="E6" t="s">
        <v>40</v>
      </c>
      <c r="F6" t="s">
        <v>16</v>
      </c>
      <c r="G6" t="s">
        <v>41</v>
      </c>
      <c r="H6" t="s">
        <v>42</v>
      </c>
      <c r="I6">
        <v>1</v>
      </c>
      <c r="J6" s="3">
        <v>0</v>
      </c>
      <c r="K6" s="4">
        <v>8985.34</v>
      </c>
      <c r="L6" s="4">
        <v>2072.17</v>
      </c>
      <c r="M6">
        <f t="shared" si="0"/>
        <v>2025</v>
      </c>
      <c r="N6" t="str">
        <f t="shared" si="1"/>
        <v>Jan</v>
      </c>
      <c r="O6" t="str">
        <f t="shared" si="2"/>
        <v>High</v>
      </c>
      <c r="P6" s="7">
        <f t="shared" si="3"/>
        <v>0.23061676018937513</v>
      </c>
    </row>
    <row r="7" spans="1:16" x14ac:dyDescent="0.3">
      <c r="A7" t="s">
        <v>43</v>
      </c>
      <c r="B7" s="2">
        <v>45662</v>
      </c>
      <c r="C7" t="s">
        <v>44</v>
      </c>
      <c r="D7" t="s">
        <v>33</v>
      </c>
      <c r="E7" t="s">
        <v>45</v>
      </c>
      <c r="F7" t="s">
        <v>23</v>
      </c>
      <c r="G7" t="s">
        <v>35</v>
      </c>
      <c r="H7" t="s">
        <v>36</v>
      </c>
      <c r="I7">
        <v>4</v>
      </c>
      <c r="J7" s="3">
        <v>0.2</v>
      </c>
      <c r="K7" s="4">
        <v>51151.64</v>
      </c>
      <c r="L7" s="4">
        <v>1319.61</v>
      </c>
      <c r="M7">
        <f t="shared" si="0"/>
        <v>2025</v>
      </c>
      <c r="N7" t="str">
        <f t="shared" si="1"/>
        <v>Jan</v>
      </c>
      <c r="O7" t="str">
        <f t="shared" si="2"/>
        <v>High</v>
      </c>
      <c r="P7" s="7">
        <f t="shared" si="3"/>
        <v>2.5797999829526481E-2</v>
      </c>
    </row>
    <row r="8" spans="1:16" x14ac:dyDescent="0.3">
      <c r="A8" t="s">
        <v>46</v>
      </c>
      <c r="B8" s="2">
        <v>45662</v>
      </c>
      <c r="C8" t="s">
        <v>44</v>
      </c>
      <c r="D8" t="s">
        <v>39</v>
      </c>
      <c r="E8" t="s">
        <v>47</v>
      </c>
      <c r="F8" t="s">
        <v>23</v>
      </c>
      <c r="G8" t="s">
        <v>48</v>
      </c>
      <c r="H8" t="s">
        <v>49</v>
      </c>
      <c r="I8">
        <v>4</v>
      </c>
      <c r="J8" s="3">
        <v>0</v>
      </c>
      <c r="K8" s="4">
        <v>48513.4</v>
      </c>
      <c r="L8" s="4">
        <v>11781.42</v>
      </c>
      <c r="M8">
        <f t="shared" si="0"/>
        <v>2025</v>
      </c>
      <c r="N8" t="str">
        <f t="shared" si="1"/>
        <v>Jan</v>
      </c>
      <c r="O8" t="str">
        <f t="shared" si="2"/>
        <v>High</v>
      </c>
      <c r="P8" s="7">
        <f t="shared" si="3"/>
        <v>0.24284877992472181</v>
      </c>
    </row>
    <row r="9" spans="1:16" x14ac:dyDescent="0.3">
      <c r="A9" t="s">
        <v>50</v>
      </c>
      <c r="B9" s="2">
        <v>45662</v>
      </c>
      <c r="C9" t="s">
        <v>51</v>
      </c>
      <c r="D9" t="s">
        <v>39</v>
      </c>
      <c r="E9" t="s">
        <v>52</v>
      </c>
      <c r="F9" t="s">
        <v>23</v>
      </c>
      <c r="G9" t="s">
        <v>35</v>
      </c>
      <c r="H9" t="s">
        <v>36</v>
      </c>
      <c r="I9">
        <v>3</v>
      </c>
      <c r="J9" s="3">
        <v>0.05</v>
      </c>
      <c r="K9" s="4">
        <v>96888.84</v>
      </c>
      <c r="L9" s="4">
        <v>17258.080000000002</v>
      </c>
      <c r="M9">
        <f t="shared" si="0"/>
        <v>2025</v>
      </c>
      <c r="N9" t="str">
        <f t="shared" si="1"/>
        <v>Jan</v>
      </c>
      <c r="O9" t="str">
        <f t="shared" si="2"/>
        <v>High</v>
      </c>
      <c r="P9" s="7">
        <f t="shared" si="3"/>
        <v>0.17812247519941413</v>
      </c>
    </row>
    <row r="10" spans="1:16" x14ac:dyDescent="0.3">
      <c r="A10" t="s">
        <v>53</v>
      </c>
      <c r="B10" s="2">
        <v>45663</v>
      </c>
      <c r="C10" t="s">
        <v>32</v>
      </c>
      <c r="D10" t="s">
        <v>14</v>
      </c>
      <c r="E10" t="s">
        <v>54</v>
      </c>
      <c r="F10" t="s">
        <v>23</v>
      </c>
      <c r="G10" t="s">
        <v>48</v>
      </c>
      <c r="H10" t="s">
        <v>49</v>
      </c>
      <c r="I10">
        <v>4</v>
      </c>
      <c r="J10" s="3">
        <v>0.2</v>
      </c>
      <c r="K10" s="4">
        <v>6241.88</v>
      </c>
      <c r="L10" s="4">
        <v>516.77</v>
      </c>
      <c r="M10">
        <f t="shared" si="0"/>
        <v>2025</v>
      </c>
      <c r="N10" t="str">
        <f t="shared" si="1"/>
        <v>Jan</v>
      </c>
      <c r="O10" t="str">
        <f t="shared" si="2"/>
        <v>High</v>
      </c>
      <c r="P10" s="7">
        <f t="shared" si="3"/>
        <v>8.2790761757675566E-2</v>
      </c>
    </row>
    <row r="11" spans="1:16" x14ac:dyDescent="0.3">
      <c r="A11" t="s">
        <v>55</v>
      </c>
      <c r="B11" s="2">
        <v>45663</v>
      </c>
      <c r="C11" t="s">
        <v>56</v>
      </c>
      <c r="D11" t="s">
        <v>21</v>
      </c>
      <c r="E11" t="s">
        <v>57</v>
      </c>
      <c r="F11" t="s">
        <v>23</v>
      </c>
      <c r="G11" t="s">
        <v>58</v>
      </c>
      <c r="H11" t="s">
        <v>59</v>
      </c>
      <c r="I11">
        <v>4</v>
      </c>
      <c r="J11" s="3">
        <v>0.15</v>
      </c>
      <c r="K11" s="4">
        <v>179862.36</v>
      </c>
      <c r="L11" s="4">
        <v>30742.15</v>
      </c>
      <c r="M11">
        <f t="shared" si="0"/>
        <v>2025</v>
      </c>
      <c r="N11" t="str">
        <f t="shared" si="1"/>
        <v>Jan</v>
      </c>
      <c r="O11" t="str">
        <f t="shared" si="2"/>
        <v>High</v>
      </c>
      <c r="P11" s="7">
        <f t="shared" si="3"/>
        <v>0.17092041936956684</v>
      </c>
    </row>
    <row r="12" spans="1:16" x14ac:dyDescent="0.3">
      <c r="A12" t="s">
        <v>60</v>
      </c>
      <c r="B12" s="2">
        <v>45663</v>
      </c>
      <c r="C12" t="s">
        <v>61</v>
      </c>
      <c r="D12" t="s">
        <v>14</v>
      </c>
      <c r="E12" t="s">
        <v>15</v>
      </c>
      <c r="F12" t="s">
        <v>16</v>
      </c>
      <c r="G12" t="s">
        <v>62</v>
      </c>
      <c r="H12" t="s">
        <v>63</v>
      </c>
      <c r="I12">
        <v>2</v>
      </c>
      <c r="J12" s="3">
        <v>0.05</v>
      </c>
      <c r="K12" s="4">
        <v>6738.58</v>
      </c>
      <c r="L12" s="4">
        <v>1010.09</v>
      </c>
      <c r="M12">
        <f t="shared" si="0"/>
        <v>2025</v>
      </c>
      <c r="N12" t="str">
        <f t="shared" si="1"/>
        <v>Jan</v>
      </c>
      <c r="O12" t="str">
        <f t="shared" si="2"/>
        <v>High</v>
      </c>
      <c r="P12" s="7">
        <f t="shared" si="3"/>
        <v>0.14989656574530541</v>
      </c>
    </row>
    <row r="13" spans="1:16" x14ac:dyDescent="0.3">
      <c r="A13" t="s">
        <v>64</v>
      </c>
      <c r="B13" s="2">
        <v>45664</v>
      </c>
      <c r="C13" t="s">
        <v>44</v>
      </c>
      <c r="D13" t="s">
        <v>14</v>
      </c>
      <c r="E13" t="s">
        <v>54</v>
      </c>
      <c r="F13" t="s">
        <v>16</v>
      </c>
      <c r="G13" t="s">
        <v>17</v>
      </c>
      <c r="H13" t="s">
        <v>18</v>
      </c>
      <c r="I13">
        <v>1</v>
      </c>
      <c r="J13" s="3">
        <v>0.1</v>
      </c>
      <c r="K13" s="4">
        <v>4775</v>
      </c>
      <c r="L13" s="4">
        <v>753.07</v>
      </c>
      <c r="M13">
        <f t="shared" si="0"/>
        <v>2025</v>
      </c>
      <c r="N13" t="str">
        <f t="shared" si="1"/>
        <v>Jan</v>
      </c>
      <c r="O13" t="str">
        <f t="shared" si="2"/>
        <v>High</v>
      </c>
      <c r="P13" s="7">
        <f t="shared" si="3"/>
        <v>0.15771099476439793</v>
      </c>
    </row>
    <row r="14" spans="1:16" x14ac:dyDescent="0.3">
      <c r="A14" t="s">
        <v>65</v>
      </c>
      <c r="B14" s="2">
        <v>45665</v>
      </c>
      <c r="C14" t="s">
        <v>66</v>
      </c>
      <c r="D14" t="s">
        <v>21</v>
      </c>
      <c r="E14" t="s">
        <v>67</v>
      </c>
      <c r="F14" t="s">
        <v>16</v>
      </c>
      <c r="G14" t="s">
        <v>68</v>
      </c>
      <c r="H14" t="s">
        <v>69</v>
      </c>
      <c r="I14">
        <v>2</v>
      </c>
      <c r="J14" s="3">
        <v>0.15</v>
      </c>
      <c r="K14" s="4">
        <v>9930.18</v>
      </c>
      <c r="L14" s="4">
        <v>1258.3699999999999</v>
      </c>
      <c r="M14">
        <f t="shared" si="0"/>
        <v>2025</v>
      </c>
      <c r="N14" t="str">
        <f t="shared" si="1"/>
        <v>Jan</v>
      </c>
      <c r="O14" t="str">
        <f t="shared" si="2"/>
        <v>High</v>
      </c>
      <c r="P14" s="7">
        <f t="shared" si="3"/>
        <v>0.12672177140797045</v>
      </c>
    </row>
    <row r="15" spans="1:16" x14ac:dyDescent="0.3">
      <c r="A15" t="s">
        <v>70</v>
      </c>
      <c r="B15" s="2">
        <v>45667</v>
      </c>
      <c r="C15" t="s">
        <v>32</v>
      </c>
      <c r="D15" t="s">
        <v>14</v>
      </c>
      <c r="E15" t="s">
        <v>54</v>
      </c>
      <c r="F15" t="s">
        <v>28</v>
      </c>
      <c r="G15" t="s">
        <v>71</v>
      </c>
      <c r="H15" t="s">
        <v>72</v>
      </c>
      <c r="I15">
        <v>6</v>
      </c>
      <c r="J15" s="3">
        <v>0.05</v>
      </c>
      <c r="K15" s="4">
        <v>5590.86</v>
      </c>
      <c r="L15" s="4">
        <v>775.97</v>
      </c>
      <c r="M15">
        <f t="shared" si="0"/>
        <v>2025</v>
      </c>
      <c r="N15" t="str">
        <f t="shared" si="1"/>
        <v>Jan</v>
      </c>
      <c r="O15" t="str">
        <f t="shared" si="2"/>
        <v>High</v>
      </c>
      <c r="P15" s="7">
        <f t="shared" si="3"/>
        <v>0.13879260078055972</v>
      </c>
    </row>
    <row r="16" spans="1:16" x14ac:dyDescent="0.3">
      <c r="A16" t="s">
        <v>73</v>
      </c>
      <c r="B16" s="2">
        <v>45668</v>
      </c>
      <c r="C16" t="s">
        <v>61</v>
      </c>
      <c r="D16" t="s">
        <v>33</v>
      </c>
      <c r="E16" t="s">
        <v>34</v>
      </c>
      <c r="F16" t="s">
        <v>28</v>
      </c>
      <c r="G16" t="s">
        <v>74</v>
      </c>
      <c r="H16" t="s">
        <v>75</v>
      </c>
      <c r="I16">
        <v>7</v>
      </c>
      <c r="J16" s="3">
        <v>0.05</v>
      </c>
      <c r="K16" s="4">
        <v>4500.72</v>
      </c>
      <c r="L16" s="4">
        <v>453.15</v>
      </c>
      <c r="M16">
        <f t="shared" si="0"/>
        <v>2025</v>
      </c>
      <c r="N16" t="str">
        <f t="shared" si="1"/>
        <v>Jan</v>
      </c>
      <c r="O16" t="str">
        <f t="shared" si="2"/>
        <v>High</v>
      </c>
      <c r="P16" s="7">
        <f t="shared" si="3"/>
        <v>0.10068389057750758</v>
      </c>
    </row>
    <row r="17" spans="1:16" x14ac:dyDescent="0.3">
      <c r="A17" t="s">
        <v>76</v>
      </c>
      <c r="B17" s="2">
        <v>45669</v>
      </c>
      <c r="C17" t="s">
        <v>77</v>
      </c>
      <c r="D17" t="s">
        <v>21</v>
      </c>
      <c r="E17" t="s">
        <v>22</v>
      </c>
      <c r="F17" t="s">
        <v>23</v>
      </c>
      <c r="G17" t="s">
        <v>58</v>
      </c>
      <c r="H17" t="s">
        <v>78</v>
      </c>
      <c r="I17">
        <v>4</v>
      </c>
      <c r="J17" s="3">
        <v>0.1</v>
      </c>
      <c r="K17" s="4">
        <v>196307.32</v>
      </c>
      <c r="L17" s="4">
        <v>39775.83</v>
      </c>
      <c r="M17">
        <f t="shared" si="0"/>
        <v>2025</v>
      </c>
      <c r="N17" t="str">
        <f t="shared" si="1"/>
        <v>Jan</v>
      </c>
      <c r="O17" t="str">
        <f t="shared" si="2"/>
        <v>High</v>
      </c>
      <c r="P17" s="7">
        <f t="shared" si="3"/>
        <v>0.20262020794741634</v>
      </c>
    </row>
    <row r="18" spans="1:16" x14ac:dyDescent="0.3">
      <c r="A18" t="s">
        <v>79</v>
      </c>
      <c r="B18" s="2">
        <v>45669</v>
      </c>
      <c r="C18" t="s">
        <v>38</v>
      </c>
      <c r="D18" t="s">
        <v>14</v>
      </c>
      <c r="E18" t="s">
        <v>15</v>
      </c>
      <c r="F18" t="s">
        <v>28</v>
      </c>
      <c r="G18" t="s">
        <v>74</v>
      </c>
      <c r="H18" t="s">
        <v>80</v>
      </c>
      <c r="I18">
        <v>1</v>
      </c>
      <c r="J18" s="3">
        <v>0</v>
      </c>
      <c r="K18" s="4">
        <v>2952.64</v>
      </c>
      <c r="L18" s="4">
        <v>265.27999999999997</v>
      </c>
      <c r="M18">
        <f t="shared" si="0"/>
        <v>2025</v>
      </c>
      <c r="N18" t="str">
        <f t="shared" si="1"/>
        <v>Jan</v>
      </c>
      <c r="O18" t="str">
        <f t="shared" si="2"/>
        <v>High</v>
      </c>
      <c r="P18" s="7">
        <f t="shared" si="3"/>
        <v>8.9845020049853688E-2</v>
      </c>
    </row>
    <row r="19" spans="1:16" x14ac:dyDescent="0.3">
      <c r="A19" t="s">
        <v>81</v>
      </c>
      <c r="B19" s="2">
        <v>45670</v>
      </c>
      <c r="C19" t="s">
        <v>82</v>
      </c>
      <c r="D19" t="s">
        <v>14</v>
      </c>
      <c r="E19" t="s">
        <v>15</v>
      </c>
      <c r="F19" t="s">
        <v>16</v>
      </c>
      <c r="G19" t="s">
        <v>68</v>
      </c>
      <c r="H19" t="s">
        <v>83</v>
      </c>
      <c r="I19">
        <v>7</v>
      </c>
      <c r="J19" s="3">
        <v>0.05</v>
      </c>
      <c r="K19" s="4">
        <v>20494.53</v>
      </c>
      <c r="L19" s="4">
        <v>2259.9499999999998</v>
      </c>
      <c r="M19">
        <f t="shared" si="0"/>
        <v>2025</v>
      </c>
      <c r="N19" t="str">
        <f t="shared" si="1"/>
        <v>Jan</v>
      </c>
      <c r="O19" t="str">
        <f t="shared" si="2"/>
        <v>High</v>
      </c>
      <c r="P19" s="7">
        <f t="shared" si="3"/>
        <v>0.11027088691470358</v>
      </c>
    </row>
    <row r="20" spans="1:16" x14ac:dyDescent="0.3">
      <c r="A20" t="s">
        <v>84</v>
      </c>
      <c r="B20" s="2">
        <v>45670</v>
      </c>
      <c r="C20" t="s">
        <v>85</v>
      </c>
      <c r="D20" t="s">
        <v>33</v>
      </c>
      <c r="E20" t="s">
        <v>86</v>
      </c>
      <c r="F20" t="s">
        <v>23</v>
      </c>
      <c r="G20" t="s">
        <v>58</v>
      </c>
      <c r="H20" t="s">
        <v>59</v>
      </c>
      <c r="I20">
        <v>7</v>
      </c>
      <c r="J20" s="3">
        <v>0</v>
      </c>
      <c r="K20" s="4">
        <v>212336.95</v>
      </c>
      <c r="L20" s="4">
        <v>39631.83</v>
      </c>
      <c r="M20">
        <f t="shared" si="0"/>
        <v>2025</v>
      </c>
      <c r="N20" t="str">
        <f t="shared" si="1"/>
        <v>Jan</v>
      </c>
      <c r="O20" t="str">
        <f t="shared" si="2"/>
        <v>High</v>
      </c>
      <c r="P20" s="7">
        <f t="shared" si="3"/>
        <v>0.18664594174494831</v>
      </c>
    </row>
    <row r="21" spans="1:16" x14ac:dyDescent="0.3">
      <c r="A21" t="s">
        <v>87</v>
      </c>
      <c r="B21" s="2">
        <v>45670</v>
      </c>
      <c r="C21" t="s">
        <v>66</v>
      </c>
      <c r="D21" t="s">
        <v>14</v>
      </c>
      <c r="E21" t="s">
        <v>15</v>
      </c>
      <c r="F21" t="s">
        <v>16</v>
      </c>
      <c r="G21" t="s">
        <v>17</v>
      </c>
      <c r="H21" t="s">
        <v>88</v>
      </c>
      <c r="I21">
        <v>5</v>
      </c>
      <c r="J21" s="3">
        <v>0.15</v>
      </c>
      <c r="K21" s="4">
        <v>12281.65</v>
      </c>
      <c r="L21" s="4">
        <v>644.5</v>
      </c>
      <c r="M21">
        <f t="shared" si="0"/>
        <v>2025</v>
      </c>
      <c r="N21" t="str">
        <f t="shared" si="1"/>
        <v>Jan</v>
      </c>
      <c r="O21" t="str">
        <f t="shared" si="2"/>
        <v>High</v>
      </c>
      <c r="P21" s="7">
        <f t="shared" si="3"/>
        <v>5.247666233771521E-2</v>
      </c>
    </row>
    <row r="22" spans="1:16" x14ac:dyDescent="0.3">
      <c r="A22" t="s">
        <v>89</v>
      </c>
      <c r="B22" s="2">
        <v>45671</v>
      </c>
      <c r="C22" t="s">
        <v>27</v>
      </c>
      <c r="D22" t="s">
        <v>14</v>
      </c>
      <c r="E22" t="s">
        <v>54</v>
      </c>
      <c r="F22" t="s">
        <v>23</v>
      </c>
      <c r="G22" t="s">
        <v>58</v>
      </c>
      <c r="H22" t="s">
        <v>90</v>
      </c>
      <c r="I22">
        <v>2</v>
      </c>
      <c r="J22" s="3">
        <v>0</v>
      </c>
      <c r="K22" s="4">
        <v>63934.26</v>
      </c>
      <c r="L22" s="4">
        <v>6629.38</v>
      </c>
      <c r="M22">
        <f t="shared" si="0"/>
        <v>2025</v>
      </c>
      <c r="N22" t="str">
        <f t="shared" si="1"/>
        <v>Jan</v>
      </c>
      <c r="O22" t="str">
        <f t="shared" si="2"/>
        <v>High</v>
      </c>
      <c r="P22" s="7">
        <f t="shared" si="3"/>
        <v>0.10369057215959018</v>
      </c>
    </row>
    <row r="23" spans="1:16" x14ac:dyDescent="0.3">
      <c r="A23" t="s">
        <v>91</v>
      </c>
      <c r="B23" s="2">
        <v>45674</v>
      </c>
      <c r="C23" t="s">
        <v>82</v>
      </c>
      <c r="D23" t="s">
        <v>33</v>
      </c>
      <c r="E23" t="s">
        <v>86</v>
      </c>
      <c r="F23" t="s">
        <v>28</v>
      </c>
      <c r="G23" t="s">
        <v>92</v>
      </c>
      <c r="H23" t="s">
        <v>93</v>
      </c>
      <c r="I23">
        <v>1</v>
      </c>
      <c r="J23" s="3">
        <v>0.05</v>
      </c>
      <c r="K23" s="4">
        <v>4719.87</v>
      </c>
      <c r="L23" s="4">
        <v>646.11</v>
      </c>
      <c r="M23">
        <f t="shared" si="0"/>
        <v>2025</v>
      </c>
      <c r="N23" t="str">
        <f t="shared" si="1"/>
        <v>Jan</v>
      </c>
      <c r="O23" t="str">
        <f t="shared" si="2"/>
        <v>High</v>
      </c>
      <c r="P23" s="7">
        <f t="shared" si="3"/>
        <v>0.13689148218065328</v>
      </c>
    </row>
    <row r="24" spans="1:16" x14ac:dyDescent="0.3">
      <c r="A24" t="s">
        <v>94</v>
      </c>
      <c r="B24" s="2">
        <v>45675</v>
      </c>
      <c r="C24" t="s">
        <v>95</v>
      </c>
      <c r="D24" t="s">
        <v>21</v>
      </c>
      <c r="E24" t="s">
        <v>67</v>
      </c>
      <c r="F24" t="s">
        <v>16</v>
      </c>
      <c r="G24" t="s">
        <v>41</v>
      </c>
      <c r="H24" t="s">
        <v>42</v>
      </c>
      <c r="I24">
        <v>7</v>
      </c>
      <c r="J24" s="3">
        <v>0.1</v>
      </c>
      <c r="K24" s="4">
        <v>27036.87</v>
      </c>
      <c r="L24" s="4">
        <v>3969.11</v>
      </c>
      <c r="M24">
        <f t="shared" si="0"/>
        <v>2025</v>
      </c>
      <c r="N24" t="str">
        <f t="shared" si="1"/>
        <v>Jan</v>
      </c>
      <c r="O24" t="str">
        <f t="shared" si="2"/>
        <v>High</v>
      </c>
      <c r="P24" s="7">
        <f t="shared" si="3"/>
        <v>0.1468036055948784</v>
      </c>
    </row>
    <row r="25" spans="1:16" x14ac:dyDescent="0.3">
      <c r="A25" t="s">
        <v>96</v>
      </c>
      <c r="B25" s="2">
        <v>45675</v>
      </c>
      <c r="C25" t="s">
        <v>38</v>
      </c>
      <c r="D25" t="s">
        <v>14</v>
      </c>
      <c r="E25" t="s">
        <v>97</v>
      </c>
      <c r="F25" t="s">
        <v>28</v>
      </c>
      <c r="G25" t="s">
        <v>29</v>
      </c>
      <c r="H25" t="s">
        <v>98</v>
      </c>
      <c r="I25">
        <v>6</v>
      </c>
      <c r="J25" s="3">
        <v>0</v>
      </c>
      <c r="K25" s="4">
        <v>3056.52</v>
      </c>
      <c r="L25" s="4">
        <v>459.74</v>
      </c>
      <c r="M25">
        <f t="shared" si="0"/>
        <v>2025</v>
      </c>
      <c r="N25" t="str">
        <f t="shared" si="1"/>
        <v>Jan</v>
      </c>
      <c r="O25" t="str">
        <f t="shared" si="2"/>
        <v>High</v>
      </c>
      <c r="P25" s="7">
        <f t="shared" si="3"/>
        <v>0.15041288785939566</v>
      </c>
    </row>
    <row r="26" spans="1:16" x14ac:dyDescent="0.3">
      <c r="A26" t="s">
        <v>99</v>
      </c>
      <c r="B26" s="2">
        <v>45676</v>
      </c>
      <c r="C26" t="s">
        <v>100</v>
      </c>
      <c r="D26" t="s">
        <v>33</v>
      </c>
      <c r="E26" t="s">
        <v>45</v>
      </c>
      <c r="F26" t="s">
        <v>23</v>
      </c>
      <c r="G26" t="s">
        <v>58</v>
      </c>
      <c r="H26" t="s">
        <v>101</v>
      </c>
      <c r="I26">
        <v>7</v>
      </c>
      <c r="J26" s="3">
        <v>0</v>
      </c>
      <c r="K26" s="4">
        <v>233516.22</v>
      </c>
      <c r="L26" s="4">
        <v>44414.81</v>
      </c>
      <c r="M26">
        <f t="shared" si="0"/>
        <v>2025</v>
      </c>
      <c r="N26" t="str">
        <f t="shared" si="1"/>
        <v>Jan</v>
      </c>
      <c r="O26" t="str">
        <f t="shared" si="2"/>
        <v>High</v>
      </c>
      <c r="P26" s="7">
        <f t="shared" si="3"/>
        <v>0.19020010687052058</v>
      </c>
    </row>
    <row r="27" spans="1:16" x14ac:dyDescent="0.3">
      <c r="A27" t="s">
        <v>102</v>
      </c>
      <c r="B27" s="2">
        <v>45677</v>
      </c>
      <c r="C27" t="s">
        <v>77</v>
      </c>
      <c r="D27" t="s">
        <v>21</v>
      </c>
      <c r="E27" t="s">
        <v>22</v>
      </c>
      <c r="F27" t="s">
        <v>28</v>
      </c>
      <c r="G27" t="s">
        <v>74</v>
      </c>
      <c r="H27" t="s">
        <v>80</v>
      </c>
      <c r="I27">
        <v>4</v>
      </c>
      <c r="J27" s="3">
        <v>0.05</v>
      </c>
      <c r="K27" s="4">
        <v>2650.8</v>
      </c>
      <c r="L27" s="4">
        <v>511.66</v>
      </c>
      <c r="M27">
        <f t="shared" si="0"/>
        <v>2025</v>
      </c>
      <c r="N27" t="str">
        <f t="shared" si="1"/>
        <v>Jan</v>
      </c>
      <c r="O27" t="str">
        <f t="shared" si="2"/>
        <v>High</v>
      </c>
      <c r="P27" s="7">
        <f t="shared" si="3"/>
        <v>0.19302097480006036</v>
      </c>
    </row>
    <row r="28" spans="1:16" x14ac:dyDescent="0.3">
      <c r="A28" t="s">
        <v>103</v>
      </c>
      <c r="B28" s="2">
        <v>45677</v>
      </c>
      <c r="C28" t="s">
        <v>104</v>
      </c>
      <c r="D28" t="s">
        <v>21</v>
      </c>
      <c r="E28" t="s">
        <v>105</v>
      </c>
      <c r="F28" t="s">
        <v>23</v>
      </c>
      <c r="G28" t="s">
        <v>58</v>
      </c>
      <c r="H28" t="s">
        <v>101</v>
      </c>
      <c r="I28">
        <v>5</v>
      </c>
      <c r="J28" s="3">
        <v>0</v>
      </c>
      <c r="K28" s="4">
        <v>104715.25</v>
      </c>
      <c r="L28" s="4">
        <v>16140.97</v>
      </c>
      <c r="M28">
        <f t="shared" si="0"/>
        <v>2025</v>
      </c>
      <c r="N28" t="str">
        <f t="shared" si="1"/>
        <v>Jan</v>
      </c>
      <c r="O28" t="str">
        <f t="shared" si="2"/>
        <v>High</v>
      </c>
      <c r="P28" s="7">
        <f t="shared" si="3"/>
        <v>0.15414154098853797</v>
      </c>
    </row>
    <row r="29" spans="1:16" x14ac:dyDescent="0.3">
      <c r="A29" t="s">
        <v>106</v>
      </c>
      <c r="B29" s="2">
        <v>45677</v>
      </c>
      <c r="C29" t="s">
        <v>77</v>
      </c>
      <c r="D29" t="s">
        <v>39</v>
      </c>
      <c r="E29" t="s">
        <v>47</v>
      </c>
      <c r="F29" t="s">
        <v>16</v>
      </c>
      <c r="G29" t="s">
        <v>68</v>
      </c>
      <c r="H29" t="s">
        <v>69</v>
      </c>
      <c r="I29">
        <v>7</v>
      </c>
      <c r="J29" s="3">
        <v>0.2</v>
      </c>
      <c r="K29" s="4">
        <v>73878.14</v>
      </c>
      <c r="L29" s="4">
        <v>8805.93</v>
      </c>
      <c r="M29">
        <f t="shared" si="0"/>
        <v>2025</v>
      </c>
      <c r="N29" t="str">
        <f t="shared" si="1"/>
        <v>Jan</v>
      </c>
      <c r="O29" t="str">
        <f t="shared" si="2"/>
        <v>High</v>
      </c>
      <c r="P29" s="7">
        <f t="shared" si="3"/>
        <v>0.11919533978521929</v>
      </c>
    </row>
    <row r="30" spans="1:16" x14ac:dyDescent="0.3">
      <c r="A30" t="s">
        <v>107</v>
      </c>
      <c r="B30" s="2">
        <v>45677</v>
      </c>
      <c r="C30" t="s">
        <v>100</v>
      </c>
      <c r="D30" t="s">
        <v>21</v>
      </c>
      <c r="E30" t="s">
        <v>67</v>
      </c>
      <c r="F30" t="s">
        <v>28</v>
      </c>
      <c r="G30" t="s">
        <v>29</v>
      </c>
      <c r="H30" t="s">
        <v>30</v>
      </c>
      <c r="I30">
        <v>3</v>
      </c>
      <c r="J30" s="3">
        <v>0.1</v>
      </c>
      <c r="K30" s="4">
        <v>12676.95</v>
      </c>
      <c r="L30" s="4">
        <v>2717.64</v>
      </c>
      <c r="M30">
        <f t="shared" si="0"/>
        <v>2025</v>
      </c>
      <c r="N30" t="str">
        <f t="shared" si="1"/>
        <v>Jan</v>
      </c>
      <c r="O30" t="str">
        <f t="shared" si="2"/>
        <v>High</v>
      </c>
      <c r="P30" s="7">
        <f t="shared" si="3"/>
        <v>0.21437648645770471</v>
      </c>
    </row>
    <row r="31" spans="1:16" x14ac:dyDescent="0.3">
      <c r="A31" t="s">
        <v>108</v>
      </c>
      <c r="B31" s="2">
        <v>45678</v>
      </c>
      <c r="C31" t="s">
        <v>109</v>
      </c>
      <c r="D31" t="s">
        <v>21</v>
      </c>
      <c r="E31" t="s">
        <v>22</v>
      </c>
      <c r="F31" t="s">
        <v>28</v>
      </c>
      <c r="G31" t="s">
        <v>71</v>
      </c>
      <c r="H31" t="s">
        <v>72</v>
      </c>
      <c r="I31">
        <v>3</v>
      </c>
      <c r="J31" s="3">
        <v>0.2</v>
      </c>
      <c r="K31" s="4">
        <v>411.18</v>
      </c>
      <c r="L31" s="4">
        <v>66.88</v>
      </c>
      <c r="M31">
        <f t="shared" si="0"/>
        <v>2025</v>
      </c>
      <c r="N31" t="str">
        <f t="shared" si="1"/>
        <v>Jan</v>
      </c>
      <c r="O31" t="str">
        <f t="shared" si="2"/>
        <v>Low</v>
      </c>
      <c r="P31" s="7">
        <f t="shared" si="3"/>
        <v>0.16265382557517388</v>
      </c>
    </row>
    <row r="32" spans="1:16" x14ac:dyDescent="0.3">
      <c r="A32" t="s">
        <v>110</v>
      </c>
      <c r="B32" s="2">
        <v>45679</v>
      </c>
      <c r="C32" t="s">
        <v>111</v>
      </c>
      <c r="D32" t="s">
        <v>21</v>
      </c>
      <c r="E32" t="s">
        <v>22</v>
      </c>
      <c r="F32" t="s">
        <v>28</v>
      </c>
      <c r="G32" t="s">
        <v>71</v>
      </c>
      <c r="H32" t="s">
        <v>72</v>
      </c>
      <c r="I32">
        <v>3</v>
      </c>
      <c r="J32" s="3">
        <v>0</v>
      </c>
      <c r="K32" s="4">
        <v>5457.03</v>
      </c>
      <c r="L32" s="4">
        <v>741.01</v>
      </c>
      <c r="M32">
        <f t="shared" si="0"/>
        <v>2025</v>
      </c>
      <c r="N32" t="str">
        <f t="shared" si="1"/>
        <v>Jan</v>
      </c>
      <c r="O32" t="str">
        <f t="shared" si="2"/>
        <v>High</v>
      </c>
      <c r="P32" s="7">
        <f t="shared" si="3"/>
        <v>0.13578998099698922</v>
      </c>
    </row>
    <row r="33" spans="1:16" x14ac:dyDescent="0.3">
      <c r="A33" t="s">
        <v>112</v>
      </c>
      <c r="B33" s="2">
        <v>45679</v>
      </c>
      <c r="C33" t="s">
        <v>38</v>
      </c>
      <c r="D33" t="s">
        <v>33</v>
      </c>
      <c r="E33" t="s">
        <v>45</v>
      </c>
      <c r="F33" t="s">
        <v>28</v>
      </c>
      <c r="G33" t="s">
        <v>29</v>
      </c>
      <c r="H33" t="s">
        <v>98</v>
      </c>
      <c r="I33">
        <v>3</v>
      </c>
      <c r="J33" s="3">
        <v>0.05</v>
      </c>
      <c r="K33" s="4">
        <v>13119.12</v>
      </c>
      <c r="L33" s="4">
        <v>1119.77</v>
      </c>
      <c r="M33">
        <f t="shared" si="0"/>
        <v>2025</v>
      </c>
      <c r="N33" t="str">
        <f t="shared" si="1"/>
        <v>Jan</v>
      </c>
      <c r="O33" t="str">
        <f t="shared" si="2"/>
        <v>High</v>
      </c>
      <c r="P33" s="7">
        <f t="shared" si="3"/>
        <v>8.5354048137375058E-2</v>
      </c>
    </row>
    <row r="34" spans="1:16" x14ac:dyDescent="0.3">
      <c r="A34" t="s">
        <v>113</v>
      </c>
      <c r="B34" s="2">
        <v>45681</v>
      </c>
      <c r="C34" t="s">
        <v>38</v>
      </c>
      <c r="D34" t="s">
        <v>14</v>
      </c>
      <c r="E34" t="s">
        <v>114</v>
      </c>
      <c r="F34" t="s">
        <v>23</v>
      </c>
      <c r="G34" t="s">
        <v>35</v>
      </c>
      <c r="H34" t="s">
        <v>36</v>
      </c>
      <c r="I34">
        <v>3</v>
      </c>
      <c r="J34" s="3">
        <v>0.2</v>
      </c>
      <c r="K34" s="4">
        <v>22742.67</v>
      </c>
      <c r="L34" s="4">
        <v>234.69</v>
      </c>
      <c r="M34">
        <f t="shared" si="0"/>
        <v>2025</v>
      </c>
      <c r="N34" t="str">
        <f t="shared" si="1"/>
        <v>Jan</v>
      </c>
      <c r="O34" t="str">
        <f t="shared" si="2"/>
        <v>High</v>
      </c>
      <c r="P34" s="7">
        <f t="shared" si="3"/>
        <v>1.031936883400234E-2</v>
      </c>
    </row>
    <row r="35" spans="1:16" x14ac:dyDescent="0.3">
      <c r="A35" t="s">
        <v>115</v>
      </c>
      <c r="B35" s="2">
        <v>45682</v>
      </c>
      <c r="C35" t="s">
        <v>100</v>
      </c>
      <c r="D35" t="s">
        <v>33</v>
      </c>
      <c r="E35" t="s">
        <v>86</v>
      </c>
      <c r="F35" t="s">
        <v>23</v>
      </c>
      <c r="G35" t="s">
        <v>58</v>
      </c>
      <c r="H35" t="s">
        <v>78</v>
      </c>
      <c r="I35">
        <v>6</v>
      </c>
      <c r="J35" s="3">
        <v>0.05</v>
      </c>
      <c r="K35" s="4">
        <v>107041.32</v>
      </c>
      <c r="L35" s="4">
        <v>15439.88</v>
      </c>
      <c r="M35">
        <f t="shared" si="0"/>
        <v>2025</v>
      </c>
      <c r="N35" t="str">
        <f t="shared" si="1"/>
        <v>Jan</v>
      </c>
      <c r="O35" t="str">
        <f t="shared" si="2"/>
        <v>High</v>
      </c>
      <c r="P35" s="7">
        <f t="shared" si="3"/>
        <v>0.14424224215471182</v>
      </c>
    </row>
    <row r="36" spans="1:16" x14ac:dyDescent="0.3">
      <c r="A36" t="s">
        <v>116</v>
      </c>
      <c r="B36" s="2">
        <v>45682</v>
      </c>
      <c r="C36" t="s">
        <v>95</v>
      </c>
      <c r="D36" t="s">
        <v>21</v>
      </c>
      <c r="E36" t="s">
        <v>22</v>
      </c>
      <c r="F36" t="s">
        <v>28</v>
      </c>
      <c r="G36" t="s">
        <v>74</v>
      </c>
      <c r="H36" t="s">
        <v>75</v>
      </c>
      <c r="I36">
        <v>1</v>
      </c>
      <c r="J36" s="3">
        <v>0</v>
      </c>
      <c r="K36" s="4">
        <v>2448.84</v>
      </c>
      <c r="L36" s="4">
        <v>580.04999999999995</v>
      </c>
      <c r="M36">
        <f t="shared" si="0"/>
        <v>2025</v>
      </c>
      <c r="N36" t="str">
        <f t="shared" si="1"/>
        <v>Jan</v>
      </c>
      <c r="O36" t="str">
        <f t="shared" si="2"/>
        <v>High</v>
      </c>
      <c r="P36" s="7">
        <f t="shared" si="3"/>
        <v>0.23686725143333168</v>
      </c>
    </row>
    <row r="37" spans="1:16" x14ac:dyDescent="0.3">
      <c r="A37" t="s">
        <v>117</v>
      </c>
      <c r="B37" s="2">
        <v>45682</v>
      </c>
      <c r="C37" t="s">
        <v>85</v>
      </c>
      <c r="D37" t="s">
        <v>21</v>
      </c>
      <c r="E37" t="s">
        <v>57</v>
      </c>
      <c r="F37" t="s">
        <v>23</v>
      </c>
      <c r="G37" t="s">
        <v>48</v>
      </c>
      <c r="H37" t="s">
        <v>118</v>
      </c>
      <c r="I37">
        <v>5</v>
      </c>
      <c r="J37" s="3">
        <v>0.2</v>
      </c>
      <c r="K37" s="4">
        <v>33953.449999999997</v>
      </c>
      <c r="L37" s="4">
        <v>488.52</v>
      </c>
      <c r="M37">
        <f t="shared" si="0"/>
        <v>2025</v>
      </c>
      <c r="N37" t="str">
        <f t="shared" si="1"/>
        <v>Jan</v>
      </c>
      <c r="O37" t="str">
        <f t="shared" si="2"/>
        <v>High</v>
      </c>
      <c r="P37" s="7">
        <f t="shared" si="3"/>
        <v>1.4387934068555626E-2</v>
      </c>
    </row>
    <row r="38" spans="1:16" x14ac:dyDescent="0.3">
      <c r="A38" t="s">
        <v>119</v>
      </c>
      <c r="B38" s="2">
        <v>45682</v>
      </c>
      <c r="C38" t="s">
        <v>85</v>
      </c>
      <c r="D38" t="s">
        <v>39</v>
      </c>
      <c r="E38" t="s">
        <v>52</v>
      </c>
      <c r="F38" t="s">
        <v>23</v>
      </c>
      <c r="G38" t="s">
        <v>48</v>
      </c>
      <c r="H38" t="s">
        <v>118</v>
      </c>
      <c r="I38">
        <v>4</v>
      </c>
      <c r="J38" s="3">
        <v>0.2</v>
      </c>
      <c r="K38" s="4">
        <v>126689.36</v>
      </c>
      <c r="L38" s="4">
        <v>13821.48</v>
      </c>
      <c r="M38">
        <f t="shared" si="0"/>
        <v>2025</v>
      </c>
      <c r="N38" t="str">
        <f t="shared" si="1"/>
        <v>Jan</v>
      </c>
      <c r="O38" t="str">
        <f t="shared" si="2"/>
        <v>High</v>
      </c>
      <c r="P38" s="7">
        <f t="shared" si="3"/>
        <v>0.10909740170760986</v>
      </c>
    </row>
    <row r="39" spans="1:16" x14ac:dyDescent="0.3">
      <c r="A39" t="s">
        <v>120</v>
      </c>
      <c r="B39" s="2">
        <v>45683</v>
      </c>
      <c r="C39" t="s">
        <v>13</v>
      </c>
      <c r="D39" t="s">
        <v>33</v>
      </c>
      <c r="E39" t="s">
        <v>45</v>
      </c>
      <c r="F39" t="s">
        <v>28</v>
      </c>
      <c r="G39" t="s">
        <v>71</v>
      </c>
      <c r="H39" t="s">
        <v>121</v>
      </c>
      <c r="I39">
        <v>2</v>
      </c>
      <c r="J39" s="3">
        <v>0.1</v>
      </c>
      <c r="K39" s="4">
        <v>3288.44</v>
      </c>
      <c r="L39" s="4">
        <v>230.14</v>
      </c>
      <c r="M39">
        <f t="shared" si="0"/>
        <v>2025</v>
      </c>
      <c r="N39" t="str">
        <f t="shared" si="1"/>
        <v>Jan</v>
      </c>
      <c r="O39" t="str">
        <f t="shared" si="2"/>
        <v>High</v>
      </c>
      <c r="P39" s="7">
        <f t="shared" si="3"/>
        <v>6.9984551945603379E-2</v>
      </c>
    </row>
    <row r="40" spans="1:16" x14ac:dyDescent="0.3">
      <c r="A40" t="s">
        <v>122</v>
      </c>
      <c r="B40" s="2">
        <v>45684</v>
      </c>
      <c r="C40" t="s">
        <v>38</v>
      </c>
      <c r="D40" t="s">
        <v>14</v>
      </c>
      <c r="E40" t="s">
        <v>114</v>
      </c>
      <c r="F40" t="s">
        <v>28</v>
      </c>
      <c r="G40" t="s">
        <v>29</v>
      </c>
      <c r="H40" t="s">
        <v>30</v>
      </c>
      <c r="I40">
        <v>5</v>
      </c>
      <c r="J40" s="3">
        <v>0</v>
      </c>
      <c r="K40" s="4">
        <v>14789.8</v>
      </c>
      <c r="L40" s="4">
        <v>2563.4699999999998</v>
      </c>
      <c r="M40">
        <f t="shared" si="0"/>
        <v>2025</v>
      </c>
      <c r="N40" t="str">
        <f t="shared" si="1"/>
        <v>Jan</v>
      </c>
      <c r="O40" t="str">
        <f t="shared" si="2"/>
        <v>High</v>
      </c>
      <c r="P40" s="7">
        <f t="shared" si="3"/>
        <v>0.1733268874494584</v>
      </c>
    </row>
    <row r="41" spans="1:16" x14ac:dyDescent="0.3">
      <c r="A41" t="s">
        <v>123</v>
      </c>
      <c r="B41" s="2">
        <v>45684</v>
      </c>
      <c r="C41" t="s">
        <v>32</v>
      </c>
      <c r="D41" t="s">
        <v>21</v>
      </c>
      <c r="E41" t="s">
        <v>105</v>
      </c>
      <c r="F41" t="s">
        <v>23</v>
      </c>
      <c r="G41" t="s">
        <v>48</v>
      </c>
      <c r="H41" t="s">
        <v>124</v>
      </c>
      <c r="I41">
        <v>1</v>
      </c>
      <c r="J41" s="3">
        <v>0.15</v>
      </c>
      <c r="K41" s="4">
        <v>48191.24</v>
      </c>
      <c r="L41" s="4">
        <v>7316.2</v>
      </c>
      <c r="M41">
        <f t="shared" si="0"/>
        <v>2025</v>
      </c>
      <c r="N41" t="str">
        <f t="shared" si="1"/>
        <v>Jan</v>
      </c>
      <c r="O41" t="str">
        <f t="shared" si="2"/>
        <v>High</v>
      </c>
      <c r="P41" s="7">
        <f t="shared" si="3"/>
        <v>0.15181597319346835</v>
      </c>
    </row>
    <row r="42" spans="1:16" x14ac:dyDescent="0.3">
      <c r="A42" t="s">
        <v>125</v>
      </c>
      <c r="B42" s="2">
        <v>45685</v>
      </c>
      <c r="C42" t="s">
        <v>109</v>
      </c>
      <c r="D42" t="s">
        <v>39</v>
      </c>
      <c r="E42" t="s">
        <v>40</v>
      </c>
      <c r="F42" t="s">
        <v>23</v>
      </c>
      <c r="G42" t="s">
        <v>48</v>
      </c>
      <c r="H42" t="s">
        <v>118</v>
      </c>
      <c r="I42">
        <v>6</v>
      </c>
      <c r="J42" s="3">
        <v>0.2</v>
      </c>
      <c r="K42" s="4">
        <v>141340.26</v>
      </c>
      <c r="L42" s="4">
        <v>2911.33</v>
      </c>
      <c r="M42">
        <f t="shared" si="0"/>
        <v>2025</v>
      </c>
      <c r="N42" t="str">
        <f t="shared" si="1"/>
        <v>Jan</v>
      </c>
      <c r="O42" t="str">
        <f t="shared" si="2"/>
        <v>High</v>
      </c>
      <c r="P42" s="7">
        <f t="shared" si="3"/>
        <v>2.0598023521394396E-2</v>
      </c>
    </row>
    <row r="43" spans="1:16" x14ac:dyDescent="0.3">
      <c r="A43" t="s">
        <v>126</v>
      </c>
      <c r="B43" s="2">
        <v>45685</v>
      </c>
      <c r="C43" t="s">
        <v>61</v>
      </c>
      <c r="D43" t="s">
        <v>39</v>
      </c>
      <c r="E43" t="s">
        <v>40</v>
      </c>
      <c r="F43" t="s">
        <v>16</v>
      </c>
      <c r="G43" t="s">
        <v>17</v>
      </c>
      <c r="H43" t="s">
        <v>18</v>
      </c>
      <c r="I43">
        <v>7</v>
      </c>
      <c r="J43" s="3">
        <v>0.05</v>
      </c>
      <c r="K43" s="4">
        <v>29427.37</v>
      </c>
      <c r="L43" s="4">
        <v>4517.3100000000004</v>
      </c>
      <c r="M43">
        <f t="shared" si="0"/>
        <v>2025</v>
      </c>
      <c r="N43" t="str">
        <f t="shared" si="1"/>
        <v>Jan</v>
      </c>
      <c r="O43" t="str">
        <f t="shared" si="2"/>
        <v>High</v>
      </c>
      <c r="P43" s="7">
        <f t="shared" si="3"/>
        <v>0.15350709220701683</v>
      </c>
    </row>
    <row r="44" spans="1:16" x14ac:dyDescent="0.3">
      <c r="A44" t="s">
        <v>127</v>
      </c>
      <c r="B44" s="2">
        <v>45685</v>
      </c>
      <c r="C44" t="s">
        <v>95</v>
      </c>
      <c r="D44" t="s">
        <v>39</v>
      </c>
      <c r="E44" t="s">
        <v>128</v>
      </c>
      <c r="F44" t="s">
        <v>23</v>
      </c>
      <c r="G44" t="s">
        <v>24</v>
      </c>
      <c r="H44" t="s">
        <v>129</v>
      </c>
      <c r="I44">
        <v>3</v>
      </c>
      <c r="J44" s="3">
        <v>0</v>
      </c>
      <c r="K44" s="4">
        <v>99334.32</v>
      </c>
      <c r="L44" s="4">
        <v>21008.26</v>
      </c>
      <c r="M44">
        <f t="shared" si="0"/>
        <v>2025</v>
      </c>
      <c r="N44" t="str">
        <f t="shared" si="1"/>
        <v>Jan</v>
      </c>
      <c r="O44" t="str">
        <f t="shared" si="2"/>
        <v>High</v>
      </c>
      <c r="P44" s="7">
        <f t="shared" si="3"/>
        <v>0.21149044962506411</v>
      </c>
    </row>
    <row r="45" spans="1:16" x14ac:dyDescent="0.3">
      <c r="A45" t="s">
        <v>130</v>
      </c>
      <c r="B45" s="2">
        <v>45686</v>
      </c>
      <c r="C45" t="s">
        <v>77</v>
      </c>
      <c r="D45" t="s">
        <v>14</v>
      </c>
      <c r="E45" t="s">
        <v>54</v>
      </c>
      <c r="F45" t="s">
        <v>28</v>
      </c>
      <c r="G45" t="s">
        <v>71</v>
      </c>
      <c r="H45" t="s">
        <v>121</v>
      </c>
      <c r="I45">
        <v>5</v>
      </c>
      <c r="J45" s="3">
        <v>0.15</v>
      </c>
      <c r="K45" s="4">
        <v>1421.1</v>
      </c>
      <c r="L45" s="4">
        <v>190.68</v>
      </c>
      <c r="M45">
        <f t="shared" si="0"/>
        <v>2025</v>
      </c>
      <c r="N45" t="str">
        <f t="shared" si="1"/>
        <v>Jan</v>
      </c>
      <c r="O45" t="str">
        <f t="shared" si="2"/>
        <v>High</v>
      </c>
      <c r="P45" s="7">
        <f t="shared" si="3"/>
        <v>0.13417774963056789</v>
      </c>
    </row>
    <row r="46" spans="1:16" x14ac:dyDescent="0.3">
      <c r="A46" t="s">
        <v>131</v>
      </c>
      <c r="B46" s="2">
        <v>45687</v>
      </c>
      <c r="C46" t="s">
        <v>109</v>
      </c>
      <c r="D46" t="s">
        <v>21</v>
      </c>
      <c r="E46" t="s">
        <v>67</v>
      </c>
      <c r="F46" t="s">
        <v>23</v>
      </c>
      <c r="G46" t="s">
        <v>24</v>
      </c>
      <c r="H46" t="s">
        <v>132</v>
      </c>
      <c r="I46">
        <v>2</v>
      </c>
      <c r="J46" s="3">
        <v>0.2</v>
      </c>
      <c r="K46" s="4">
        <v>86456.58</v>
      </c>
      <c r="L46" s="4">
        <v>12570.8</v>
      </c>
      <c r="M46">
        <f t="shared" si="0"/>
        <v>2025</v>
      </c>
      <c r="N46" t="str">
        <f t="shared" si="1"/>
        <v>Jan</v>
      </c>
      <c r="O46" t="str">
        <f t="shared" si="2"/>
        <v>High</v>
      </c>
      <c r="P46" s="7">
        <f t="shared" si="3"/>
        <v>0.14540015346431698</v>
      </c>
    </row>
    <row r="47" spans="1:16" x14ac:dyDescent="0.3">
      <c r="A47" t="s">
        <v>133</v>
      </c>
      <c r="B47" s="2">
        <v>45688</v>
      </c>
      <c r="C47" t="s">
        <v>109</v>
      </c>
      <c r="D47" t="s">
        <v>39</v>
      </c>
      <c r="E47" t="s">
        <v>47</v>
      </c>
      <c r="F47" t="s">
        <v>28</v>
      </c>
      <c r="G47" t="s">
        <v>29</v>
      </c>
      <c r="H47" t="s">
        <v>30</v>
      </c>
      <c r="I47">
        <v>2</v>
      </c>
      <c r="J47" s="3">
        <v>0.1</v>
      </c>
      <c r="K47" s="4">
        <v>1462.92</v>
      </c>
      <c r="L47" s="4">
        <v>122.69</v>
      </c>
      <c r="M47">
        <f t="shared" si="0"/>
        <v>2025</v>
      </c>
      <c r="N47" t="str">
        <f t="shared" si="1"/>
        <v>Jan</v>
      </c>
      <c r="O47" t="str">
        <f t="shared" si="2"/>
        <v>High</v>
      </c>
      <c r="P47" s="7">
        <f t="shared" si="3"/>
        <v>8.3866513548245966E-2</v>
      </c>
    </row>
    <row r="48" spans="1:16" x14ac:dyDescent="0.3">
      <c r="A48" t="s">
        <v>134</v>
      </c>
      <c r="B48" s="2">
        <v>45688</v>
      </c>
      <c r="C48" t="s">
        <v>135</v>
      </c>
      <c r="D48" t="s">
        <v>33</v>
      </c>
      <c r="E48" t="s">
        <v>45</v>
      </c>
      <c r="F48" t="s">
        <v>28</v>
      </c>
      <c r="G48" t="s">
        <v>74</v>
      </c>
      <c r="H48" t="s">
        <v>80</v>
      </c>
      <c r="I48">
        <v>4</v>
      </c>
      <c r="J48" s="3">
        <v>0.15</v>
      </c>
      <c r="K48" s="4">
        <v>9014.44</v>
      </c>
      <c r="L48" s="4">
        <v>1552.7</v>
      </c>
      <c r="M48">
        <f t="shared" si="0"/>
        <v>2025</v>
      </c>
      <c r="N48" t="str">
        <f t="shared" si="1"/>
        <v>Jan</v>
      </c>
      <c r="O48" t="str">
        <f t="shared" si="2"/>
        <v>High</v>
      </c>
      <c r="P48" s="7">
        <f t="shared" si="3"/>
        <v>0.17224586330376596</v>
      </c>
    </row>
    <row r="49" spans="1:16" x14ac:dyDescent="0.3">
      <c r="A49" t="s">
        <v>136</v>
      </c>
      <c r="B49" s="2">
        <v>45688</v>
      </c>
      <c r="C49" t="s">
        <v>44</v>
      </c>
      <c r="D49" t="s">
        <v>33</v>
      </c>
      <c r="E49" t="s">
        <v>86</v>
      </c>
      <c r="F49" t="s">
        <v>16</v>
      </c>
      <c r="G49" t="s">
        <v>62</v>
      </c>
      <c r="H49" t="s">
        <v>63</v>
      </c>
      <c r="I49">
        <v>1</v>
      </c>
      <c r="J49" s="3">
        <v>0.15</v>
      </c>
      <c r="K49" s="4">
        <v>11501.07</v>
      </c>
      <c r="L49" s="4">
        <v>403.47</v>
      </c>
      <c r="M49">
        <f t="shared" si="0"/>
        <v>2025</v>
      </c>
      <c r="N49" t="str">
        <f t="shared" si="1"/>
        <v>Jan</v>
      </c>
      <c r="O49" t="str">
        <f t="shared" si="2"/>
        <v>High</v>
      </c>
      <c r="P49" s="7">
        <f t="shared" si="3"/>
        <v>3.5081083760032765E-2</v>
      </c>
    </row>
    <row r="50" spans="1:16" x14ac:dyDescent="0.3">
      <c r="A50" t="s">
        <v>137</v>
      </c>
      <c r="B50" s="2">
        <v>45689</v>
      </c>
      <c r="C50" t="s">
        <v>138</v>
      </c>
      <c r="D50" t="s">
        <v>39</v>
      </c>
      <c r="E50" t="s">
        <v>52</v>
      </c>
      <c r="F50" t="s">
        <v>28</v>
      </c>
      <c r="G50" t="s">
        <v>92</v>
      </c>
      <c r="H50" t="s">
        <v>93</v>
      </c>
      <c r="I50">
        <v>5</v>
      </c>
      <c r="J50" s="3">
        <v>0.15</v>
      </c>
      <c r="K50" s="4">
        <v>4535.3</v>
      </c>
      <c r="L50" s="4">
        <v>708.18</v>
      </c>
      <c r="M50">
        <f t="shared" si="0"/>
        <v>2025</v>
      </c>
      <c r="N50" t="str">
        <f t="shared" si="1"/>
        <v>Feb</v>
      </c>
      <c r="O50" t="str">
        <f t="shared" si="2"/>
        <v>High</v>
      </c>
      <c r="P50" s="7">
        <f t="shared" si="3"/>
        <v>0.15614843560514188</v>
      </c>
    </row>
    <row r="51" spans="1:16" x14ac:dyDescent="0.3">
      <c r="A51" t="s">
        <v>139</v>
      </c>
      <c r="B51" s="2">
        <v>45689</v>
      </c>
      <c r="C51" t="s">
        <v>66</v>
      </c>
      <c r="D51" t="s">
        <v>33</v>
      </c>
      <c r="E51" t="s">
        <v>140</v>
      </c>
      <c r="F51" t="s">
        <v>23</v>
      </c>
      <c r="G51" t="s">
        <v>58</v>
      </c>
      <c r="H51" t="s">
        <v>78</v>
      </c>
      <c r="I51">
        <v>2</v>
      </c>
      <c r="J51" s="3">
        <v>0.1</v>
      </c>
      <c r="K51" s="4">
        <v>3180.48</v>
      </c>
      <c r="L51" s="4">
        <v>596.75</v>
      </c>
      <c r="M51">
        <f t="shared" si="0"/>
        <v>2025</v>
      </c>
      <c r="N51" t="str">
        <f t="shared" si="1"/>
        <v>Feb</v>
      </c>
      <c r="O51" t="str">
        <f t="shared" si="2"/>
        <v>High</v>
      </c>
      <c r="P51" s="7">
        <f t="shared" si="3"/>
        <v>0.18762891135929169</v>
      </c>
    </row>
    <row r="52" spans="1:16" x14ac:dyDescent="0.3">
      <c r="A52" t="s">
        <v>141</v>
      </c>
      <c r="B52" s="2">
        <v>45692</v>
      </c>
      <c r="C52" t="s">
        <v>38</v>
      </c>
      <c r="D52" t="s">
        <v>33</v>
      </c>
      <c r="E52" t="s">
        <v>45</v>
      </c>
      <c r="F52" t="s">
        <v>23</v>
      </c>
      <c r="G52" t="s">
        <v>48</v>
      </c>
      <c r="H52" t="s">
        <v>124</v>
      </c>
      <c r="I52">
        <v>7</v>
      </c>
      <c r="J52" s="3">
        <v>0.15</v>
      </c>
      <c r="K52" s="4">
        <v>75712.350000000006</v>
      </c>
      <c r="L52" s="4">
        <v>4324.1499999999996</v>
      </c>
      <c r="M52">
        <f t="shared" si="0"/>
        <v>2025</v>
      </c>
      <c r="N52" t="str">
        <f t="shared" si="1"/>
        <v>Feb</v>
      </c>
      <c r="O52" t="str">
        <f t="shared" si="2"/>
        <v>High</v>
      </c>
      <c r="P52" s="7">
        <f t="shared" si="3"/>
        <v>5.7112875244263311E-2</v>
      </c>
    </row>
    <row r="53" spans="1:16" x14ac:dyDescent="0.3">
      <c r="A53" t="s">
        <v>142</v>
      </c>
      <c r="B53" s="2">
        <v>45692</v>
      </c>
      <c r="C53" t="s">
        <v>143</v>
      </c>
      <c r="D53" t="s">
        <v>33</v>
      </c>
      <c r="E53" t="s">
        <v>34</v>
      </c>
      <c r="F53" t="s">
        <v>28</v>
      </c>
      <c r="G53" t="s">
        <v>29</v>
      </c>
      <c r="H53" t="s">
        <v>98</v>
      </c>
      <c r="I53">
        <v>6</v>
      </c>
      <c r="J53" s="3">
        <v>0.2</v>
      </c>
      <c r="K53" s="4">
        <v>2013.96</v>
      </c>
      <c r="L53" s="4">
        <v>67.989999999999995</v>
      </c>
      <c r="M53">
        <f t="shared" si="0"/>
        <v>2025</v>
      </c>
      <c r="N53" t="str">
        <f t="shared" si="1"/>
        <v>Feb</v>
      </c>
      <c r="O53" t="str">
        <f t="shared" si="2"/>
        <v>High</v>
      </c>
      <c r="P53" s="7">
        <f t="shared" si="3"/>
        <v>3.3759359669506842E-2</v>
      </c>
    </row>
    <row r="54" spans="1:16" x14ac:dyDescent="0.3">
      <c r="A54" t="s">
        <v>144</v>
      </c>
      <c r="B54" s="2">
        <v>45693</v>
      </c>
      <c r="C54" t="s">
        <v>104</v>
      </c>
      <c r="D54" t="s">
        <v>39</v>
      </c>
      <c r="E54" t="s">
        <v>128</v>
      </c>
      <c r="F54" t="s">
        <v>23</v>
      </c>
      <c r="G54" t="s">
        <v>48</v>
      </c>
      <c r="H54" t="s">
        <v>118</v>
      </c>
      <c r="I54">
        <v>5</v>
      </c>
      <c r="J54" s="3">
        <v>0</v>
      </c>
      <c r="K54" s="4">
        <v>160200.15</v>
      </c>
      <c r="L54" s="4">
        <v>17458.810000000001</v>
      </c>
      <c r="M54">
        <f t="shared" si="0"/>
        <v>2025</v>
      </c>
      <c r="N54" t="str">
        <f t="shared" si="1"/>
        <v>Feb</v>
      </c>
      <c r="O54" t="str">
        <f t="shared" si="2"/>
        <v>High</v>
      </c>
      <c r="P54" s="7">
        <f t="shared" si="3"/>
        <v>0.10898123378785851</v>
      </c>
    </row>
    <row r="55" spans="1:16" x14ac:dyDescent="0.3">
      <c r="A55" t="s">
        <v>145</v>
      </c>
      <c r="B55" s="2">
        <v>45694</v>
      </c>
      <c r="C55" t="s">
        <v>109</v>
      </c>
      <c r="D55" t="s">
        <v>21</v>
      </c>
      <c r="E55" t="s">
        <v>57</v>
      </c>
      <c r="F55" t="s">
        <v>16</v>
      </c>
      <c r="G55" t="s">
        <v>62</v>
      </c>
      <c r="H55" t="s">
        <v>63</v>
      </c>
      <c r="I55">
        <v>1</v>
      </c>
      <c r="J55" s="3">
        <v>0.1</v>
      </c>
      <c r="K55" s="4">
        <v>3707.02</v>
      </c>
      <c r="L55" s="4">
        <v>624.30999999999995</v>
      </c>
      <c r="M55">
        <f t="shared" si="0"/>
        <v>2025</v>
      </c>
      <c r="N55" t="str">
        <f t="shared" si="1"/>
        <v>Feb</v>
      </c>
      <c r="O55" t="str">
        <f t="shared" si="2"/>
        <v>High</v>
      </c>
      <c r="P55" s="7">
        <f t="shared" si="3"/>
        <v>0.16841290308657628</v>
      </c>
    </row>
    <row r="56" spans="1:16" x14ac:dyDescent="0.3">
      <c r="A56" t="s">
        <v>146</v>
      </c>
      <c r="B56" s="2">
        <v>45695</v>
      </c>
      <c r="C56" t="s">
        <v>147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>
        <v>5</v>
      </c>
      <c r="J56" s="3">
        <v>0.05</v>
      </c>
      <c r="K56" s="4">
        <v>21341</v>
      </c>
      <c r="L56" s="4">
        <v>4753.29</v>
      </c>
      <c r="M56">
        <f t="shared" si="0"/>
        <v>2025</v>
      </c>
      <c r="N56" t="str">
        <f t="shared" si="1"/>
        <v>Feb</v>
      </c>
      <c r="O56" t="str">
        <f t="shared" si="2"/>
        <v>High</v>
      </c>
      <c r="P56" s="7">
        <f t="shared" si="3"/>
        <v>0.22273042500351437</v>
      </c>
    </row>
    <row r="57" spans="1:16" x14ac:dyDescent="0.3">
      <c r="A57" t="s">
        <v>148</v>
      </c>
      <c r="B57" s="2">
        <v>45696</v>
      </c>
      <c r="C57" t="s">
        <v>32</v>
      </c>
      <c r="D57" t="s">
        <v>21</v>
      </c>
      <c r="E57" t="s">
        <v>22</v>
      </c>
      <c r="F57" t="s">
        <v>16</v>
      </c>
      <c r="G57" t="s">
        <v>17</v>
      </c>
      <c r="H57" t="s">
        <v>88</v>
      </c>
      <c r="I57">
        <v>4</v>
      </c>
      <c r="J57" s="3">
        <v>0.2</v>
      </c>
      <c r="K57" s="4">
        <v>31342.36</v>
      </c>
      <c r="L57" s="4">
        <v>5121.88</v>
      </c>
      <c r="M57">
        <f t="shared" si="0"/>
        <v>2025</v>
      </c>
      <c r="N57" t="str">
        <f t="shared" si="1"/>
        <v>Feb</v>
      </c>
      <c r="O57" t="str">
        <f t="shared" si="2"/>
        <v>High</v>
      </c>
      <c r="P57" s="7">
        <f t="shared" si="3"/>
        <v>0.16341717726425195</v>
      </c>
    </row>
    <row r="58" spans="1:16" x14ac:dyDescent="0.3">
      <c r="A58" t="s">
        <v>149</v>
      </c>
      <c r="B58" s="2">
        <v>45696</v>
      </c>
      <c r="C58" t="s">
        <v>150</v>
      </c>
      <c r="D58" t="s">
        <v>21</v>
      </c>
      <c r="E58" t="s">
        <v>57</v>
      </c>
      <c r="F58" t="s">
        <v>28</v>
      </c>
      <c r="G58" t="s">
        <v>71</v>
      </c>
      <c r="H58" t="s">
        <v>72</v>
      </c>
      <c r="I58">
        <v>7</v>
      </c>
      <c r="J58" s="3">
        <v>0.1</v>
      </c>
      <c r="K58" s="4">
        <v>29029.07</v>
      </c>
      <c r="L58" s="4">
        <v>2395.79</v>
      </c>
      <c r="M58">
        <f t="shared" si="0"/>
        <v>2025</v>
      </c>
      <c r="N58" t="str">
        <f t="shared" si="1"/>
        <v>Feb</v>
      </c>
      <c r="O58" t="str">
        <f t="shared" si="2"/>
        <v>High</v>
      </c>
      <c r="P58" s="7">
        <f t="shared" si="3"/>
        <v>8.2530718345437862E-2</v>
      </c>
    </row>
    <row r="59" spans="1:16" x14ac:dyDescent="0.3">
      <c r="A59" t="s">
        <v>151</v>
      </c>
      <c r="B59" s="2">
        <v>45696</v>
      </c>
      <c r="C59" t="s">
        <v>27</v>
      </c>
      <c r="D59" t="s">
        <v>33</v>
      </c>
      <c r="E59" t="s">
        <v>140</v>
      </c>
      <c r="F59" t="s">
        <v>23</v>
      </c>
      <c r="G59" t="s">
        <v>48</v>
      </c>
      <c r="H59" t="s">
        <v>49</v>
      </c>
      <c r="I59">
        <v>3</v>
      </c>
      <c r="J59" s="3">
        <v>0.05</v>
      </c>
      <c r="K59" s="4">
        <v>11122.26</v>
      </c>
      <c r="L59" s="4">
        <v>1925.6</v>
      </c>
      <c r="M59">
        <f t="shared" si="0"/>
        <v>2025</v>
      </c>
      <c r="N59" t="str">
        <f t="shared" si="1"/>
        <v>Feb</v>
      </c>
      <c r="O59" t="str">
        <f t="shared" si="2"/>
        <v>High</v>
      </c>
      <c r="P59" s="7">
        <f t="shared" si="3"/>
        <v>0.17313028107596837</v>
      </c>
    </row>
    <row r="60" spans="1:16" x14ac:dyDescent="0.3">
      <c r="A60" t="s">
        <v>152</v>
      </c>
      <c r="B60" s="2">
        <v>45697</v>
      </c>
      <c r="C60" t="s">
        <v>85</v>
      </c>
      <c r="D60" t="s">
        <v>33</v>
      </c>
      <c r="E60" t="s">
        <v>34</v>
      </c>
      <c r="F60" t="s">
        <v>16</v>
      </c>
      <c r="G60" t="s">
        <v>17</v>
      </c>
      <c r="H60" t="s">
        <v>153</v>
      </c>
      <c r="I60">
        <v>6</v>
      </c>
      <c r="J60" s="3">
        <v>0.05</v>
      </c>
      <c r="K60" s="4">
        <v>43876.14</v>
      </c>
      <c r="L60" s="4">
        <v>7003.69</v>
      </c>
      <c r="M60">
        <f t="shared" si="0"/>
        <v>2025</v>
      </c>
      <c r="N60" t="str">
        <f t="shared" si="1"/>
        <v>Feb</v>
      </c>
      <c r="O60" t="str">
        <f t="shared" si="2"/>
        <v>High</v>
      </c>
      <c r="P60" s="7">
        <f t="shared" si="3"/>
        <v>0.15962411460989959</v>
      </c>
    </row>
    <row r="61" spans="1:16" x14ac:dyDescent="0.3">
      <c r="A61" t="s">
        <v>154</v>
      </c>
      <c r="B61" s="2">
        <v>45698</v>
      </c>
      <c r="C61" t="s">
        <v>109</v>
      </c>
      <c r="D61" t="s">
        <v>14</v>
      </c>
      <c r="E61" t="s">
        <v>114</v>
      </c>
      <c r="F61" t="s">
        <v>23</v>
      </c>
      <c r="G61" t="s">
        <v>35</v>
      </c>
      <c r="H61" t="s">
        <v>155</v>
      </c>
      <c r="I61">
        <v>3</v>
      </c>
      <c r="J61" s="3">
        <v>0.05</v>
      </c>
      <c r="K61" s="4">
        <v>88332.54</v>
      </c>
      <c r="L61" s="4">
        <v>11077.69</v>
      </c>
      <c r="M61">
        <f t="shared" si="0"/>
        <v>2025</v>
      </c>
      <c r="N61" t="str">
        <f t="shared" si="1"/>
        <v>Feb</v>
      </c>
      <c r="O61" t="str">
        <f t="shared" si="2"/>
        <v>High</v>
      </c>
      <c r="P61" s="7">
        <f t="shared" si="3"/>
        <v>0.12540893763498709</v>
      </c>
    </row>
    <row r="62" spans="1:16" x14ac:dyDescent="0.3">
      <c r="A62" t="s">
        <v>156</v>
      </c>
      <c r="B62" s="2">
        <v>45698</v>
      </c>
      <c r="C62" t="s">
        <v>77</v>
      </c>
      <c r="D62" t="s">
        <v>21</v>
      </c>
      <c r="E62" t="s">
        <v>57</v>
      </c>
      <c r="F62" t="s">
        <v>23</v>
      </c>
      <c r="G62" t="s">
        <v>24</v>
      </c>
      <c r="H62" t="s">
        <v>129</v>
      </c>
      <c r="I62">
        <v>5</v>
      </c>
      <c r="J62" s="3">
        <v>0</v>
      </c>
      <c r="K62" s="4">
        <v>88924.9</v>
      </c>
      <c r="L62" s="4">
        <v>7562.49</v>
      </c>
      <c r="M62">
        <f t="shared" si="0"/>
        <v>2025</v>
      </c>
      <c r="N62" t="str">
        <f t="shared" si="1"/>
        <v>Feb</v>
      </c>
      <c r="O62" t="str">
        <f t="shared" si="2"/>
        <v>High</v>
      </c>
      <c r="P62" s="7">
        <f t="shared" si="3"/>
        <v>8.5043559228067736E-2</v>
      </c>
    </row>
    <row r="63" spans="1:16" x14ac:dyDescent="0.3">
      <c r="A63" t="s">
        <v>157</v>
      </c>
      <c r="B63" s="2">
        <v>45699</v>
      </c>
      <c r="C63" t="s">
        <v>20</v>
      </c>
      <c r="D63" t="s">
        <v>39</v>
      </c>
      <c r="E63" t="s">
        <v>128</v>
      </c>
      <c r="F63" t="s">
        <v>23</v>
      </c>
      <c r="G63" t="s">
        <v>58</v>
      </c>
      <c r="H63" t="s">
        <v>78</v>
      </c>
      <c r="I63">
        <v>3</v>
      </c>
      <c r="J63" s="3">
        <v>0</v>
      </c>
      <c r="K63" s="4">
        <v>86305.41</v>
      </c>
      <c r="L63" s="4">
        <v>9997</v>
      </c>
      <c r="M63">
        <f t="shared" si="0"/>
        <v>2025</v>
      </c>
      <c r="N63" t="str">
        <f t="shared" si="1"/>
        <v>Feb</v>
      </c>
      <c r="O63" t="str">
        <f t="shared" si="2"/>
        <v>High</v>
      </c>
      <c r="P63" s="7">
        <f t="shared" si="3"/>
        <v>0.11583283133699265</v>
      </c>
    </row>
    <row r="64" spans="1:16" x14ac:dyDescent="0.3">
      <c r="A64" t="s">
        <v>158</v>
      </c>
      <c r="B64" s="2">
        <v>45700</v>
      </c>
      <c r="C64" t="s">
        <v>61</v>
      </c>
      <c r="D64" t="s">
        <v>21</v>
      </c>
      <c r="E64" t="s">
        <v>105</v>
      </c>
      <c r="F64" t="s">
        <v>28</v>
      </c>
      <c r="G64" t="s">
        <v>74</v>
      </c>
      <c r="H64" t="s">
        <v>159</v>
      </c>
      <c r="I64">
        <v>1</v>
      </c>
      <c r="J64" s="3">
        <v>0.15</v>
      </c>
      <c r="K64" s="4">
        <v>870.64</v>
      </c>
      <c r="L64" s="4">
        <v>116.45</v>
      </c>
      <c r="M64">
        <f t="shared" si="0"/>
        <v>2025</v>
      </c>
      <c r="N64" t="str">
        <f t="shared" si="1"/>
        <v>Feb</v>
      </c>
      <c r="O64" t="str">
        <f t="shared" si="2"/>
        <v>Medium</v>
      </c>
      <c r="P64" s="7">
        <f t="shared" si="3"/>
        <v>0.13375218230267391</v>
      </c>
    </row>
    <row r="65" spans="1:16" x14ac:dyDescent="0.3">
      <c r="A65" t="s">
        <v>160</v>
      </c>
      <c r="B65" s="2">
        <v>45700</v>
      </c>
      <c r="C65" t="s">
        <v>13</v>
      </c>
      <c r="D65" t="s">
        <v>33</v>
      </c>
      <c r="E65" t="s">
        <v>45</v>
      </c>
      <c r="F65" t="s">
        <v>16</v>
      </c>
      <c r="G65" t="s">
        <v>62</v>
      </c>
      <c r="H65" t="s">
        <v>63</v>
      </c>
      <c r="I65">
        <v>1</v>
      </c>
      <c r="J65" s="3">
        <v>0.15</v>
      </c>
      <c r="K65" s="4">
        <v>3283.25</v>
      </c>
      <c r="L65" s="4">
        <v>204.17</v>
      </c>
      <c r="M65">
        <f t="shared" si="0"/>
        <v>2025</v>
      </c>
      <c r="N65" t="str">
        <f t="shared" si="1"/>
        <v>Feb</v>
      </c>
      <c r="O65" t="str">
        <f t="shared" si="2"/>
        <v>High</v>
      </c>
      <c r="P65" s="7">
        <f t="shared" si="3"/>
        <v>6.2185334653163782E-2</v>
      </c>
    </row>
    <row r="66" spans="1:16" x14ac:dyDescent="0.3">
      <c r="A66" t="s">
        <v>161</v>
      </c>
      <c r="B66" s="2">
        <v>45700</v>
      </c>
      <c r="C66" t="s">
        <v>143</v>
      </c>
      <c r="D66" t="s">
        <v>33</v>
      </c>
      <c r="E66" t="s">
        <v>34</v>
      </c>
      <c r="F66" t="s">
        <v>16</v>
      </c>
      <c r="G66" t="s">
        <v>17</v>
      </c>
      <c r="H66" t="s">
        <v>18</v>
      </c>
      <c r="I66">
        <v>5</v>
      </c>
      <c r="J66" s="3">
        <v>0.1</v>
      </c>
      <c r="K66" s="4">
        <v>48622.5</v>
      </c>
      <c r="L66" s="4">
        <v>2288.1</v>
      </c>
      <c r="M66">
        <f t="shared" si="0"/>
        <v>2025</v>
      </c>
      <c r="N66" t="str">
        <f t="shared" si="1"/>
        <v>Feb</v>
      </c>
      <c r="O66" t="str">
        <f t="shared" si="2"/>
        <v>High</v>
      </c>
      <c r="P66" s="7">
        <f t="shared" si="3"/>
        <v>4.7058460589233381E-2</v>
      </c>
    </row>
    <row r="67" spans="1:16" x14ac:dyDescent="0.3">
      <c r="A67" t="s">
        <v>162</v>
      </c>
      <c r="B67" s="2">
        <v>45703</v>
      </c>
      <c r="C67" t="s">
        <v>150</v>
      </c>
      <c r="D67" t="s">
        <v>39</v>
      </c>
      <c r="E67" t="s">
        <v>47</v>
      </c>
      <c r="F67" t="s">
        <v>16</v>
      </c>
      <c r="G67" t="s">
        <v>17</v>
      </c>
      <c r="H67" t="s">
        <v>153</v>
      </c>
      <c r="I67">
        <v>1</v>
      </c>
      <c r="J67" s="3">
        <v>0</v>
      </c>
      <c r="K67" s="4">
        <v>514.16999999999996</v>
      </c>
      <c r="L67" s="4">
        <v>94.22</v>
      </c>
      <c r="M67">
        <f t="shared" ref="M67:M130" si="4">YEAR(B67)</f>
        <v>2025</v>
      </c>
      <c r="N67" t="str">
        <f t="shared" ref="N67:N130" si="5">TEXT(B67,"mmm")</f>
        <v>Feb</v>
      </c>
      <c r="O67" t="str">
        <f t="shared" ref="O67:O130" si="6">IF(K67&gt;=1000,"High",IF(K67&gt;=500,"Medium","Low"))</f>
        <v>Medium</v>
      </c>
      <c r="P67" s="7">
        <f t="shared" ref="P67:P130" si="7">IFERROR(L67/K67,0)</f>
        <v>0.18324678608242412</v>
      </c>
    </row>
    <row r="68" spans="1:16" x14ac:dyDescent="0.3">
      <c r="A68" t="s">
        <v>163</v>
      </c>
      <c r="B68" s="2">
        <v>45703</v>
      </c>
      <c r="C68" t="s">
        <v>85</v>
      </c>
      <c r="D68" t="s">
        <v>21</v>
      </c>
      <c r="E68" t="s">
        <v>57</v>
      </c>
      <c r="F68" t="s">
        <v>16</v>
      </c>
      <c r="G68" t="s">
        <v>17</v>
      </c>
      <c r="H68" t="s">
        <v>153</v>
      </c>
      <c r="I68">
        <v>5</v>
      </c>
      <c r="J68" s="3">
        <v>0.05</v>
      </c>
      <c r="K68" s="4">
        <v>54886.45</v>
      </c>
      <c r="L68" s="4">
        <v>3610.74</v>
      </c>
      <c r="M68">
        <f t="shared" si="4"/>
        <v>2025</v>
      </c>
      <c r="N68" t="str">
        <f t="shared" si="5"/>
        <v>Feb</v>
      </c>
      <c r="O68" t="str">
        <f t="shared" si="6"/>
        <v>High</v>
      </c>
      <c r="P68" s="7">
        <f t="shared" si="7"/>
        <v>6.5785635616805241E-2</v>
      </c>
    </row>
    <row r="69" spans="1:16" x14ac:dyDescent="0.3">
      <c r="A69" t="s">
        <v>164</v>
      </c>
      <c r="B69" s="2">
        <v>45704</v>
      </c>
      <c r="C69" t="s">
        <v>138</v>
      </c>
      <c r="D69" t="s">
        <v>21</v>
      </c>
      <c r="E69" t="s">
        <v>67</v>
      </c>
      <c r="F69" t="s">
        <v>23</v>
      </c>
      <c r="G69" t="s">
        <v>48</v>
      </c>
      <c r="H69" t="s">
        <v>49</v>
      </c>
      <c r="I69">
        <v>4</v>
      </c>
      <c r="J69" s="3">
        <v>0.15</v>
      </c>
      <c r="K69" s="4">
        <v>196467.36</v>
      </c>
      <c r="L69" s="4">
        <v>27829.89</v>
      </c>
      <c r="M69">
        <f t="shared" si="4"/>
        <v>2025</v>
      </c>
      <c r="N69" t="str">
        <f t="shared" si="5"/>
        <v>Feb</v>
      </c>
      <c r="O69" t="str">
        <f t="shared" si="6"/>
        <v>High</v>
      </c>
      <c r="P69" s="7">
        <f t="shared" si="7"/>
        <v>0.14165146821334598</v>
      </c>
    </row>
    <row r="70" spans="1:16" x14ac:dyDescent="0.3">
      <c r="A70" t="s">
        <v>165</v>
      </c>
      <c r="B70" s="2">
        <v>45704</v>
      </c>
      <c r="C70" t="s">
        <v>150</v>
      </c>
      <c r="D70" t="s">
        <v>39</v>
      </c>
      <c r="E70" t="s">
        <v>40</v>
      </c>
      <c r="F70" t="s">
        <v>16</v>
      </c>
      <c r="G70" t="s">
        <v>68</v>
      </c>
      <c r="H70" t="s">
        <v>83</v>
      </c>
      <c r="I70">
        <v>1</v>
      </c>
      <c r="J70" s="3">
        <v>0.15</v>
      </c>
      <c r="K70" s="4">
        <v>4419.38</v>
      </c>
      <c r="L70" s="4">
        <v>454.64</v>
      </c>
      <c r="M70">
        <f t="shared" si="4"/>
        <v>2025</v>
      </c>
      <c r="N70" t="str">
        <f t="shared" si="5"/>
        <v>Feb</v>
      </c>
      <c r="O70" t="str">
        <f t="shared" si="6"/>
        <v>High</v>
      </c>
      <c r="P70" s="7">
        <f t="shared" si="7"/>
        <v>0.10287415881865782</v>
      </c>
    </row>
    <row r="71" spans="1:16" x14ac:dyDescent="0.3">
      <c r="A71" t="s">
        <v>166</v>
      </c>
      <c r="B71" s="2">
        <v>45704</v>
      </c>
      <c r="C71" t="s">
        <v>38</v>
      </c>
      <c r="D71" t="s">
        <v>39</v>
      </c>
      <c r="E71" t="s">
        <v>128</v>
      </c>
      <c r="F71" t="s">
        <v>16</v>
      </c>
      <c r="G71" t="s">
        <v>62</v>
      </c>
      <c r="H71" t="s">
        <v>167</v>
      </c>
      <c r="I71">
        <v>4</v>
      </c>
      <c r="J71" s="3">
        <v>0.2</v>
      </c>
      <c r="K71" s="4">
        <v>47303.48</v>
      </c>
      <c r="L71" s="4">
        <v>4835.37</v>
      </c>
      <c r="M71">
        <f t="shared" si="4"/>
        <v>2025</v>
      </c>
      <c r="N71" t="str">
        <f t="shared" si="5"/>
        <v>Feb</v>
      </c>
      <c r="O71" t="str">
        <f t="shared" si="6"/>
        <v>High</v>
      </c>
      <c r="P71" s="7">
        <f t="shared" si="7"/>
        <v>0.10222017492159138</v>
      </c>
    </row>
    <row r="72" spans="1:16" x14ac:dyDescent="0.3">
      <c r="A72" t="s">
        <v>168</v>
      </c>
      <c r="B72" s="2">
        <v>45704</v>
      </c>
      <c r="C72" t="s">
        <v>143</v>
      </c>
      <c r="D72" t="s">
        <v>39</v>
      </c>
      <c r="E72" t="s">
        <v>47</v>
      </c>
      <c r="F72" t="s">
        <v>28</v>
      </c>
      <c r="G72" t="s">
        <v>71</v>
      </c>
      <c r="H72" t="s">
        <v>121</v>
      </c>
      <c r="I72">
        <v>1</v>
      </c>
      <c r="J72" s="3">
        <v>0.1</v>
      </c>
      <c r="K72" s="4">
        <v>177.48</v>
      </c>
      <c r="L72" s="4">
        <v>15.46</v>
      </c>
      <c r="M72">
        <f t="shared" si="4"/>
        <v>2025</v>
      </c>
      <c r="N72" t="str">
        <f t="shared" si="5"/>
        <v>Feb</v>
      </c>
      <c r="O72" t="str">
        <f t="shared" si="6"/>
        <v>Low</v>
      </c>
      <c r="P72" s="7">
        <f t="shared" si="7"/>
        <v>8.7108406581023229E-2</v>
      </c>
    </row>
    <row r="73" spans="1:16" x14ac:dyDescent="0.3">
      <c r="A73" t="s">
        <v>169</v>
      </c>
      <c r="B73" s="2">
        <v>45705</v>
      </c>
      <c r="C73" t="s">
        <v>95</v>
      </c>
      <c r="D73" t="s">
        <v>21</v>
      </c>
      <c r="E73" t="s">
        <v>22</v>
      </c>
      <c r="F73" t="s">
        <v>23</v>
      </c>
      <c r="G73" t="s">
        <v>48</v>
      </c>
      <c r="H73" t="s">
        <v>124</v>
      </c>
      <c r="I73">
        <v>6</v>
      </c>
      <c r="J73" s="3">
        <v>0</v>
      </c>
      <c r="K73" s="4">
        <v>146277.6</v>
      </c>
      <c r="L73" s="4">
        <v>30180.560000000001</v>
      </c>
      <c r="M73">
        <f t="shared" si="4"/>
        <v>2025</v>
      </c>
      <c r="N73" t="str">
        <f t="shared" si="5"/>
        <v>Feb</v>
      </c>
      <c r="O73" t="str">
        <f t="shared" si="6"/>
        <v>High</v>
      </c>
      <c r="P73" s="7">
        <f t="shared" si="7"/>
        <v>0.20632386640196448</v>
      </c>
    </row>
    <row r="74" spans="1:16" x14ac:dyDescent="0.3">
      <c r="A74" t="s">
        <v>170</v>
      </c>
      <c r="B74" s="2">
        <v>45705</v>
      </c>
      <c r="C74" t="s">
        <v>13</v>
      </c>
      <c r="D74" t="s">
        <v>39</v>
      </c>
      <c r="E74" t="s">
        <v>52</v>
      </c>
      <c r="F74" t="s">
        <v>16</v>
      </c>
      <c r="G74" t="s">
        <v>62</v>
      </c>
      <c r="H74" t="s">
        <v>167</v>
      </c>
      <c r="I74">
        <v>4</v>
      </c>
      <c r="J74" s="3">
        <v>0.05</v>
      </c>
      <c r="K74" s="4">
        <v>37259.68</v>
      </c>
      <c r="L74" s="4">
        <v>5800.05</v>
      </c>
      <c r="M74">
        <f t="shared" si="4"/>
        <v>2025</v>
      </c>
      <c r="N74" t="str">
        <f t="shared" si="5"/>
        <v>Feb</v>
      </c>
      <c r="O74" t="str">
        <f t="shared" si="6"/>
        <v>High</v>
      </c>
      <c r="P74" s="7">
        <f t="shared" si="7"/>
        <v>0.15566558811025752</v>
      </c>
    </row>
    <row r="75" spans="1:16" x14ac:dyDescent="0.3">
      <c r="A75" t="s">
        <v>171</v>
      </c>
      <c r="B75" s="2">
        <v>45706</v>
      </c>
      <c r="C75" t="s">
        <v>13</v>
      </c>
      <c r="D75" t="s">
        <v>33</v>
      </c>
      <c r="E75" t="s">
        <v>45</v>
      </c>
      <c r="F75" t="s">
        <v>16</v>
      </c>
      <c r="G75" t="s">
        <v>17</v>
      </c>
      <c r="H75" t="s">
        <v>153</v>
      </c>
      <c r="I75">
        <v>7</v>
      </c>
      <c r="J75" s="3">
        <v>0.15</v>
      </c>
      <c r="K75" s="4">
        <v>69246.240000000005</v>
      </c>
      <c r="L75" s="4">
        <v>6464.6</v>
      </c>
      <c r="M75">
        <f t="shared" si="4"/>
        <v>2025</v>
      </c>
      <c r="N75" t="str">
        <f t="shared" si="5"/>
        <v>Feb</v>
      </c>
      <c r="O75" t="str">
        <f t="shared" si="6"/>
        <v>High</v>
      </c>
      <c r="P75" s="7">
        <f t="shared" si="7"/>
        <v>9.3356693446460054E-2</v>
      </c>
    </row>
    <row r="76" spans="1:16" x14ac:dyDescent="0.3">
      <c r="A76" t="s">
        <v>172</v>
      </c>
      <c r="B76" s="2">
        <v>45706</v>
      </c>
      <c r="C76" t="s">
        <v>66</v>
      </c>
      <c r="D76" t="s">
        <v>14</v>
      </c>
      <c r="E76" t="s">
        <v>54</v>
      </c>
      <c r="F76" t="s">
        <v>16</v>
      </c>
      <c r="G76" t="s">
        <v>17</v>
      </c>
      <c r="H76" t="s">
        <v>153</v>
      </c>
      <c r="I76">
        <v>6</v>
      </c>
      <c r="J76" s="3">
        <v>0</v>
      </c>
      <c r="K76" s="4">
        <v>20989.200000000001</v>
      </c>
      <c r="L76" s="4">
        <v>3976.69</v>
      </c>
      <c r="M76">
        <f t="shared" si="4"/>
        <v>2025</v>
      </c>
      <c r="N76" t="str">
        <f t="shared" si="5"/>
        <v>Feb</v>
      </c>
      <c r="O76" t="str">
        <f t="shared" si="6"/>
        <v>High</v>
      </c>
      <c r="P76" s="7">
        <f t="shared" si="7"/>
        <v>0.18946362891391763</v>
      </c>
    </row>
    <row r="77" spans="1:16" x14ac:dyDescent="0.3">
      <c r="A77" t="s">
        <v>173</v>
      </c>
      <c r="B77" s="2">
        <v>45707</v>
      </c>
      <c r="C77" t="s">
        <v>147</v>
      </c>
      <c r="D77" t="s">
        <v>14</v>
      </c>
      <c r="E77" t="s">
        <v>15</v>
      </c>
      <c r="F77" t="s">
        <v>23</v>
      </c>
      <c r="G77" t="s">
        <v>58</v>
      </c>
      <c r="H77" t="s">
        <v>78</v>
      </c>
      <c r="I77">
        <v>7</v>
      </c>
      <c r="J77" s="3">
        <v>0.15</v>
      </c>
      <c r="K77" s="4">
        <v>232499.33</v>
      </c>
      <c r="L77" s="4">
        <v>15098.11</v>
      </c>
      <c r="M77">
        <f t="shared" si="4"/>
        <v>2025</v>
      </c>
      <c r="N77" t="str">
        <f t="shared" si="5"/>
        <v>Feb</v>
      </c>
      <c r="O77" t="str">
        <f t="shared" si="6"/>
        <v>High</v>
      </c>
      <c r="P77" s="7">
        <f t="shared" si="7"/>
        <v>6.4938294660892154E-2</v>
      </c>
    </row>
    <row r="78" spans="1:16" x14ac:dyDescent="0.3">
      <c r="A78" t="s">
        <v>174</v>
      </c>
      <c r="B78" s="2">
        <v>45708</v>
      </c>
      <c r="C78" t="s">
        <v>51</v>
      </c>
      <c r="D78" t="s">
        <v>14</v>
      </c>
      <c r="E78" t="s">
        <v>54</v>
      </c>
      <c r="F78" t="s">
        <v>16</v>
      </c>
      <c r="G78" t="s">
        <v>68</v>
      </c>
      <c r="H78" t="s">
        <v>175</v>
      </c>
      <c r="I78">
        <v>7</v>
      </c>
      <c r="J78" s="3">
        <v>0</v>
      </c>
      <c r="K78" s="4">
        <v>82650.12</v>
      </c>
      <c r="L78" s="4">
        <v>7264.66</v>
      </c>
      <c r="M78">
        <f t="shared" si="4"/>
        <v>2025</v>
      </c>
      <c r="N78" t="str">
        <f t="shared" si="5"/>
        <v>Feb</v>
      </c>
      <c r="O78" t="str">
        <f t="shared" si="6"/>
        <v>High</v>
      </c>
      <c r="P78" s="7">
        <f t="shared" si="7"/>
        <v>8.7896545098785098E-2</v>
      </c>
    </row>
    <row r="79" spans="1:16" x14ac:dyDescent="0.3">
      <c r="A79" t="s">
        <v>176</v>
      </c>
      <c r="B79" s="2">
        <v>45709</v>
      </c>
      <c r="C79" t="s">
        <v>66</v>
      </c>
      <c r="D79" t="s">
        <v>33</v>
      </c>
      <c r="E79" t="s">
        <v>45</v>
      </c>
      <c r="F79" t="s">
        <v>16</v>
      </c>
      <c r="G79" t="s">
        <v>41</v>
      </c>
      <c r="H79" t="s">
        <v>177</v>
      </c>
      <c r="I79">
        <v>6</v>
      </c>
      <c r="J79" s="3">
        <v>0.2</v>
      </c>
      <c r="K79" s="4">
        <v>12613.86</v>
      </c>
      <c r="L79" s="4">
        <v>1283.75</v>
      </c>
      <c r="M79">
        <f t="shared" si="4"/>
        <v>2025</v>
      </c>
      <c r="N79" t="str">
        <f t="shared" si="5"/>
        <v>Feb</v>
      </c>
      <c r="O79" t="str">
        <f t="shared" si="6"/>
        <v>High</v>
      </c>
      <c r="P79" s="7">
        <f t="shared" si="7"/>
        <v>0.10177297036751637</v>
      </c>
    </row>
    <row r="80" spans="1:16" x14ac:dyDescent="0.3">
      <c r="A80" t="s">
        <v>178</v>
      </c>
      <c r="B80" s="2">
        <v>45710</v>
      </c>
      <c r="C80" t="s">
        <v>179</v>
      </c>
      <c r="D80" t="s">
        <v>33</v>
      </c>
      <c r="E80" t="s">
        <v>140</v>
      </c>
      <c r="F80" t="s">
        <v>16</v>
      </c>
      <c r="G80" t="s">
        <v>62</v>
      </c>
      <c r="H80" t="s">
        <v>180</v>
      </c>
      <c r="I80">
        <v>5</v>
      </c>
      <c r="J80" s="3">
        <v>0.15</v>
      </c>
      <c r="K80" s="4">
        <v>35688.15</v>
      </c>
      <c r="L80" s="4">
        <v>1947.82</v>
      </c>
      <c r="M80">
        <f t="shared" si="4"/>
        <v>2025</v>
      </c>
      <c r="N80" t="str">
        <f t="shared" si="5"/>
        <v>Feb</v>
      </c>
      <c r="O80" t="str">
        <f t="shared" si="6"/>
        <v>High</v>
      </c>
      <c r="P80" s="7">
        <f t="shared" si="7"/>
        <v>5.4578900839634438E-2</v>
      </c>
    </row>
    <row r="81" spans="1:16" x14ac:dyDescent="0.3">
      <c r="A81" t="s">
        <v>181</v>
      </c>
      <c r="B81" s="2">
        <v>45711</v>
      </c>
      <c r="C81" t="s">
        <v>38</v>
      </c>
      <c r="D81" t="s">
        <v>33</v>
      </c>
      <c r="E81" t="s">
        <v>140</v>
      </c>
      <c r="F81" t="s">
        <v>23</v>
      </c>
      <c r="G81" t="s">
        <v>58</v>
      </c>
      <c r="H81" t="s">
        <v>90</v>
      </c>
      <c r="I81">
        <v>3</v>
      </c>
      <c r="J81" s="3">
        <v>0</v>
      </c>
      <c r="K81" s="4">
        <v>135410.91</v>
      </c>
      <c r="L81" s="4">
        <v>31901.89</v>
      </c>
      <c r="M81">
        <f t="shared" si="4"/>
        <v>2025</v>
      </c>
      <c r="N81" t="str">
        <f t="shared" si="5"/>
        <v>Feb</v>
      </c>
      <c r="O81" t="str">
        <f t="shared" si="6"/>
        <v>High</v>
      </c>
      <c r="P81" s="7">
        <f t="shared" si="7"/>
        <v>0.23559320294059022</v>
      </c>
    </row>
    <row r="82" spans="1:16" x14ac:dyDescent="0.3">
      <c r="A82" t="s">
        <v>182</v>
      </c>
      <c r="B82" s="2">
        <v>45711</v>
      </c>
      <c r="C82" t="s">
        <v>44</v>
      </c>
      <c r="D82" t="s">
        <v>14</v>
      </c>
      <c r="E82" t="s">
        <v>15</v>
      </c>
      <c r="F82" t="s">
        <v>23</v>
      </c>
      <c r="G82" t="s">
        <v>35</v>
      </c>
      <c r="H82" t="s">
        <v>36</v>
      </c>
      <c r="I82">
        <v>4</v>
      </c>
      <c r="J82" s="3">
        <v>0.05</v>
      </c>
      <c r="K82" s="4">
        <v>137539.07999999999</v>
      </c>
      <c r="L82" s="4">
        <v>25289.58</v>
      </c>
      <c r="M82">
        <f t="shared" si="4"/>
        <v>2025</v>
      </c>
      <c r="N82" t="str">
        <f t="shared" si="5"/>
        <v>Feb</v>
      </c>
      <c r="O82" t="str">
        <f t="shared" si="6"/>
        <v>High</v>
      </c>
      <c r="P82" s="7">
        <f t="shared" si="7"/>
        <v>0.18387195842810641</v>
      </c>
    </row>
    <row r="83" spans="1:16" x14ac:dyDescent="0.3">
      <c r="A83" t="s">
        <v>183</v>
      </c>
      <c r="B83" s="2">
        <v>45713</v>
      </c>
      <c r="C83" t="s">
        <v>111</v>
      </c>
      <c r="D83" t="s">
        <v>21</v>
      </c>
      <c r="E83" t="s">
        <v>57</v>
      </c>
      <c r="F83" t="s">
        <v>28</v>
      </c>
      <c r="G83" t="s">
        <v>74</v>
      </c>
      <c r="H83" t="s">
        <v>159</v>
      </c>
      <c r="I83">
        <v>6</v>
      </c>
      <c r="J83" s="3">
        <v>0.2</v>
      </c>
      <c r="K83" s="4">
        <v>2545.2600000000002</v>
      </c>
      <c r="L83" s="4">
        <v>349.72</v>
      </c>
      <c r="M83">
        <f t="shared" si="4"/>
        <v>2025</v>
      </c>
      <c r="N83" t="str">
        <f t="shared" si="5"/>
        <v>Feb</v>
      </c>
      <c r="O83" t="str">
        <f t="shared" si="6"/>
        <v>High</v>
      </c>
      <c r="P83" s="7">
        <f t="shared" si="7"/>
        <v>0.13740050132402976</v>
      </c>
    </row>
    <row r="84" spans="1:16" x14ac:dyDescent="0.3">
      <c r="A84" t="s">
        <v>184</v>
      </c>
      <c r="B84" s="2">
        <v>45714</v>
      </c>
      <c r="C84" t="s">
        <v>135</v>
      </c>
      <c r="D84" t="s">
        <v>39</v>
      </c>
      <c r="E84" t="s">
        <v>52</v>
      </c>
      <c r="F84" t="s">
        <v>23</v>
      </c>
      <c r="G84" t="s">
        <v>24</v>
      </c>
      <c r="H84" t="s">
        <v>129</v>
      </c>
      <c r="I84">
        <v>5</v>
      </c>
      <c r="J84" s="3">
        <v>0.1</v>
      </c>
      <c r="K84" s="4">
        <v>20814.900000000001</v>
      </c>
      <c r="L84" s="4">
        <v>2195.87</v>
      </c>
      <c r="M84">
        <f t="shared" si="4"/>
        <v>2025</v>
      </c>
      <c r="N84" t="str">
        <f t="shared" si="5"/>
        <v>Feb</v>
      </c>
      <c r="O84" t="str">
        <f t="shared" si="6"/>
        <v>High</v>
      </c>
      <c r="P84" s="7">
        <f t="shared" si="7"/>
        <v>0.10549510206630826</v>
      </c>
    </row>
    <row r="85" spans="1:16" x14ac:dyDescent="0.3">
      <c r="A85" t="s">
        <v>185</v>
      </c>
      <c r="B85" s="2">
        <v>45715</v>
      </c>
      <c r="C85" t="s">
        <v>85</v>
      </c>
      <c r="D85" t="s">
        <v>14</v>
      </c>
      <c r="E85" t="s">
        <v>15</v>
      </c>
      <c r="F85" t="s">
        <v>16</v>
      </c>
      <c r="G85" t="s">
        <v>41</v>
      </c>
      <c r="H85" t="s">
        <v>42</v>
      </c>
      <c r="I85">
        <v>4</v>
      </c>
      <c r="J85" s="3">
        <v>0</v>
      </c>
      <c r="K85" s="4">
        <v>33193.24</v>
      </c>
      <c r="L85" s="4">
        <v>6640.7</v>
      </c>
      <c r="M85">
        <f t="shared" si="4"/>
        <v>2025</v>
      </c>
      <c r="N85" t="str">
        <f t="shared" si="5"/>
        <v>Feb</v>
      </c>
      <c r="O85" t="str">
        <f t="shared" si="6"/>
        <v>High</v>
      </c>
      <c r="P85" s="7">
        <f t="shared" si="7"/>
        <v>0.20006181981632407</v>
      </c>
    </row>
    <row r="86" spans="1:16" x14ac:dyDescent="0.3">
      <c r="A86" t="s">
        <v>186</v>
      </c>
      <c r="B86" s="2">
        <v>45716</v>
      </c>
      <c r="C86" t="s">
        <v>13</v>
      </c>
      <c r="D86" t="s">
        <v>39</v>
      </c>
      <c r="E86" t="s">
        <v>47</v>
      </c>
      <c r="F86" t="s">
        <v>23</v>
      </c>
      <c r="G86" t="s">
        <v>58</v>
      </c>
      <c r="H86" t="s">
        <v>90</v>
      </c>
      <c r="I86">
        <v>1</v>
      </c>
      <c r="J86" s="3">
        <v>0.1</v>
      </c>
      <c r="K86" s="4">
        <v>4234.1899999999996</v>
      </c>
      <c r="L86" s="4">
        <v>728.81</v>
      </c>
      <c r="M86">
        <f t="shared" si="4"/>
        <v>2025</v>
      </c>
      <c r="N86" t="str">
        <f t="shared" si="5"/>
        <v>Feb</v>
      </c>
      <c r="O86" t="str">
        <f t="shared" si="6"/>
        <v>High</v>
      </c>
      <c r="P86" s="7">
        <f t="shared" si="7"/>
        <v>0.17212501092298646</v>
      </c>
    </row>
    <row r="87" spans="1:16" x14ac:dyDescent="0.3">
      <c r="A87" t="s">
        <v>187</v>
      </c>
      <c r="B87" s="2">
        <v>45717</v>
      </c>
      <c r="C87" t="s">
        <v>95</v>
      </c>
      <c r="D87" t="s">
        <v>21</v>
      </c>
      <c r="E87" t="s">
        <v>22</v>
      </c>
      <c r="F87" t="s">
        <v>16</v>
      </c>
      <c r="G87" t="s">
        <v>17</v>
      </c>
      <c r="H87" t="s">
        <v>88</v>
      </c>
      <c r="I87">
        <v>3</v>
      </c>
      <c r="J87" s="3">
        <v>0.2</v>
      </c>
      <c r="K87" s="4">
        <v>32329.02</v>
      </c>
      <c r="L87" s="4">
        <v>367.58</v>
      </c>
      <c r="M87">
        <f t="shared" si="4"/>
        <v>2025</v>
      </c>
      <c r="N87" t="str">
        <f t="shared" si="5"/>
        <v>Mar</v>
      </c>
      <c r="O87" t="str">
        <f t="shared" si="6"/>
        <v>High</v>
      </c>
      <c r="P87" s="7">
        <f t="shared" si="7"/>
        <v>1.1369970385740117E-2</v>
      </c>
    </row>
    <row r="88" spans="1:16" x14ac:dyDescent="0.3">
      <c r="A88" t="s">
        <v>188</v>
      </c>
      <c r="B88" s="2">
        <v>45717</v>
      </c>
      <c r="C88" t="s">
        <v>150</v>
      </c>
      <c r="D88" t="s">
        <v>21</v>
      </c>
      <c r="E88" t="s">
        <v>57</v>
      </c>
      <c r="F88" t="s">
        <v>28</v>
      </c>
      <c r="G88" t="s">
        <v>71</v>
      </c>
      <c r="H88" t="s">
        <v>121</v>
      </c>
      <c r="I88">
        <v>6</v>
      </c>
      <c r="J88" s="3">
        <v>0.15</v>
      </c>
      <c r="K88" s="4">
        <v>22758.720000000001</v>
      </c>
      <c r="L88" s="4">
        <v>1298.1099999999999</v>
      </c>
      <c r="M88">
        <f t="shared" si="4"/>
        <v>2025</v>
      </c>
      <c r="N88" t="str">
        <f t="shared" si="5"/>
        <v>Mar</v>
      </c>
      <c r="O88" t="str">
        <f t="shared" si="6"/>
        <v>High</v>
      </c>
      <c r="P88" s="7">
        <f t="shared" si="7"/>
        <v>5.7037917773934556E-2</v>
      </c>
    </row>
    <row r="89" spans="1:16" x14ac:dyDescent="0.3">
      <c r="A89" t="s">
        <v>189</v>
      </c>
      <c r="B89" s="2">
        <v>45718</v>
      </c>
      <c r="C89" t="s">
        <v>100</v>
      </c>
      <c r="D89" t="s">
        <v>33</v>
      </c>
      <c r="E89" t="s">
        <v>140</v>
      </c>
      <c r="F89" t="s">
        <v>23</v>
      </c>
      <c r="G89" t="s">
        <v>24</v>
      </c>
      <c r="H89" t="s">
        <v>129</v>
      </c>
      <c r="I89">
        <v>2</v>
      </c>
      <c r="J89" s="3">
        <v>0.1</v>
      </c>
      <c r="K89" s="4">
        <v>46832.66</v>
      </c>
      <c r="L89" s="4">
        <v>8628.7999999999993</v>
      </c>
      <c r="M89">
        <f t="shared" si="4"/>
        <v>2025</v>
      </c>
      <c r="N89" t="str">
        <f t="shared" si="5"/>
        <v>Mar</v>
      </c>
      <c r="O89" t="str">
        <f t="shared" si="6"/>
        <v>High</v>
      </c>
      <c r="P89" s="7">
        <f t="shared" si="7"/>
        <v>0.18424748882510622</v>
      </c>
    </row>
    <row r="90" spans="1:16" x14ac:dyDescent="0.3">
      <c r="A90" t="s">
        <v>190</v>
      </c>
      <c r="B90" s="2">
        <v>45718</v>
      </c>
      <c r="C90" t="s">
        <v>95</v>
      </c>
      <c r="D90" t="s">
        <v>21</v>
      </c>
      <c r="E90" t="s">
        <v>105</v>
      </c>
      <c r="F90" t="s">
        <v>23</v>
      </c>
      <c r="G90" t="s">
        <v>35</v>
      </c>
      <c r="H90" t="s">
        <v>155</v>
      </c>
      <c r="I90">
        <v>4</v>
      </c>
      <c r="J90" s="3">
        <v>0</v>
      </c>
      <c r="K90" s="4">
        <v>145449.84</v>
      </c>
      <c r="L90" s="4">
        <v>31211.94</v>
      </c>
      <c r="M90">
        <f t="shared" si="4"/>
        <v>2025</v>
      </c>
      <c r="N90" t="str">
        <f t="shared" si="5"/>
        <v>Mar</v>
      </c>
      <c r="O90" t="str">
        <f t="shared" si="6"/>
        <v>High</v>
      </c>
      <c r="P90" s="7">
        <f t="shared" si="7"/>
        <v>0.21458902945510286</v>
      </c>
    </row>
    <row r="91" spans="1:16" x14ac:dyDescent="0.3">
      <c r="A91" t="s">
        <v>191</v>
      </c>
      <c r="B91" s="2">
        <v>45718</v>
      </c>
      <c r="C91" t="s">
        <v>44</v>
      </c>
      <c r="D91" t="s">
        <v>39</v>
      </c>
      <c r="E91" t="s">
        <v>52</v>
      </c>
      <c r="F91" t="s">
        <v>23</v>
      </c>
      <c r="G91" t="s">
        <v>24</v>
      </c>
      <c r="H91" t="s">
        <v>129</v>
      </c>
      <c r="I91">
        <v>1</v>
      </c>
      <c r="J91" s="3">
        <v>0.2</v>
      </c>
      <c r="K91" s="4">
        <v>41543.35</v>
      </c>
      <c r="L91" s="4">
        <v>2723.01</v>
      </c>
      <c r="M91">
        <f t="shared" si="4"/>
        <v>2025</v>
      </c>
      <c r="N91" t="str">
        <f t="shared" si="5"/>
        <v>Mar</v>
      </c>
      <c r="O91" t="str">
        <f t="shared" si="6"/>
        <v>High</v>
      </c>
      <c r="P91" s="7">
        <f t="shared" si="7"/>
        <v>6.5546230624155252E-2</v>
      </c>
    </row>
    <row r="92" spans="1:16" x14ac:dyDescent="0.3">
      <c r="A92" t="s">
        <v>192</v>
      </c>
      <c r="B92" s="2">
        <v>45720</v>
      </c>
      <c r="C92" t="s">
        <v>85</v>
      </c>
      <c r="D92" t="s">
        <v>14</v>
      </c>
      <c r="E92" t="s">
        <v>114</v>
      </c>
      <c r="F92" t="s">
        <v>23</v>
      </c>
      <c r="G92" t="s">
        <v>35</v>
      </c>
      <c r="H92" t="s">
        <v>155</v>
      </c>
      <c r="I92">
        <v>7</v>
      </c>
      <c r="J92" s="3">
        <v>0.2</v>
      </c>
      <c r="K92" s="4">
        <v>47766.25</v>
      </c>
      <c r="L92" s="4">
        <v>3100.6</v>
      </c>
      <c r="M92">
        <f t="shared" si="4"/>
        <v>2025</v>
      </c>
      <c r="N92" t="str">
        <f t="shared" si="5"/>
        <v>Mar</v>
      </c>
      <c r="O92" t="str">
        <f t="shared" si="6"/>
        <v>High</v>
      </c>
      <c r="P92" s="7">
        <f t="shared" si="7"/>
        <v>6.4911940962499665E-2</v>
      </c>
    </row>
    <row r="93" spans="1:16" x14ac:dyDescent="0.3">
      <c r="A93" t="s">
        <v>193</v>
      </c>
      <c r="B93" s="2">
        <v>45720</v>
      </c>
      <c r="C93" t="s">
        <v>111</v>
      </c>
      <c r="D93" t="s">
        <v>33</v>
      </c>
      <c r="E93" t="s">
        <v>140</v>
      </c>
      <c r="F93" t="s">
        <v>23</v>
      </c>
      <c r="G93" t="s">
        <v>24</v>
      </c>
      <c r="H93" t="s">
        <v>132</v>
      </c>
      <c r="I93">
        <v>3</v>
      </c>
      <c r="J93" s="3">
        <v>0.2</v>
      </c>
      <c r="K93" s="4">
        <v>68571.899999999994</v>
      </c>
      <c r="L93" s="4">
        <v>12011.1</v>
      </c>
      <c r="M93">
        <f t="shared" si="4"/>
        <v>2025</v>
      </c>
      <c r="N93" t="str">
        <f t="shared" si="5"/>
        <v>Mar</v>
      </c>
      <c r="O93" t="str">
        <f t="shared" si="6"/>
        <v>High</v>
      </c>
      <c r="P93" s="7">
        <f t="shared" si="7"/>
        <v>0.17516067077038847</v>
      </c>
    </row>
    <row r="94" spans="1:16" x14ac:dyDescent="0.3">
      <c r="A94" t="s">
        <v>194</v>
      </c>
      <c r="B94" s="2">
        <v>45722</v>
      </c>
      <c r="C94" t="s">
        <v>85</v>
      </c>
      <c r="D94" t="s">
        <v>21</v>
      </c>
      <c r="E94" t="s">
        <v>105</v>
      </c>
      <c r="F94" t="s">
        <v>23</v>
      </c>
      <c r="G94" t="s">
        <v>58</v>
      </c>
      <c r="H94" t="s">
        <v>59</v>
      </c>
      <c r="I94">
        <v>5</v>
      </c>
      <c r="J94" s="3">
        <v>0.2</v>
      </c>
      <c r="K94" s="4">
        <v>209238.65</v>
      </c>
      <c r="L94" s="4">
        <v>36804.769999999997</v>
      </c>
      <c r="M94">
        <f t="shared" si="4"/>
        <v>2025</v>
      </c>
      <c r="N94" t="str">
        <f t="shared" si="5"/>
        <v>Mar</v>
      </c>
      <c r="O94" t="str">
        <f t="shared" si="6"/>
        <v>High</v>
      </c>
      <c r="P94" s="7">
        <f t="shared" si="7"/>
        <v>0.17589852543973114</v>
      </c>
    </row>
    <row r="95" spans="1:16" x14ac:dyDescent="0.3">
      <c r="A95" t="s">
        <v>195</v>
      </c>
      <c r="B95" s="2">
        <v>45723</v>
      </c>
      <c r="C95" t="s">
        <v>32</v>
      </c>
      <c r="D95" t="s">
        <v>39</v>
      </c>
      <c r="E95" t="s">
        <v>40</v>
      </c>
      <c r="F95" t="s">
        <v>16</v>
      </c>
      <c r="G95" t="s">
        <v>17</v>
      </c>
      <c r="H95" t="s">
        <v>153</v>
      </c>
      <c r="I95">
        <v>4</v>
      </c>
      <c r="J95" s="3">
        <v>0</v>
      </c>
      <c r="K95" s="4">
        <v>33356.800000000003</v>
      </c>
      <c r="L95" s="4">
        <v>6384.43</v>
      </c>
      <c r="M95">
        <f t="shared" si="4"/>
        <v>2025</v>
      </c>
      <c r="N95" t="str">
        <f t="shared" si="5"/>
        <v>Mar</v>
      </c>
      <c r="O95" t="str">
        <f t="shared" si="6"/>
        <v>High</v>
      </c>
      <c r="P95" s="7">
        <f t="shared" si="7"/>
        <v>0.19139815569838833</v>
      </c>
    </row>
    <row r="96" spans="1:16" x14ac:dyDescent="0.3">
      <c r="A96" t="s">
        <v>196</v>
      </c>
      <c r="B96" s="2">
        <v>45724</v>
      </c>
      <c r="C96" t="s">
        <v>100</v>
      </c>
      <c r="D96" t="s">
        <v>21</v>
      </c>
      <c r="E96" t="s">
        <v>57</v>
      </c>
      <c r="F96" t="s">
        <v>16</v>
      </c>
      <c r="G96" t="s">
        <v>62</v>
      </c>
      <c r="H96" t="s">
        <v>167</v>
      </c>
      <c r="I96">
        <v>5</v>
      </c>
      <c r="J96" s="3">
        <v>0.1</v>
      </c>
      <c r="K96" s="4">
        <v>24591.9</v>
      </c>
      <c r="L96" s="4">
        <v>1979.82</v>
      </c>
      <c r="M96">
        <f t="shared" si="4"/>
        <v>2025</v>
      </c>
      <c r="N96" t="str">
        <f t="shared" si="5"/>
        <v>Mar</v>
      </c>
      <c r="O96" t="str">
        <f t="shared" si="6"/>
        <v>High</v>
      </c>
      <c r="P96" s="7">
        <f t="shared" si="7"/>
        <v>8.0506996206067841E-2</v>
      </c>
    </row>
    <row r="97" spans="1:16" x14ac:dyDescent="0.3">
      <c r="A97" t="s">
        <v>197</v>
      </c>
      <c r="B97" s="2">
        <v>45724</v>
      </c>
      <c r="C97" t="s">
        <v>27</v>
      </c>
      <c r="D97" t="s">
        <v>33</v>
      </c>
      <c r="E97" t="s">
        <v>140</v>
      </c>
      <c r="F97" t="s">
        <v>23</v>
      </c>
      <c r="G97" t="s">
        <v>24</v>
      </c>
      <c r="H97" t="s">
        <v>25</v>
      </c>
      <c r="I97">
        <v>5</v>
      </c>
      <c r="J97" s="3">
        <v>0.15</v>
      </c>
      <c r="K97" s="4">
        <v>121977.2</v>
      </c>
      <c r="L97" s="4">
        <v>14491.88</v>
      </c>
      <c r="M97">
        <f t="shared" si="4"/>
        <v>2025</v>
      </c>
      <c r="N97" t="str">
        <f t="shared" si="5"/>
        <v>Mar</v>
      </c>
      <c r="O97" t="str">
        <f t="shared" si="6"/>
        <v>High</v>
      </c>
      <c r="P97" s="7">
        <f t="shared" si="7"/>
        <v>0.11880810512128495</v>
      </c>
    </row>
    <row r="98" spans="1:16" x14ac:dyDescent="0.3">
      <c r="A98" t="s">
        <v>198</v>
      </c>
      <c r="B98" s="2">
        <v>45724</v>
      </c>
      <c r="C98" t="s">
        <v>66</v>
      </c>
      <c r="D98" t="s">
        <v>33</v>
      </c>
      <c r="E98" t="s">
        <v>34</v>
      </c>
      <c r="F98" t="s">
        <v>16</v>
      </c>
      <c r="G98" t="s">
        <v>62</v>
      </c>
      <c r="H98" t="s">
        <v>167</v>
      </c>
      <c r="I98">
        <v>2</v>
      </c>
      <c r="J98" s="3">
        <v>0.2</v>
      </c>
      <c r="K98" s="4">
        <v>12791.06</v>
      </c>
      <c r="L98" s="4">
        <v>200.08</v>
      </c>
      <c r="M98">
        <f t="shared" si="4"/>
        <v>2025</v>
      </c>
      <c r="N98" t="str">
        <f t="shared" si="5"/>
        <v>Mar</v>
      </c>
      <c r="O98" t="str">
        <f t="shared" si="6"/>
        <v>High</v>
      </c>
      <c r="P98" s="7">
        <f t="shared" si="7"/>
        <v>1.5642175081658598E-2</v>
      </c>
    </row>
    <row r="99" spans="1:16" x14ac:dyDescent="0.3">
      <c r="A99" t="s">
        <v>199</v>
      </c>
      <c r="B99" s="2">
        <v>45726</v>
      </c>
      <c r="C99" t="s">
        <v>104</v>
      </c>
      <c r="D99" t="s">
        <v>33</v>
      </c>
      <c r="E99" t="s">
        <v>45</v>
      </c>
      <c r="F99" t="s">
        <v>16</v>
      </c>
      <c r="G99" t="s">
        <v>68</v>
      </c>
      <c r="H99" t="s">
        <v>83</v>
      </c>
      <c r="I99">
        <v>4</v>
      </c>
      <c r="J99" s="3">
        <v>0.05</v>
      </c>
      <c r="K99" s="4">
        <v>38921.599999999999</v>
      </c>
      <c r="L99" s="4">
        <v>8634.76</v>
      </c>
      <c r="M99">
        <f t="shared" si="4"/>
        <v>2025</v>
      </c>
      <c r="N99" t="str">
        <f t="shared" si="5"/>
        <v>Mar</v>
      </c>
      <c r="O99" t="str">
        <f t="shared" si="6"/>
        <v>High</v>
      </c>
      <c r="P99" s="7">
        <f t="shared" si="7"/>
        <v>0.22185007810573051</v>
      </c>
    </row>
    <row r="100" spans="1:16" x14ac:dyDescent="0.3">
      <c r="A100" t="s">
        <v>200</v>
      </c>
      <c r="B100" s="2">
        <v>45726</v>
      </c>
      <c r="C100" t="s">
        <v>32</v>
      </c>
      <c r="D100" t="s">
        <v>14</v>
      </c>
      <c r="E100" t="s">
        <v>54</v>
      </c>
      <c r="F100" t="s">
        <v>23</v>
      </c>
      <c r="G100" t="s">
        <v>58</v>
      </c>
      <c r="H100" t="s">
        <v>78</v>
      </c>
      <c r="I100">
        <v>4</v>
      </c>
      <c r="J100" s="3">
        <v>0.1</v>
      </c>
      <c r="K100" s="4">
        <v>67881.2</v>
      </c>
      <c r="L100" s="4">
        <v>5509.49</v>
      </c>
      <c r="M100">
        <f t="shared" si="4"/>
        <v>2025</v>
      </c>
      <c r="N100" t="str">
        <f t="shared" si="5"/>
        <v>Mar</v>
      </c>
      <c r="O100" t="str">
        <f t="shared" si="6"/>
        <v>High</v>
      </c>
      <c r="P100" s="7">
        <f t="shared" si="7"/>
        <v>8.1163709539607429E-2</v>
      </c>
    </row>
    <row r="101" spans="1:16" x14ac:dyDescent="0.3">
      <c r="A101" t="s">
        <v>201</v>
      </c>
      <c r="B101" s="2">
        <v>45727</v>
      </c>
      <c r="C101" t="s">
        <v>147</v>
      </c>
      <c r="D101" t="s">
        <v>14</v>
      </c>
      <c r="E101" t="s">
        <v>54</v>
      </c>
      <c r="F101" t="s">
        <v>16</v>
      </c>
      <c r="G101" t="s">
        <v>41</v>
      </c>
      <c r="H101" t="s">
        <v>42</v>
      </c>
      <c r="I101">
        <v>3</v>
      </c>
      <c r="J101" s="3">
        <v>0.15</v>
      </c>
      <c r="K101" s="4">
        <v>29939.279999999999</v>
      </c>
      <c r="L101" s="4">
        <v>1021.72</v>
      </c>
      <c r="M101">
        <f t="shared" si="4"/>
        <v>2025</v>
      </c>
      <c r="N101" t="str">
        <f t="shared" si="5"/>
        <v>Mar</v>
      </c>
      <c r="O101" t="str">
        <f t="shared" si="6"/>
        <v>High</v>
      </c>
      <c r="P101" s="7">
        <f t="shared" si="7"/>
        <v>3.4126405177412417E-2</v>
      </c>
    </row>
    <row r="102" spans="1:16" x14ac:dyDescent="0.3">
      <c r="A102" t="s">
        <v>202</v>
      </c>
      <c r="B102" s="2">
        <v>45727</v>
      </c>
      <c r="C102" t="s">
        <v>77</v>
      </c>
      <c r="D102" t="s">
        <v>33</v>
      </c>
      <c r="E102" t="s">
        <v>140</v>
      </c>
      <c r="F102" t="s">
        <v>23</v>
      </c>
      <c r="G102" t="s">
        <v>48</v>
      </c>
      <c r="H102" t="s">
        <v>49</v>
      </c>
      <c r="I102">
        <v>3</v>
      </c>
      <c r="J102" s="3">
        <v>0.15</v>
      </c>
      <c r="K102" s="4">
        <v>53168.160000000003</v>
      </c>
      <c r="L102" s="4">
        <v>6717.31</v>
      </c>
      <c r="M102">
        <f t="shared" si="4"/>
        <v>2025</v>
      </c>
      <c r="N102" t="str">
        <f t="shared" si="5"/>
        <v>Mar</v>
      </c>
      <c r="O102" t="str">
        <f t="shared" si="6"/>
        <v>High</v>
      </c>
      <c r="P102" s="7">
        <f t="shared" si="7"/>
        <v>0.12634084008173313</v>
      </c>
    </row>
    <row r="103" spans="1:16" x14ac:dyDescent="0.3">
      <c r="A103" t="s">
        <v>203</v>
      </c>
      <c r="B103" s="2">
        <v>45729</v>
      </c>
      <c r="C103" t="s">
        <v>109</v>
      </c>
      <c r="D103" t="s">
        <v>14</v>
      </c>
      <c r="E103" t="s">
        <v>54</v>
      </c>
      <c r="F103" t="s">
        <v>28</v>
      </c>
      <c r="G103" t="s">
        <v>92</v>
      </c>
      <c r="H103" t="s">
        <v>204</v>
      </c>
      <c r="I103">
        <v>1</v>
      </c>
      <c r="J103" s="3">
        <v>0.05</v>
      </c>
      <c r="K103" s="4">
        <v>2040.26</v>
      </c>
      <c r="L103" s="4">
        <v>182.3</v>
      </c>
      <c r="M103">
        <f t="shared" si="4"/>
        <v>2025</v>
      </c>
      <c r="N103" t="str">
        <f t="shared" si="5"/>
        <v>Mar</v>
      </c>
      <c r="O103" t="str">
        <f t="shared" si="6"/>
        <v>High</v>
      </c>
      <c r="P103" s="7">
        <f t="shared" si="7"/>
        <v>8.935135717996727E-2</v>
      </c>
    </row>
    <row r="104" spans="1:16" x14ac:dyDescent="0.3">
      <c r="A104" t="s">
        <v>205</v>
      </c>
      <c r="B104" s="2">
        <v>45729</v>
      </c>
      <c r="C104" t="s">
        <v>44</v>
      </c>
      <c r="D104" t="s">
        <v>21</v>
      </c>
      <c r="E104" t="s">
        <v>57</v>
      </c>
      <c r="F104" t="s">
        <v>28</v>
      </c>
      <c r="G104" t="s">
        <v>74</v>
      </c>
      <c r="H104" t="s">
        <v>159</v>
      </c>
      <c r="I104">
        <v>5</v>
      </c>
      <c r="J104" s="3">
        <v>0.2</v>
      </c>
      <c r="K104" s="4">
        <v>16416.349999999999</v>
      </c>
      <c r="L104" s="4">
        <v>2482.3000000000002</v>
      </c>
      <c r="M104">
        <f t="shared" si="4"/>
        <v>2025</v>
      </c>
      <c r="N104" t="str">
        <f t="shared" si="5"/>
        <v>Mar</v>
      </c>
      <c r="O104" t="str">
        <f t="shared" si="6"/>
        <v>High</v>
      </c>
      <c r="P104" s="7">
        <f t="shared" si="7"/>
        <v>0.15120900809254192</v>
      </c>
    </row>
    <row r="105" spans="1:16" x14ac:dyDescent="0.3">
      <c r="A105" t="s">
        <v>206</v>
      </c>
      <c r="B105" s="2">
        <v>45730</v>
      </c>
      <c r="C105" t="s">
        <v>150</v>
      </c>
      <c r="D105" t="s">
        <v>21</v>
      </c>
      <c r="E105" t="s">
        <v>105</v>
      </c>
      <c r="F105" t="s">
        <v>28</v>
      </c>
      <c r="G105" t="s">
        <v>74</v>
      </c>
      <c r="H105" t="s">
        <v>75</v>
      </c>
      <c r="I105">
        <v>5</v>
      </c>
      <c r="J105" s="3">
        <v>0.1</v>
      </c>
      <c r="K105" s="4">
        <v>1060.9000000000001</v>
      </c>
      <c r="L105" s="4">
        <v>173.08</v>
      </c>
      <c r="M105">
        <f t="shared" si="4"/>
        <v>2025</v>
      </c>
      <c r="N105" t="str">
        <f t="shared" si="5"/>
        <v>Mar</v>
      </c>
      <c r="O105" t="str">
        <f t="shared" si="6"/>
        <v>High</v>
      </c>
      <c r="P105" s="7">
        <f t="shared" si="7"/>
        <v>0.1631444999528702</v>
      </c>
    </row>
    <row r="106" spans="1:16" x14ac:dyDescent="0.3">
      <c r="A106" t="s">
        <v>207</v>
      </c>
      <c r="B106" s="2">
        <v>45730</v>
      </c>
      <c r="C106" t="s">
        <v>44</v>
      </c>
      <c r="D106" t="s">
        <v>21</v>
      </c>
      <c r="E106" t="s">
        <v>105</v>
      </c>
      <c r="F106" t="s">
        <v>16</v>
      </c>
      <c r="G106" t="s">
        <v>68</v>
      </c>
      <c r="H106" t="s">
        <v>83</v>
      </c>
      <c r="I106">
        <v>2</v>
      </c>
      <c r="J106" s="3">
        <v>0.2</v>
      </c>
      <c r="K106" s="4">
        <v>5075.42</v>
      </c>
      <c r="L106" s="4">
        <v>149.80000000000001</v>
      </c>
      <c r="M106">
        <f t="shared" si="4"/>
        <v>2025</v>
      </c>
      <c r="N106" t="str">
        <f t="shared" si="5"/>
        <v>Mar</v>
      </c>
      <c r="O106" t="str">
        <f t="shared" si="6"/>
        <v>High</v>
      </c>
      <c r="P106" s="7">
        <f t="shared" si="7"/>
        <v>2.9514798775273771E-2</v>
      </c>
    </row>
    <row r="107" spans="1:16" x14ac:dyDescent="0.3">
      <c r="A107" t="s">
        <v>208</v>
      </c>
      <c r="B107" s="2">
        <v>45730</v>
      </c>
      <c r="C107" t="s">
        <v>85</v>
      </c>
      <c r="D107" t="s">
        <v>33</v>
      </c>
      <c r="E107" t="s">
        <v>140</v>
      </c>
      <c r="F107" t="s">
        <v>23</v>
      </c>
      <c r="G107" t="s">
        <v>24</v>
      </c>
      <c r="H107" t="s">
        <v>25</v>
      </c>
      <c r="I107">
        <v>6</v>
      </c>
      <c r="J107" s="3">
        <v>0</v>
      </c>
      <c r="K107" s="4">
        <v>60457.2</v>
      </c>
      <c r="L107" s="4">
        <v>9955.2999999999993</v>
      </c>
      <c r="M107">
        <f t="shared" si="4"/>
        <v>2025</v>
      </c>
      <c r="N107" t="str">
        <f t="shared" si="5"/>
        <v>Mar</v>
      </c>
      <c r="O107" t="str">
        <f t="shared" si="6"/>
        <v>High</v>
      </c>
      <c r="P107" s="7">
        <f t="shared" si="7"/>
        <v>0.16466690485169674</v>
      </c>
    </row>
    <row r="108" spans="1:16" x14ac:dyDescent="0.3">
      <c r="A108" t="s">
        <v>209</v>
      </c>
      <c r="B108" s="2">
        <v>45730</v>
      </c>
      <c r="C108" t="s">
        <v>147</v>
      </c>
      <c r="D108" t="s">
        <v>39</v>
      </c>
      <c r="E108" t="s">
        <v>128</v>
      </c>
      <c r="F108" t="s">
        <v>23</v>
      </c>
      <c r="G108" t="s">
        <v>24</v>
      </c>
      <c r="H108" t="s">
        <v>132</v>
      </c>
      <c r="I108">
        <v>6</v>
      </c>
      <c r="J108" s="3">
        <v>0.15</v>
      </c>
      <c r="K108" s="4">
        <v>237708.42</v>
      </c>
      <c r="L108" s="4">
        <v>15681.02</v>
      </c>
      <c r="M108">
        <f t="shared" si="4"/>
        <v>2025</v>
      </c>
      <c r="N108" t="str">
        <f t="shared" si="5"/>
        <v>Mar</v>
      </c>
      <c r="O108" t="str">
        <f t="shared" si="6"/>
        <v>High</v>
      </c>
      <c r="P108" s="7">
        <f t="shared" si="7"/>
        <v>6.596745710564228E-2</v>
      </c>
    </row>
    <row r="109" spans="1:16" x14ac:dyDescent="0.3">
      <c r="A109" t="s">
        <v>210</v>
      </c>
      <c r="B109" s="2">
        <v>45731</v>
      </c>
      <c r="C109" t="s">
        <v>100</v>
      </c>
      <c r="D109" t="s">
        <v>14</v>
      </c>
      <c r="E109" t="s">
        <v>97</v>
      </c>
      <c r="F109" t="s">
        <v>23</v>
      </c>
      <c r="G109" t="s">
        <v>58</v>
      </c>
      <c r="H109" t="s">
        <v>101</v>
      </c>
      <c r="I109">
        <v>1</v>
      </c>
      <c r="J109" s="3">
        <v>0.1</v>
      </c>
      <c r="K109" s="4">
        <v>12060.67</v>
      </c>
      <c r="L109" s="4">
        <v>2323.2399999999998</v>
      </c>
      <c r="M109">
        <f t="shared" si="4"/>
        <v>2025</v>
      </c>
      <c r="N109" t="str">
        <f t="shared" si="5"/>
        <v>Mar</v>
      </c>
      <c r="O109" t="str">
        <f t="shared" si="6"/>
        <v>High</v>
      </c>
      <c r="P109" s="7">
        <f t="shared" si="7"/>
        <v>0.19262943103492591</v>
      </c>
    </row>
    <row r="110" spans="1:16" x14ac:dyDescent="0.3">
      <c r="A110" t="s">
        <v>211</v>
      </c>
      <c r="B110" s="2">
        <v>45733</v>
      </c>
      <c r="C110" t="s">
        <v>27</v>
      </c>
      <c r="D110" t="s">
        <v>39</v>
      </c>
      <c r="E110" t="s">
        <v>47</v>
      </c>
      <c r="F110" t="s">
        <v>23</v>
      </c>
      <c r="G110" t="s">
        <v>48</v>
      </c>
      <c r="H110" t="s">
        <v>124</v>
      </c>
      <c r="I110">
        <v>2</v>
      </c>
      <c r="J110" s="3">
        <v>0</v>
      </c>
      <c r="K110" s="4">
        <v>83957.24</v>
      </c>
      <c r="L110" s="4">
        <v>8159.88</v>
      </c>
      <c r="M110">
        <f t="shared" si="4"/>
        <v>2025</v>
      </c>
      <c r="N110" t="str">
        <f t="shared" si="5"/>
        <v>Mar</v>
      </c>
      <c r="O110" t="str">
        <f t="shared" si="6"/>
        <v>High</v>
      </c>
      <c r="P110" s="7">
        <f t="shared" si="7"/>
        <v>9.719090336938184E-2</v>
      </c>
    </row>
    <row r="111" spans="1:16" x14ac:dyDescent="0.3">
      <c r="A111" t="s">
        <v>212</v>
      </c>
      <c r="B111" s="2">
        <v>45734</v>
      </c>
      <c r="C111" t="s">
        <v>51</v>
      </c>
      <c r="D111" t="s">
        <v>39</v>
      </c>
      <c r="E111" t="s">
        <v>40</v>
      </c>
      <c r="F111" t="s">
        <v>16</v>
      </c>
      <c r="G111" t="s">
        <v>68</v>
      </c>
      <c r="H111" t="s">
        <v>83</v>
      </c>
      <c r="I111">
        <v>7</v>
      </c>
      <c r="J111" s="3">
        <v>0.2</v>
      </c>
      <c r="K111" s="4">
        <v>19047.21</v>
      </c>
      <c r="L111" s="4">
        <v>2188.1</v>
      </c>
      <c r="M111">
        <f t="shared" si="4"/>
        <v>2025</v>
      </c>
      <c r="N111" t="str">
        <f t="shared" si="5"/>
        <v>Mar</v>
      </c>
      <c r="O111" t="str">
        <f t="shared" si="6"/>
        <v>High</v>
      </c>
      <c r="P111" s="7">
        <f t="shared" si="7"/>
        <v>0.11487771699897255</v>
      </c>
    </row>
    <row r="112" spans="1:16" x14ac:dyDescent="0.3">
      <c r="A112" t="s">
        <v>213</v>
      </c>
      <c r="B112" s="2">
        <v>45736</v>
      </c>
      <c r="C112" t="s">
        <v>20</v>
      </c>
      <c r="D112" t="s">
        <v>39</v>
      </c>
      <c r="E112" t="s">
        <v>47</v>
      </c>
      <c r="F112" t="s">
        <v>16</v>
      </c>
      <c r="G112" t="s">
        <v>68</v>
      </c>
      <c r="H112" t="s">
        <v>175</v>
      </c>
      <c r="I112">
        <v>3</v>
      </c>
      <c r="J112" s="3">
        <v>0.05</v>
      </c>
      <c r="K112" s="4">
        <v>25073.7</v>
      </c>
      <c r="L112" s="4">
        <v>2244.59</v>
      </c>
      <c r="M112">
        <f t="shared" si="4"/>
        <v>2025</v>
      </c>
      <c r="N112" t="str">
        <f t="shared" si="5"/>
        <v>Mar</v>
      </c>
      <c r="O112" t="str">
        <f t="shared" si="6"/>
        <v>High</v>
      </c>
      <c r="P112" s="7">
        <f t="shared" si="7"/>
        <v>8.9519695936379554E-2</v>
      </c>
    </row>
    <row r="113" spans="1:16" x14ac:dyDescent="0.3">
      <c r="A113" t="s">
        <v>214</v>
      </c>
      <c r="B113" s="2">
        <v>45738</v>
      </c>
      <c r="C113" t="s">
        <v>27</v>
      </c>
      <c r="D113" t="s">
        <v>21</v>
      </c>
      <c r="E113" t="s">
        <v>105</v>
      </c>
      <c r="F113" t="s">
        <v>23</v>
      </c>
      <c r="G113" t="s">
        <v>35</v>
      </c>
      <c r="H113" t="s">
        <v>36</v>
      </c>
      <c r="I113">
        <v>6</v>
      </c>
      <c r="J113" s="3">
        <v>0.1</v>
      </c>
      <c r="K113" s="4">
        <v>161991.84</v>
      </c>
      <c r="L113" s="4">
        <v>20673.41</v>
      </c>
      <c r="M113">
        <f t="shared" si="4"/>
        <v>2025</v>
      </c>
      <c r="N113" t="str">
        <f t="shared" si="5"/>
        <v>Mar</v>
      </c>
      <c r="O113" t="str">
        <f t="shared" si="6"/>
        <v>High</v>
      </c>
      <c r="P113" s="7">
        <f t="shared" si="7"/>
        <v>0.12762007024551361</v>
      </c>
    </row>
    <row r="114" spans="1:16" x14ac:dyDescent="0.3">
      <c r="A114" t="s">
        <v>215</v>
      </c>
      <c r="B114" s="2">
        <v>45739</v>
      </c>
      <c r="C114" t="s">
        <v>44</v>
      </c>
      <c r="D114" t="s">
        <v>39</v>
      </c>
      <c r="E114" t="s">
        <v>52</v>
      </c>
      <c r="F114" t="s">
        <v>16</v>
      </c>
      <c r="G114" t="s">
        <v>41</v>
      </c>
      <c r="H114" t="s">
        <v>177</v>
      </c>
      <c r="I114">
        <v>7</v>
      </c>
      <c r="J114" s="3">
        <v>0.1</v>
      </c>
      <c r="K114" s="4">
        <v>40139.050000000003</v>
      </c>
      <c r="L114" s="4">
        <v>7462.48</v>
      </c>
      <c r="M114">
        <f t="shared" si="4"/>
        <v>2025</v>
      </c>
      <c r="N114" t="str">
        <f t="shared" si="5"/>
        <v>Mar</v>
      </c>
      <c r="O114" t="str">
        <f t="shared" si="6"/>
        <v>High</v>
      </c>
      <c r="P114" s="7">
        <f t="shared" si="7"/>
        <v>0.18591571051133496</v>
      </c>
    </row>
    <row r="115" spans="1:16" x14ac:dyDescent="0.3">
      <c r="A115" t="s">
        <v>216</v>
      </c>
      <c r="B115" s="2">
        <v>45739</v>
      </c>
      <c r="C115" t="s">
        <v>85</v>
      </c>
      <c r="D115" t="s">
        <v>21</v>
      </c>
      <c r="E115" t="s">
        <v>67</v>
      </c>
      <c r="F115" t="s">
        <v>28</v>
      </c>
      <c r="G115" t="s">
        <v>29</v>
      </c>
      <c r="H115" t="s">
        <v>98</v>
      </c>
      <c r="I115">
        <v>3</v>
      </c>
      <c r="J115" s="3">
        <v>0.05</v>
      </c>
      <c r="K115" s="4">
        <v>10212.27</v>
      </c>
      <c r="L115" s="4">
        <v>2145.29</v>
      </c>
      <c r="M115">
        <f t="shared" si="4"/>
        <v>2025</v>
      </c>
      <c r="N115" t="str">
        <f t="shared" si="5"/>
        <v>Mar</v>
      </c>
      <c r="O115" t="str">
        <f t="shared" si="6"/>
        <v>High</v>
      </c>
      <c r="P115" s="7">
        <f t="shared" si="7"/>
        <v>0.21006984735029527</v>
      </c>
    </row>
    <row r="116" spans="1:16" x14ac:dyDescent="0.3">
      <c r="A116" t="s">
        <v>217</v>
      </c>
      <c r="B116" s="2">
        <v>45739</v>
      </c>
      <c r="C116" t="s">
        <v>111</v>
      </c>
      <c r="D116" t="s">
        <v>39</v>
      </c>
      <c r="E116" t="s">
        <v>47</v>
      </c>
      <c r="F116" t="s">
        <v>23</v>
      </c>
      <c r="G116" t="s">
        <v>58</v>
      </c>
      <c r="H116" t="s">
        <v>78</v>
      </c>
      <c r="I116">
        <v>2</v>
      </c>
      <c r="J116" s="3">
        <v>0.2</v>
      </c>
      <c r="K116" s="4">
        <v>65881.08</v>
      </c>
      <c r="L116" s="4">
        <v>11817.54</v>
      </c>
      <c r="M116">
        <f t="shared" si="4"/>
        <v>2025</v>
      </c>
      <c r="N116" t="str">
        <f t="shared" si="5"/>
        <v>Mar</v>
      </c>
      <c r="O116" t="str">
        <f t="shared" si="6"/>
        <v>High</v>
      </c>
      <c r="P116" s="7">
        <f t="shared" si="7"/>
        <v>0.17937684081681721</v>
      </c>
    </row>
    <row r="117" spans="1:16" x14ac:dyDescent="0.3">
      <c r="A117" t="s">
        <v>218</v>
      </c>
      <c r="B117" s="2">
        <v>45739</v>
      </c>
      <c r="C117" t="s">
        <v>85</v>
      </c>
      <c r="D117" t="s">
        <v>33</v>
      </c>
      <c r="E117" t="s">
        <v>34</v>
      </c>
      <c r="F117" t="s">
        <v>23</v>
      </c>
      <c r="G117" t="s">
        <v>58</v>
      </c>
      <c r="H117" t="s">
        <v>90</v>
      </c>
      <c r="I117">
        <v>1</v>
      </c>
      <c r="J117" s="3">
        <v>0.15</v>
      </c>
      <c r="K117" s="4">
        <v>25034.400000000001</v>
      </c>
      <c r="L117" s="4">
        <v>3612.38</v>
      </c>
      <c r="M117">
        <f t="shared" si="4"/>
        <v>2025</v>
      </c>
      <c r="N117" t="str">
        <f t="shared" si="5"/>
        <v>Mar</v>
      </c>
      <c r="O117" t="str">
        <f t="shared" si="6"/>
        <v>High</v>
      </c>
      <c r="P117" s="7">
        <f t="shared" si="7"/>
        <v>0.14429664781260984</v>
      </c>
    </row>
    <row r="118" spans="1:16" x14ac:dyDescent="0.3">
      <c r="A118" t="s">
        <v>219</v>
      </c>
      <c r="B118" s="2">
        <v>45739</v>
      </c>
      <c r="C118" t="s">
        <v>95</v>
      </c>
      <c r="D118" t="s">
        <v>39</v>
      </c>
      <c r="E118" t="s">
        <v>52</v>
      </c>
      <c r="F118" t="s">
        <v>23</v>
      </c>
      <c r="G118" t="s">
        <v>24</v>
      </c>
      <c r="H118" t="s">
        <v>129</v>
      </c>
      <c r="I118">
        <v>5</v>
      </c>
      <c r="J118" s="3">
        <v>0.15</v>
      </c>
      <c r="K118" s="4">
        <v>201738.4</v>
      </c>
      <c r="L118" s="4">
        <v>39746.699999999997</v>
      </c>
      <c r="M118">
        <f t="shared" si="4"/>
        <v>2025</v>
      </c>
      <c r="N118" t="str">
        <f t="shared" si="5"/>
        <v>Mar</v>
      </c>
      <c r="O118" t="str">
        <f t="shared" si="6"/>
        <v>High</v>
      </c>
      <c r="P118" s="7">
        <f t="shared" si="7"/>
        <v>0.1970209935242869</v>
      </c>
    </row>
    <row r="119" spans="1:16" x14ac:dyDescent="0.3">
      <c r="A119" t="s">
        <v>220</v>
      </c>
      <c r="B119" s="2">
        <v>45739</v>
      </c>
      <c r="C119" t="s">
        <v>20</v>
      </c>
      <c r="D119" t="s">
        <v>33</v>
      </c>
      <c r="E119" t="s">
        <v>140</v>
      </c>
      <c r="F119" t="s">
        <v>28</v>
      </c>
      <c r="G119" t="s">
        <v>92</v>
      </c>
      <c r="H119" t="s">
        <v>93</v>
      </c>
      <c r="I119">
        <v>5</v>
      </c>
      <c r="J119" s="3">
        <v>0.05</v>
      </c>
      <c r="K119" s="4">
        <v>15528.65</v>
      </c>
      <c r="L119" s="4">
        <v>1188.99</v>
      </c>
      <c r="M119">
        <f t="shared" si="4"/>
        <v>2025</v>
      </c>
      <c r="N119" t="str">
        <f t="shared" si="5"/>
        <v>Mar</v>
      </c>
      <c r="O119" t="str">
        <f t="shared" si="6"/>
        <v>High</v>
      </c>
      <c r="P119" s="7">
        <f t="shared" si="7"/>
        <v>7.6567505868185587E-2</v>
      </c>
    </row>
    <row r="120" spans="1:16" x14ac:dyDescent="0.3">
      <c r="A120" t="s">
        <v>221</v>
      </c>
      <c r="B120" s="2">
        <v>45740</v>
      </c>
      <c r="C120" t="s">
        <v>77</v>
      </c>
      <c r="D120" t="s">
        <v>14</v>
      </c>
      <c r="E120" t="s">
        <v>54</v>
      </c>
      <c r="F120" t="s">
        <v>28</v>
      </c>
      <c r="G120" t="s">
        <v>71</v>
      </c>
      <c r="H120" t="s">
        <v>72</v>
      </c>
      <c r="I120">
        <v>6</v>
      </c>
      <c r="J120" s="3">
        <v>0.15</v>
      </c>
      <c r="K120" s="4">
        <v>11693.16</v>
      </c>
      <c r="L120" s="4">
        <v>1663.63</v>
      </c>
      <c r="M120">
        <f t="shared" si="4"/>
        <v>2025</v>
      </c>
      <c r="N120" t="str">
        <f t="shared" si="5"/>
        <v>Mar</v>
      </c>
      <c r="O120" t="str">
        <f t="shared" si="6"/>
        <v>High</v>
      </c>
      <c r="P120" s="7">
        <f t="shared" si="7"/>
        <v>0.14227377372754671</v>
      </c>
    </row>
    <row r="121" spans="1:16" x14ac:dyDescent="0.3">
      <c r="A121" t="s">
        <v>222</v>
      </c>
      <c r="B121" s="2">
        <v>45740</v>
      </c>
      <c r="C121" t="s">
        <v>111</v>
      </c>
      <c r="D121" t="s">
        <v>33</v>
      </c>
      <c r="E121" t="s">
        <v>140</v>
      </c>
      <c r="F121" t="s">
        <v>23</v>
      </c>
      <c r="G121" t="s">
        <v>24</v>
      </c>
      <c r="H121" t="s">
        <v>129</v>
      </c>
      <c r="I121">
        <v>2</v>
      </c>
      <c r="J121" s="3">
        <v>0.05</v>
      </c>
      <c r="K121" s="4">
        <v>9163.2199999999993</v>
      </c>
      <c r="L121" s="4">
        <v>1810.36</v>
      </c>
      <c r="M121">
        <f t="shared" si="4"/>
        <v>2025</v>
      </c>
      <c r="N121" t="str">
        <f t="shared" si="5"/>
        <v>Mar</v>
      </c>
      <c r="O121" t="str">
        <f t="shared" si="6"/>
        <v>High</v>
      </c>
      <c r="P121" s="7">
        <f t="shared" si="7"/>
        <v>0.19756810378884279</v>
      </c>
    </row>
    <row r="122" spans="1:16" x14ac:dyDescent="0.3">
      <c r="A122" t="s">
        <v>223</v>
      </c>
      <c r="B122" s="2">
        <v>45740</v>
      </c>
      <c r="C122" t="s">
        <v>27</v>
      </c>
      <c r="D122" t="s">
        <v>21</v>
      </c>
      <c r="E122" t="s">
        <v>105</v>
      </c>
      <c r="F122" t="s">
        <v>28</v>
      </c>
      <c r="G122" t="s">
        <v>71</v>
      </c>
      <c r="H122" t="s">
        <v>121</v>
      </c>
      <c r="I122">
        <v>3</v>
      </c>
      <c r="J122" s="3">
        <v>0.15</v>
      </c>
      <c r="K122" s="4">
        <v>1397.07</v>
      </c>
      <c r="L122" s="4">
        <v>110.45</v>
      </c>
      <c r="M122">
        <f t="shared" si="4"/>
        <v>2025</v>
      </c>
      <c r="N122" t="str">
        <f t="shared" si="5"/>
        <v>Mar</v>
      </c>
      <c r="O122" t="str">
        <f t="shared" si="6"/>
        <v>High</v>
      </c>
      <c r="P122" s="7">
        <f t="shared" si="7"/>
        <v>7.9058314901901849E-2</v>
      </c>
    </row>
    <row r="123" spans="1:16" x14ac:dyDescent="0.3">
      <c r="A123" t="s">
        <v>224</v>
      </c>
      <c r="B123" s="2">
        <v>45740</v>
      </c>
      <c r="C123" t="s">
        <v>61</v>
      </c>
      <c r="D123" t="s">
        <v>21</v>
      </c>
      <c r="E123" t="s">
        <v>105</v>
      </c>
      <c r="F123" t="s">
        <v>28</v>
      </c>
      <c r="G123" t="s">
        <v>92</v>
      </c>
      <c r="H123" t="s">
        <v>93</v>
      </c>
      <c r="I123">
        <v>1</v>
      </c>
      <c r="J123" s="3">
        <v>0.15</v>
      </c>
      <c r="K123" s="4">
        <v>1753.49</v>
      </c>
      <c r="L123" s="4">
        <v>240.76</v>
      </c>
      <c r="M123">
        <f t="shared" si="4"/>
        <v>2025</v>
      </c>
      <c r="N123" t="str">
        <f t="shared" si="5"/>
        <v>Mar</v>
      </c>
      <c r="O123" t="str">
        <f t="shared" si="6"/>
        <v>High</v>
      </c>
      <c r="P123" s="7">
        <f t="shared" si="7"/>
        <v>0.13730332080593557</v>
      </c>
    </row>
    <row r="124" spans="1:16" x14ac:dyDescent="0.3">
      <c r="A124" t="s">
        <v>225</v>
      </c>
      <c r="B124" s="2">
        <v>45740</v>
      </c>
      <c r="C124" t="s">
        <v>32</v>
      </c>
      <c r="D124" t="s">
        <v>21</v>
      </c>
      <c r="E124" t="s">
        <v>105</v>
      </c>
      <c r="F124" t="s">
        <v>28</v>
      </c>
      <c r="G124" t="s">
        <v>71</v>
      </c>
      <c r="H124" t="s">
        <v>121</v>
      </c>
      <c r="I124">
        <v>4</v>
      </c>
      <c r="J124" s="3">
        <v>0.15</v>
      </c>
      <c r="K124" s="4">
        <v>6068.08</v>
      </c>
      <c r="L124" s="4">
        <v>1120.6199999999999</v>
      </c>
      <c r="M124">
        <f t="shared" si="4"/>
        <v>2025</v>
      </c>
      <c r="N124" t="str">
        <f t="shared" si="5"/>
        <v>Mar</v>
      </c>
      <c r="O124" t="str">
        <f t="shared" si="6"/>
        <v>High</v>
      </c>
      <c r="P124" s="7">
        <f t="shared" si="7"/>
        <v>0.18467455933342999</v>
      </c>
    </row>
    <row r="125" spans="1:16" x14ac:dyDescent="0.3">
      <c r="A125" t="s">
        <v>226</v>
      </c>
      <c r="B125" s="2">
        <v>45741</v>
      </c>
      <c r="C125" t="s">
        <v>77</v>
      </c>
      <c r="D125" t="s">
        <v>21</v>
      </c>
      <c r="E125" t="s">
        <v>105</v>
      </c>
      <c r="F125" t="s">
        <v>23</v>
      </c>
      <c r="G125" t="s">
        <v>58</v>
      </c>
      <c r="H125" t="s">
        <v>59</v>
      </c>
      <c r="I125">
        <v>1</v>
      </c>
      <c r="J125" s="3">
        <v>0.05</v>
      </c>
      <c r="K125" s="4">
        <v>21535.05</v>
      </c>
      <c r="L125" s="4">
        <v>4883.32</v>
      </c>
      <c r="M125">
        <f t="shared" si="4"/>
        <v>2025</v>
      </c>
      <c r="N125" t="str">
        <f t="shared" si="5"/>
        <v>Mar</v>
      </c>
      <c r="O125" t="str">
        <f t="shared" si="6"/>
        <v>High</v>
      </c>
      <c r="P125" s="7">
        <f t="shared" si="7"/>
        <v>0.22676148882867697</v>
      </c>
    </row>
    <row r="126" spans="1:16" x14ac:dyDescent="0.3">
      <c r="A126" t="s">
        <v>227</v>
      </c>
      <c r="B126" s="2">
        <v>45741</v>
      </c>
      <c r="C126" t="s">
        <v>32</v>
      </c>
      <c r="D126" t="s">
        <v>21</v>
      </c>
      <c r="E126" t="s">
        <v>67</v>
      </c>
      <c r="F126" t="s">
        <v>16</v>
      </c>
      <c r="G126" t="s">
        <v>68</v>
      </c>
      <c r="H126" t="s">
        <v>175</v>
      </c>
      <c r="I126">
        <v>7</v>
      </c>
      <c r="J126" s="3">
        <v>0.2</v>
      </c>
      <c r="K126" s="4">
        <v>48047.02</v>
      </c>
      <c r="L126" s="4">
        <v>603.89</v>
      </c>
      <c r="M126">
        <f t="shared" si="4"/>
        <v>2025</v>
      </c>
      <c r="N126" t="str">
        <f t="shared" si="5"/>
        <v>Mar</v>
      </c>
      <c r="O126" t="str">
        <f t="shared" si="6"/>
        <v>High</v>
      </c>
      <c r="P126" s="7">
        <f t="shared" si="7"/>
        <v>1.2568729548679606E-2</v>
      </c>
    </row>
    <row r="127" spans="1:16" x14ac:dyDescent="0.3">
      <c r="A127" t="s">
        <v>228</v>
      </c>
      <c r="B127" s="2">
        <v>45741</v>
      </c>
      <c r="C127" t="s">
        <v>229</v>
      </c>
      <c r="D127" t="s">
        <v>21</v>
      </c>
      <c r="E127" t="s">
        <v>67</v>
      </c>
      <c r="F127" t="s">
        <v>16</v>
      </c>
      <c r="G127" t="s">
        <v>62</v>
      </c>
      <c r="H127" t="s">
        <v>167</v>
      </c>
      <c r="I127">
        <v>2</v>
      </c>
      <c r="J127" s="3">
        <v>0.2</v>
      </c>
      <c r="K127" s="4">
        <v>13925.84</v>
      </c>
      <c r="L127" s="4">
        <v>1399.71</v>
      </c>
      <c r="M127">
        <f t="shared" si="4"/>
        <v>2025</v>
      </c>
      <c r="N127" t="str">
        <f t="shared" si="5"/>
        <v>Mar</v>
      </c>
      <c r="O127" t="str">
        <f t="shared" si="6"/>
        <v>High</v>
      </c>
      <c r="P127" s="7">
        <f t="shared" si="7"/>
        <v>0.10051171060417181</v>
      </c>
    </row>
    <row r="128" spans="1:16" x14ac:dyDescent="0.3">
      <c r="A128" t="s">
        <v>230</v>
      </c>
      <c r="B128" s="2">
        <v>45742</v>
      </c>
      <c r="C128" t="s">
        <v>44</v>
      </c>
      <c r="D128" t="s">
        <v>33</v>
      </c>
      <c r="E128" t="s">
        <v>140</v>
      </c>
      <c r="F128" t="s">
        <v>28</v>
      </c>
      <c r="G128" t="s">
        <v>71</v>
      </c>
      <c r="H128" t="s">
        <v>72</v>
      </c>
      <c r="I128">
        <v>3</v>
      </c>
      <c r="J128" s="3">
        <v>0.15</v>
      </c>
      <c r="K128" s="4">
        <v>13276.2</v>
      </c>
      <c r="L128" s="4">
        <v>2547.2199999999998</v>
      </c>
      <c r="M128">
        <f t="shared" si="4"/>
        <v>2025</v>
      </c>
      <c r="N128" t="str">
        <f t="shared" si="5"/>
        <v>Mar</v>
      </c>
      <c r="O128" t="str">
        <f t="shared" si="6"/>
        <v>High</v>
      </c>
      <c r="P128" s="7">
        <f t="shared" si="7"/>
        <v>0.19186363567888398</v>
      </c>
    </row>
    <row r="129" spans="1:16" x14ac:dyDescent="0.3">
      <c r="A129" t="s">
        <v>231</v>
      </c>
      <c r="B129" s="2">
        <v>45743</v>
      </c>
      <c r="C129" t="s">
        <v>51</v>
      </c>
      <c r="D129" t="s">
        <v>39</v>
      </c>
      <c r="E129" t="s">
        <v>52</v>
      </c>
      <c r="F129" t="s">
        <v>23</v>
      </c>
      <c r="G129" t="s">
        <v>48</v>
      </c>
      <c r="H129" t="s">
        <v>49</v>
      </c>
      <c r="I129">
        <v>1</v>
      </c>
      <c r="J129" s="3">
        <v>0.15</v>
      </c>
      <c r="K129" s="4">
        <v>41902.07</v>
      </c>
      <c r="L129" s="4">
        <v>3695.55</v>
      </c>
      <c r="M129">
        <f t="shared" si="4"/>
        <v>2025</v>
      </c>
      <c r="N129" t="str">
        <f t="shared" si="5"/>
        <v>Mar</v>
      </c>
      <c r="O129" t="str">
        <f t="shared" si="6"/>
        <v>High</v>
      </c>
      <c r="P129" s="7">
        <f t="shared" si="7"/>
        <v>8.8194926885473687E-2</v>
      </c>
    </row>
    <row r="130" spans="1:16" x14ac:dyDescent="0.3">
      <c r="A130" t="s">
        <v>232</v>
      </c>
      <c r="B130" s="2">
        <v>45743</v>
      </c>
      <c r="C130" t="s">
        <v>150</v>
      </c>
      <c r="D130" t="s">
        <v>39</v>
      </c>
      <c r="E130" t="s">
        <v>52</v>
      </c>
      <c r="F130" t="s">
        <v>16</v>
      </c>
      <c r="G130" t="s">
        <v>68</v>
      </c>
      <c r="H130" t="s">
        <v>69</v>
      </c>
      <c r="I130">
        <v>2</v>
      </c>
      <c r="J130" s="3">
        <v>0.05</v>
      </c>
      <c r="K130" s="4">
        <v>16217.54</v>
      </c>
      <c r="L130" s="4">
        <v>2045.53</v>
      </c>
      <c r="M130">
        <f t="shared" si="4"/>
        <v>2025</v>
      </c>
      <c r="N130" t="str">
        <f t="shared" si="5"/>
        <v>Mar</v>
      </c>
      <c r="O130" t="str">
        <f t="shared" si="6"/>
        <v>High</v>
      </c>
      <c r="P130" s="7">
        <f t="shared" si="7"/>
        <v>0.12613072019554136</v>
      </c>
    </row>
    <row r="131" spans="1:16" x14ac:dyDescent="0.3">
      <c r="A131" t="s">
        <v>233</v>
      </c>
      <c r="B131" s="2">
        <v>45743</v>
      </c>
      <c r="C131" t="s">
        <v>13</v>
      </c>
      <c r="D131" t="s">
        <v>39</v>
      </c>
      <c r="E131" t="s">
        <v>40</v>
      </c>
      <c r="F131" t="s">
        <v>16</v>
      </c>
      <c r="G131" t="s">
        <v>62</v>
      </c>
      <c r="H131" t="s">
        <v>167</v>
      </c>
      <c r="I131">
        <v>5</v>
      </c>
      <c r="J131" s="3">
        <v>0.2</v>
      </c>
      <c r="K131" s="4">
        <v>9174.2000000000007</v>
      </c>
      <c r="L131" s="4">
        <v>238.59</v>
      </c>
      <c r="M131">
        <f t="shared" ref="M131:M194" si="8">YEAR(B131)</f>
        <v>2025</v>
      </c>
      <c r="N131" t="str">
        <f t="shared" ref="N131:N194" si="9">TEXT(B131,"mmm")</f>
        <v>Mar</v>
      </c>
      <c r="O131" t="str">
        <f t="shared" ref="O131:O194" si="10">IF(K131&gt;=1000,"High",IF(K131&gt;=500,"Medium","Low"))</f>
        <v>High</v>
      </c>
      <c r="P131" s="7">
        <f t="shared" ref="P131:P194" si="11">IFERROR(L131/K131,0)</f>
        <v>2.6006627280852825E-2</v>
      </c>
    </row>
    <row r="132" spans="1:16" x14ac:dyDescent="0.3">
      <c r="A132" t="s">
        <v>234</v>
      </c>
      <c r="B132" s="2">
        <v>45743</v>
      </c>
      <c r="C132" t="s">
        <v>104</v>
      </c>
      <c r="D132" t="s">
        <v>39</v>
      </c>
      <c r="E132" t="s">
        <v>52</v>
      </c>
      <c r="F132" t="s">
        <v>23</v>
      </c>
      <c r="G132" t="s">
        <v>58</v>
      </c>
      <c r="H132" t="s">
        <v>90</v>
      </c>
      <c r="I132">
        <v>6</v>
      </c>
      <c r="J132" s="3">
        <v>0.1</v>
      </c>
      <c r="K132" s="4">
        <v>78180.899999999994</v>
      </c>
      <c r="L132" s="4">
        <v>9081.39</v>
      </c>
      <c r="M132">
        <f t="shared" si="8"/>
        <v>2025</v>
      </c>
      <c r="N132" t="str">
        <f t="shared" si="9"/>
        <v>Mar</v>
      </c>
      <c r="O132" t="str">
        <f t="shared" si="10"/>
        <v>High</v>
      </c>
      <c r="P132" s="7">
        <f t="shared" si="11"/>
        <v>0.11615867814261539</v>
      </c>
    </row>
    <row r="133" spans="1:16" x14ac:dyDescent="0.3">
      <c r="A133" t="s">
        <v>235</v>
      </c>
      <c r="B133" s="2">
        <v>45744</v>
      </c>
      <c r="C133" t="s">
        <v>85</v>
      </c>
      <c r="D133" t="s">
        <v>39</v>
      </c>
      <c r="E133" t="s">
        <v>128</v>
      </c>
      <c r="F133" t="s">
        <v>16</v>
      </c>
      <c r="G133" t="s">
        <v>41</v>
      </c>
      <c r="H133" t="s">
        <v>177</v>
      </c>
      <c r="I133">
        <v>6</v>
      </c>
      <c r="J133" s="3">
        <v>0.2</v>
      </c>
      <c r="K133" s="4">
        <v>29551.439999999999</v>
      </c>
      <c r="L133" s="4">
        <v>1125.8599999999999</v>
      </c>
      <c r="M133">
        <f t="shared" si="8"/>
        <v>2025</v>
      </c>
      <c r="N133" t="str">
        <f t="shared" si="9"/>
        <v>Mar</v>
      </c>
      <c r="O133" t="str">
        <f t="shared" si="10"/>
        <v>High</v>
      </c>
      <c r="P133" s="7">
        <f t="shared" si="11"/>
        <v>3.8098312637218357E-2</v>
      </c>
    </row>
    <row r="134" spans="1:16" x14ac:dyDescent="0.3">
      <c r="A134" t="s">
        <v>236</v>
      </c>
      <c r="B134" s="2">
        <v>45744</v>
      </c>
      <c r="C134" t="s">
        <v>61</v>
      </c>
      <c r="D134" t="s">
        <v>39</v>
      </c>
      <c r="E134" t="s">
        <v>128</v>
      </c>
      <c r="F134" t="s">
        <v>28</v>
      </c>
      <c r="G134" t="s">
        <v>74</v>
      </c>
      <c r="H134" t="s">
        <v>75</v>
      </c>
      <c r="I134">
        <v>4</v>
      </c>
      <c r="J134" s="3">
        <v>0.05</v>
      </c>
      <c r="K134" s="4">
        <v>7707.84</v>
      </c>
      <c r="L134" s="4">
        <v>718.88</v>
      </c>
      <c r="M134">
        <f t="shared" si="8"/>
        <v>2025</v>
      </c>
      <c r="N134" t="str">
        <f t="shared" si="9"/>
        <v>Mar</v>
      </c>
      <c r="O134" t="str">
        <f t="shared" si="10"/>
        <v>High</v>
      </c>
      <c r="P134" s="7">
        <f t="shared" si="11"/>
        <v>9.3266077137044878E-2</v>
      </c>
    </row>
    <row r="135" spans="1:16" x14ac:dyDescent="0.3">
      <c r="A135" t="s">
        <v>237</v>
      </c>
      <c r="B135" s="2">
        <v>45744</v>
      </c>
      <c r="C135" t="s">
        <v>77</v>
      </c>
      <c r="D135" t="s">
        <v>39</v>
      </c>
      <c r="E135" t="s">
        <v>128</v>
      </c>
      <c r="F135" t="s">
        <v>23</v>
      </c>
      <c r="G135" t="s">
        <v>24</v>
      </c>
      <c r="H135" t="s">
        <v>25</v>
      </c>
      <c r="I135">
        <v>4</v>
      </c>
      <c r="J135" s="3">
        <v>0.1</v>
      </c>
      <c r="K135" s="4">
        <v>172204.79999999999</v>
      </c>
      <c r="L135" s="4">
        <v>19884.099999999999</v>
      </c>
      <c r="M135">
        <f t="shared" si="8"/>
        <v>2025</v>
      </c>
      <c r="N135" t="str">
        <f t="shared" si="9"/>
        <v>Mar</v>
      </c>
      <c r="O135" t="str">
        <f t="shared" si="10"/>
        <v>High</v>
      </c>
      <c r="P135" s="7">
        <f t="shared" si="11"/>
        <v>0.11546774538224254</v>
      </c>
    </row>
    <row r="136" spans="1:16" x14ac:dyDescent="0.3">
      <c r="A136" t="s">
        <v>238</v>
      </c>
      <c r="B136" s="2">
        <v>45746</v>
      </c>
      <c r="C136" t="s">
        <v>179</v>
      </c>
      <c r="D136" t="s">
        <v>14</v>
      </c>
      <c r="E136" t="s">
        <v>15</v>
      </c>
      <c r="F136" t="s">
        <v>23</v>
      </c>
      <c r="G136" t="s">
        <v>24</v>
      </c>
      <c r="H136" t="s">
        <v>129</v>
      </c>
      <c r="I136">
        <v>5</v>
      </c>
      <c r="J136" s="3">
        <v>0.2</v>
      </c>
      <c r="K136" s="4">
        <v>196466.85</v>
      </c>
      <c r="L136" s="4">
        <v>11606.58</v>
      </c>
      <c r="M136">
        <f t="shared" si="8"/>
        <v>2025</v>
      </c>
      <c r="N136" t="str">
        <f t="shared" si="9"/>
        <v>Mar</v>
      </c>
      <c r="O136" t="str">
        <f t="shared" si="10"/>
        <v>High</v>
      </c>
      <c r="P136" s="7">
        <f t="shared" si="11"/>
        <v>5.9076531231604716E-2</v>
      </c>
    </row>
    <row r="137" spans="1:16" x14ac:dyDescent="0.3">
      <c r="A137" t="s">
        <v>239</v>
      </c>
      <c r="B137" s="2">
        <v>45746</v>
      </c>
      <c r="C137" t="s">
        <v>135</v>
      </c>
      <c r="D137" t="s">
        <v>39</v>
      </c>
      <c r="E137" t="s">
        <v>40</v>
      </c>
      <c r="F137" t="s">
        <v>16</v>
      </c>
      <c r="G137" t="s">
        <v>41</v>
      </c>
      <c r="H137" t="s">
        <v>42</v>
      </c>
      <c r="I137">
        <v>2</v>
      </c>
      <c r="J137" s="3">
        <v>0.05</v>
      </c>
      <c r="K137" s="4">
        <v>9864.58</v>
      </c>
      <c r="L137" s="4">
        <v>780.33</v>
      </c>
      <c r="M137">
        <f t="shared" si="8"/>
        <v>2025</v>
      </c>
      <c r="N137" t="str">
        <f t="shared" si="9"/>
        <v>Mar</v>
      </c>
      <c r="O137" t="str">
        <f t="shared" si="10"/>
        <v>High</v>
      </c>
      <c r="P137" s="7">
        <f t="shared" si="11"/>
        <v>7.9104229475558008E-2</v>
      </c>
    </row>
    <row r="138" spans="1:16" x14ac:dyDescent="0.3">
      <c r="A138" t="s">
        <v>240</v>
      </c>
      <c r="B138" s="2">
        <v>45751</v>
      </c>
      <c r="C138" t="s">
        <v>77</v>
      </c>
      <c r="D138" t="s">
        <v>33</v>
      </c>
      <c r="E138" t="s">
        <v>45</v>
      </c>
      <c r="F138" t="s">
        <v>23</v>
      </c>
      <c r="G138" t="s">
        <v>48</v>
      </c>
      <c r="H138" t="s">
        <v>124</v>
      </c>
      <c r="I138">
        <v>5</v>
      </c>
      <c r="J138" s="3">
        <v>0.15</v>
      </c>
      <c r="K138" s="4">
        <v>208332.35</v>
      </c>
      <c r="L138" s="4">
        <v>20197.43</v>
      </c>
      <c r="M138">
        <f t="shared" si="8"/>
        <v>2025</v>
      </c>
      <c r="N138" t="str">
        <f t="shared" si="9"/>
        <v>Apr</v>
      </c>
      <c r="O138" t="str">
        <f t="shared" si="10"/>
        <v>High</v>
      </c>
      <c r="P138" s="7">
        <f t="shared" si="11"/>
        <v>9.6948121595133926E-2</v>
      </c>
    </row>
    <row r="139" spans="1:16" x14ac:dyDescent="0.3">
      <c r="A139" t="s">
        <v>241</v>
      </c>
      <c r="B139" s="2">
        <v>45752</v>
      </c>
      <c r="C139" t="s">
        <v>20</v>
      </c>
      <c r="D139" t="s">
        <v>33</v>
      </c>
      <c r="E139" t="s">
        <v>45</v>
      </c>
      <c r="F139" t="s">
        <v>23</v>
      </c>
      <c r="G139" t="s">
        <v>24</v>
      </c>
      <c r="H139" t="s">
        <v>25</v>
      </c>
      <c r="I139">
        <v>3</v>
      </c>
      <c r="J139" s="3">
        <v>0.05</v>
      </c>
      <c r="K139" s="4">
        <v>85869.03</v>
      </c>
      <c r="L139" s="4">
        <v>9042.51</v>
      </c>
      <c r="M139">
        <f t="shared" si="8"/>
        <v>2025</v>
      </c>
      <c r="N139" t="str">
        <f t="shared" si="9"/>
        <v>Apr</v>
      </c>
      <c r="O139" t="str">
        <f t="shared" si="10"/>
        <v>High</v>
      </c>
      <c r="P139" s="7">
        <f t="shared" si="11"/>
        <v>0.10530583610878101</v>
      </c>
    </row>
    <row r="140" spans="1:16" x14ac:dyDescent="0.3">
      <c r="A140" t="s">
        <v>242</v>
      </c>
      <c r="B140" s="2">
        <v>45753</v>
      </c>
      <c r="C140" t="s">
        <v>82</v>
      </c>
      <c r="D140" t="s">
        <v>33</v>
      </c>
      <c r="E140" t="s">
        <v>34</v>
      </c>
      <c r="F140" t="s">
        <v>16</v>
      </c>
      <c r="G140" t="s">
        <v>68</v>
      </c>
      <c r="H140" t="s">
        <v>175</v>
      </c>
      <c r="I140">
        <v>6</v>
      </c>
      <c r="J140" s="3">
        <v>0.1</v>
      </c>
      <c r="K140" s="4">
        <v>44620.62</v>
      </c>
      <c r="L140" s="4">
        <v>9310.11</v>
      </c>
      <c r="M140">
        <f t="shared" si="8"/>
        <v>2025</v>
      </c>
      <c r="N140" t="str">
        <f t="shared" si="9"/>
        <v>Apr</v>
      </c>
      <c r="O140" t="str">
        <f t="shared" si="10"/>
        <v>High</v>
      </c>
      <c r="P140" s="7">
        <f t="shared" si="11"/>
        <v>0.20865039526568657</v>
      </c>
    </row>
    <row r="141" spans="1:16" x14ac:dyDescent="0.3">
      <c r="A141" t="s">
        <v>243</v>
      </c>
      <c r="B141" s="2">
        <v>45754</v>
      </c>
      <c r="C141" t="s">
        <v>77</v>
      </c>
      <c r="D141" t="s">
        <v>21</v>
      </c>
      <c r="E141" t="s">
        <v>57</v>
      </c>
      <c r="F141" t="s">
        <v>23</v>
      </c>
      <c r="G141" t="s">
        <v>58</v>
      </c>
      <c r="H141" t="s">
        <v>78</v>
      </c>
      <c r="I141">
        <v>5</v>
      </c>
      <c r="J141" s="3">
        <v>0.1</v>
      </c>
      <c r="K141" s="4">
        <v>226275.4</v>
      </c>
      <c r="L141" s="4">
        <v>42066.43</v>
      </c>
      <c r="M141">
        <f t="shared" si="8"/>
        <v>2025</v>
      </c>
      <c r="N141" t="str">
        <f t="shared" si="9"/>
        <v>Apr</v>
      </c>
      <c r="O141" t="str">
        <f t="shared" si="10"/>
        <v>High</v>
      </c>
      <c r="P141" s="7">
        <f t="shared" si="11"/>
        <v>0.1859081013667416</v>
      </c>
    </row>
    <row r="142" spans="1:16" x14ac:dyDescent="0.3">
      <c r="A142" t="s">
        <v>244</v>
      </c>
      <c r="B142" s="2">
        <v>45755</v>
      </c>
      <c r="C142" t="s">
        <v>111</v>
      </c>
      <c r="D142" t="s">
        <v>14</v>
      </c>
      <c r="E142" t="s">
        <v>114</v>
      </c>
      <c r="F142" t="s">
        <v>16</v>
      </c>
      <c r="G142" t="s">
        <v>68</v>
      </c>
      <c r="H142" t="s">
        <v>69</v>
      </c>
      <c r="I142">
        <v>6</v>
      </c>
      <c r="J142" s="3">
        <v>0</v>
      </c>
      <c r="K142" s="4">
        <v>39968.46</v>
      </c>
      <c r="L142" s="4">
        <v>4221.55</v>
      </c>
      <c r="M142">
        <f t="shared" si="8"/>
        <v>2025</v>
      </c>
      <c r="N142" t="str">
        <f t="shared" si="9"/>
        <v>Apr</v>
      </c>
      <c r="O142" t="str">
        <f t="shared" si="10"/>
        <v>High</v>
      </c>
      <c r="P142" s="7">
        <f t="shared" si="11"/>
        <v>0.10562203297299921</v>
      </c>
    </row>
    <row r="143" spans="1:16" x14ac:dyDescent="0.3">
      <c r="A143" t="s">
        <v>245</v>
      </c>
      <c r="B143" s="2">
        <v>45755</v>
      </c>
      <c r="C143" t="s">
        <v>143</v>
      </c>
      <c r="D143" t="s">
        <v>33</v>
      </c>
      <c r="E143" t="s">
        <v>140</v>
      </c>
      <c r="F143" t="s">
        <v>23</v>
      </c>
      <c r="G143" t="s">
        <v>48</v>
      </c>
      <c r="H143" t="s">
        <v>118</v>
      </c>
      <c r="I143">
        <v>2</v>
      </c>
      <c r="J143" s="3">
        <v>0.05</v>
      </c>
      <c r="K143" s="4">
        <v>17912.22</v>
      </c>
      <c r="L143" s="4">
        <v>3142.02</v>
      </c>
      <c r="M143">
        <f t="shared" si="8"/>
        <v>2025</v>
      </c>
      <c r="N143" t="str">
        <f t="shared" si="9"/>
        <v>Apr</v>
      </c>
      <c r="O143" t="str">
        <f t="shared" si="10"/>
        <v>High</v>
      </c>
      <c r="P143" s="7">
        <f t="shared" si="11"/>
        <v>0.17541209297340027</v>
      </c>
    </row>
    <row r="144" spans="1:16" x14ac:dyDescent="0.3">
      <c r="A144" t="s">
        <v>246</v>
      </c>
      <c r="B144" s="2">
        <v>45755</v>
      </c>
      <c r="C144" t="s">
        <v>95</v>
      </c>
      <c r="D144" t="s">
        <v>14</v>
      </c>
      <c r="E144" t="s">
        <v>54</v>
      </c>
      <c r="F144" t="s">
        <v>16</v>
      </c>
      <c r="G144" t="s">
        <v>17</v>
      </c>
      <c r="H144" t="s">
        <v>88</v>
      </c>
      <c r="I144">
        <v>4</v>
      </c>
      <c r="J144" s="3">
        <v>0.15</v>
      </c>
      <c r="K144" s="4">
        <v>23776.44</v>
      </c>
      <c r="L144" s="4">
        <v>2568.9899999999998</v>
      </c>
      <c r="M144">
        <f t="shared" si="8"/>
        <v>2025</v>
      </c>
      <c r="N144" t="str">
        <f t="shared" si="9"/>
        <v>Apr</v>
      </c>
      <c r="O144" t="str">
        <f t="shared" si="10"/>
        <v>High</v>
      </c>
      <c r="P144" s="7">
        <f t="shared" si="11"/>
        <v>0.10804771446019673</v>
      </c>
    </row>
    <row r="145" spans="1:16" x14ac:dyDescent="0.3">
      <c r="A145" t="s">
        <v>247</v>
      </c>
      <c r="B145" s="2">
        <v>45756</v>
      </c>
      <c r="C145" t="s">
        <v>51</v>
      </c>
      <c r="D145" t="s">
        <v>14</v>
      </c>
      <c r="E145" t="s">
        <v>114</v>
      </c>
      <c r="F145" t="s">
        <v>23</v>
      </c>
      <c r="G145" t="s">
        <v>35</v>
      </c>
      <c r="H145" t="s">
        <v>155</v>
      </c>
      <c r="I145">
        <v>6</v>
      </c>
      <c r="J145" s="3">
        <v>0</v>
      </c>
      <c r="K145" s="4">
        <v>266705.21999999997</v>
      </c>
      <c r="L145" s="4">
        <v>38698.28</v>
      </c>
      <c r="M145">
        <f t="shared" si="8"/>
        <v>2025</v>
      </c>
      <c r="N145" t="str">
        <f t="shared" si="9"/>
        <v>Apr</v>
      </c>
      <c r="O145" t="str">
        <f t="shared" si="10"/>
        <v>High</v>
      </c>
      <c r="P145" s="7">
        <f t="shared" si="11"/>
        <v>0.14509757251845315</v>
      </c>
    </row>
    <row r="146" spans="1:16" x14ac:dyDescent="0.3">
      <c r="A146" t="s">
        <v>248</v>
      </c>
      <c r="B146" s="2">
        <v>45757</v>
      </c>
      <c r="C146" t="s">
        <v>95</v>
      </c>
      <c r="D146" t="s">
        <v>33</v>
      </c>
      <c r="E146" t="s">
        <v>45</v>
      </c>
      <c r="F146" t="s">
        <v>16</v>
      </c>
      <c r="G146" t="s">
        <v>68</v>
      </c>
      <c r="H146" t="s">
        <v>69</v>
      </c>
      <c r="I146">
        <v>4</v>
      </c>
      <c r="J146" s="3">
        <v>0.05</v>
      </c>
      <c r="K146" s="4">
        <v>19232.2</v>
      </c>
      <c r="L146" s="4">
        <v>4253.8599999999997</v>
      </c>
      <c r="M146">
        <f t="shared" si="8"/>
        <v>2025</v>
      </c>
      <c r="N146" t="str">
        <f t="shared" si="9"/>
        <v>Apr</v>
      </c>
      <c r="O146" t="str">
        <f t="shared" si="10"/>
        <v>High</v>
      </c>
      <c r="P146" s="7">
        <f t="shared" si="11"/>
        <v>0.22118426389076651</v>
      </c>
    </row>
    <row r="147" spans="1:16" x14ac:dyDescent="0.3">
      <c r="A147" t="s">
        <v>249</v>
      </c>
      <c r="B147" s="2">
        <v>45758</v>
      </c>
      <c r="C147" t="s">
        <v>38</v>
      </c>
      <c r="D147" t="s">
        <v>39</v>
      </c>
      <c r="E147" t="s">
        <v>40</v>
      </c>
      <c r="F147" t="s">
        <v>23</v>
      </c>
      <c r="G147" t="s">
        <v>48</v>
      </c>
      <c r="H147" t="s">
        <v>49</v>
      </c>
      <c r="I147">
        <v>7</v>
      </c>
      <c r="J147" s="3">
        <v>0</v>
      </c>
      <c r="K147" s="4">
        <v>177938.18</v>
      </c>
      <c r="L147" s="4">
        <v>28632.84</v>
      </c>
      <c r="M147">
        <f t="shared" si="8"/>
        <v>2025</v>
      </c>
      <c r="N147" t="str">
        <f t="shared" si="9"/>
        <v>Apr</v>
      </c>
      <c r="O147" t="str">
        <f t="shared" si="10"/>
        <v>High</v>
      </c>
      <c r="P147" s="7">
        <f t="shared" si="11"/>
        <v>0.16091453784679602</v>
      </c>
    </row>
    <row r="148" spans="1:16" x14ac:dyDescent="0.3">
      <c r="A148" t="s">
        <v>250</v>
      </c>
      <c r="B148" s="2">
        <v>45758</v>
      </c>
      <c r="C148" t="s">
        <v>77</v>
      </c>
      <c r="D148" t="s">
        <v>14</v>
      </c>
      <c r="E148" t="s">
        <v>15</v>
      </c>
      <c r="F148" t="s">
        <v>23</v>
      </c>
      <c r="G148" t="s">
        <v>58</v>
      </c>
      <c r="H148" t="s">
        <v>90</v>
      </c>
      <c r="I148">
        <v>1</v>
      </c>
      <c r="J148" s="3">
        <v>0.05</v>
      </c>
      <c r="K148" s="4">
        <v>13925.63</v>
      </c>
      <c r="L148" s="4">
        <v>2060.37</v>
      </c>
      <c r="M148">
        <f t="shared" si="8"/>
        <v>2025</v>
      </c>
      <c r="N148" t="str">
        <f t="shared" si="9"/>
        <v>Apr</v>
      </c>
      <c r="O148" t="str">
        <f t="shared" si="10"/>
        <v>High</v>
      </c>
      <c r="P148" s="7">
        <f t="shared" si="11"/>
        <v>0.14795524511278843</v>
      </c>
    </row>
    <row r="149" spans="1:16" x14ac:dyDescent="0.3">
      <c r="A149" t="s">
        <v>251</v>
      </c>
      <c r="B149" s="2">
        <v>45760</v>
      </c>
      <c r="C149" t="s">
        <v>95</v>
      </c>
      <c r="D149" t="s">
        <v>33</v>
      </c>
      <c r="E149" t="s">
        <v>140</v>
      </c>
      <c r="F149" t="s">
        <v>16</v>
      </c>
      <c r="G149" t="s">
        <v>17</v>
      </c>
      <c r="H149" t="s">
        <v>153</v>
      </c>
      <c r="I149">
        <v>6</v>
      </c>
      <c r="J149" s="3">
        <v>0.05</v>
      </c>
      <c r="K149" s="4">
        <v>42160.32</v>
      </c>
      <c r="L149" s="4">
        <v>8373.0300000000007</v>
      </c>
      <c r="M149">
        <f t="shared" si="8"/>
        <v>2025</v>
      </c>
      <c r="N149" t="str">
        <f t="shared" si="9"/>
        <v>Apr</v>
      </c>
      <c r="O149" t="str">
        <f t="shared" si="10"/>
        <v>High</v>
      </c>
      <c r="P149" s="7">
        <f t="shared" si="11"/>
        <v>0.19859977343625476</v>
      </c>
    </row>
    <row r="150" spans="1:16" x14ac:dyDescent="0.3">
      <c r="A150" t="s">
        <v>252</v>
      </c>
      <c r="B150" s="2">
        <v>45760</v>
      </c>
      <c r="C150" t="s">
        <v>61</v>
      </c>
      <c r="D150" t="s">
        <v>21</v>
      </c>
      <c r="E150" t="s">
        <v>67</v>
      </c>
      <c r="F150" t="s">
        <v>16</v>
      </c>
      <c r="G150" t="s">
        <v>62</v>
      </c>
      <c r="H150" t="s">
        <v>167</v>
      </c>
      <c r="I150">
        <v>5</v>
      </c>
      <c r="J150" s="3">
        <v>0.1</v>
      </c>
      <c r="K150" s="4">
        <v>38714.699999999997</v>
      </c>
      <c r="L150" s="4">
        <v>2343.54</v>
      </c>
      <c r="M150">
        <f t="shared" si="8"/>
        <v>2025</v>
      </c>
      <c r="N150" t="str">
        <f t="shared" si="9"/>
        <v>Apr</v>
      </c>
      <c r="O150" t="str">
        <f t="shared" si="10"/>
        <v>High</v>
      </c>
      <c r="P150" s="7">
        <f t="shared" si="11"/>
        <v>6.0533595765949369E-2</v>
      </c>
    </row>
    <row r="151" spans="1:16" x14ac:dyDescent="0.3">
      <c r="A151" t="s">
        <v>253</v>
      </c>
      <c r="B151" s="2">
        <v>45761</v>
      </c>
      <c r="C151" t="s">
        <v>135</v>
      </c>
      <c r="D151" t="s">
        <v>33</v>
      </c>
      <c r="E151" t="s">
        <v>140</v>
      </c>
      <c r="F151" t="s">
        <v>23</v>
      </c>
      <c r="G151" t="s">
        <v>48</v>
      </c>
      <c r="H151" t="s">
        <v>124</v>
      </c>
      <c r="I151">
        <v>3</v>
      </c>
      <c r="J151" s="3">
        <v>0</v>
      </c>
      <c r="K151" s="4">
        <v>94517.4</v>
      </c>
      <c r="L151" s="4">
        <v>19573.95</v>
      </c>
      <c r="M151">
        <f t="shared" si="8"/>
        <v>2025</v>
      </c>
      <c r="N151" t="str">
        <f t="shared" si="9"/>
        <v>Apr</v>
      </c>
      <c r="O151" t="str">
        <f t="shared" si="10"/>
        <v>High</v>
      </c>
      <c r="P151" s="7">
        <f t="shared" si="11"/>
        <v>0.20709361450907454</v>
      </c>
    </row>
    <row r="152" spans="1:16" x14ac:dyDescent="0.3">
      <c r="A152" t="s">
        <v>254</v>
      </c>
      <c r="B152" s="2">
        <v>45761</v>
      </c>
      <c r="C152" t="s">
        <v>32</v>
      </c>
      <c r="D152" t="s">
        <v>33</v>
      </c>
      <c r="E152" t="s">
        <v>34</v>
      </c>
      <c r="F152" t="s">
        <v>28</v>
      </c>
      <c r="G152" t="s">
        <v>92</v>
      </c>
      <c r="H152" t="s">
        <v>93</v>
      </c>
      <c r="I152">
        <v>2</v>
      </c>
      <c r="J152" s="3">
        <v>0</v>
      </c>
      <c r="K152" s="4">
        <v>6644.1</v>
      </c>
      <c r="L152" s="4">
        <v>1158.49</v>
      </c>
      <c r="M152">
        <f t="shared" si="8"/>
        <v>2025</v>
      </c>
      <c r="N152" t="str">
        <f t="shared" si="9"/>
        <v>Apr</v>
      </c>
      <c r="O152" t="str">
        <f t="shared" si="10"/>
        <v>High</v>
      </c>
      <c r="P152" s="7">
        <f t="shared" si="11"/>
        <v>0.17436372119624929</v>
      </c>
    </row>
    <row r="153" spans="1:16" x14ac:dyDescent="0.3">
      <c r="A153" t="s">
        <v>255</v>
      </c>
      <c r="B153" s="2">
        <v>45762</v>
      </c>
      <c r="C153" t="s">
        <v>147</v>
      </c>
      <c r="D153" t="s">
        <v>39</v>
      </c>
      <c r="E153" t="s">
        <v>52</v>
      </c>
      <c r="F153" t="s">
        <v>28</v>
      </c>
      <c r="G153" t="s">
        <v>71</v>
      </c>
      <c r="H153" t="s">
        <v>121</v>
      </c>
      <c r="I153">
        <v>4</v>
      </c>
      <c r="J153" s="3">
        <v>0.05</v>
      </c>
      <c r="K153" s="4">
        <v>8459.48</v>
      </c>
      <c r="L153" s="4">
        <v>1759.93</v>
      </c>
      <c r="M153">
        <f t="shared" si="8"/>
        <v>2025</v>
      </c>
      <c r="N153" t="str">
        <f t="shared" si="9"/>
        <v>Apr</v>
      </c>
      <c r="O153" t="str">
        <f t="shared" si="10"/>
        <v>High</v>
      </c>
      <c r="P153" s="7">
        <f t="shared" si="11"/>
        <v>0.20804233829975366</v>
      </c>
    </row>
    <row r="154" spans="1:16" x14ac:dyDescent="0.3">
      <c r="A154" t="s">
        <v>256</v>
      </c>
      <c r="B154" s="2">
        <v>45763</v>
      </c>
      <c r="C154" t="s">
        <v>77</v>
      </c>
      <c r="D154" t="s">
        <v>14</v>
      </c>
      <c r="E154" t="s">
        <v>97</v>
      </c>
      <c r="F154" t="s">
        <v>28</v>
      </c>
      <c r="G154" t="s">
        <v>74</v>
      </c>
      <c r="H154" t="s">
        <v>159</v>
      </c>
      <c r="I154">
        <v>4</v>
      </c>
      <c r="J154" s="3">
        <v>0</v>
      </c>
      <c r="K154" s="4">
        <v>7738.92</v>
      </c>
      <c r="L154" s="4">
        <v>1177.1099999999999</v>
      </c>
      <c r="M154">
        <f t="shared" si="8"/>
        <v>2025</v>
      </c>
      <c r="N154" t="str">
        <f t="shared" si="9"/>
        <v>Apr</v>
      </c>
      <c r="O154" t="str">
        <f t="shared" si="10"/>
        <v>High</v>
      </c>
      <c r="P154" s="7">
        <f t="shared" si="11"/>
        <v>0.15210261897008884</v>
      </c>
    </row>
    <row r="155" spans="1:16" x14ac:dyDescent="0.3">
      <c r="A155" t="s">
        <v>257</v>
      </c>
      <c r="B155" s="2">
        <v>45763</v>
      </c>
      <c r="C155" t="s">
        <v>150</v>
      </c>
      <c r="D155" t="s">
        <v>21</v>
      </c>
      <c r="E155" t="s">
        <v>105</v>
      </c>
      <c r="F155" t="s">
        <v>28</v>
      </c>
      <c r="G155" t="s">
        <v>92</v>
      </c>
      <c r="H155" t="s">
        <v>204</v>
      </c>
      <c r="I155">
        <v>7</v>
      </c>
      <c r="J155" s="3">
        <v>0.2</v>
      </c>
      <c r="K155" s="4">
        <v>19154.169999999998</v>
      </c>
      <c r="L155" s="4">
        <v>3413.4</v>
      </c>
      <c r="M155">
        <f t="shared" si="8"/>
        <v>2025</v>
      </c>
      <c r="N155" t="str">
        <f t="shared" si="9"/>
        <v>Apr</v>
      </c>
      <c r="O155" t="str">
        <f t="shared" si="10"/>
        <v>High</v>
      </c>
      <c r="P155" s="7">
        <f t="shared" si="11"/>
        <v>0.17820662550243629</v>
      </c>
    </row>
    <row r="156" spans="1:16" x14ac:dyDescent="0.3">
      <c r="A156" t="s">
        <v>258</v>
      </c>
      <c r="B156" s="2">
        <v>45764</v>
      </c>
      <c r="C156" t="s">
        <v>13</v>
      </c>
      <c r="D156" t="s">
        <v>39</v>
      </c>
      <c r="E156" t="s">
        <v>128</v>
      </c>
      <c r="F156" t="s">
        <v>23</v>
      </c>
      <c r="G156" t="s">
        <v>24</v>
      </c>
      <c r="H156" t="s">
        <v>129</v>
      </c>
      <c r="I156">
        <v>7</v>
      </c>
      <c r="J156" s="3">
        <v>0.15</v>
      </c>
      <c r="K156" s="4">
        <v>98193.13</v>
      </c>
      <c r="L156" s="4">
        <v>17978.55</v>
      </c>
      <c r="M156">
        <f t="shared" si="8"/>
        <v>2025</v>
      </c>
      <c r="N156" t="str">
        <f t="shared" si="9"/>
        <v>Apr</v>
      </c>
      <c r="O156" t="str">
        <f t="shared" si="10"/>
        <v>High</v>
      </c>
      <c r="P156" s="7">
        <f t="shared" si="11"/>
        <v>0.1830937663357915</v>
      </c>
    </row>
    <row r="157" spans="1:16" x14ac:dyDescent="0.3">
      <c r="A157" t="s">
        <v>259</v>
      </c>
      <c r="B157" s="2">
        <v>45766</v>
      </c>
      <c r="C157" t="s">
        <v>95</v>
      </c>
      <c r="D157" t="s">
        <v>39</v>
      </c>
      <c r="E157" t="s">
        <v>128</v>
      </c>
      <c r="F157" t="s">
        <v>28</v>
      </c>
      <c r="G157" t="s">
        <v>29</v>
      </c>
      <c r="H157" t="s">
        <v>30</v>
      </c>
      <c r="I157">
        <v>7</v>
      </c>
      <c r="J157" s="3">
        <v>0.05</v>
      </c>
      <c r="K157" s="4">
        <v>24133.200000000001</v>
      </c>
      <c r="L157" s="4">
        <v>3681.34</v>
      </c>
      <c r="M157">
        <f t="shared" si="8"/>
        <v>2025</v>
      </c>
      <c r="N157" t="str">
        <f t="shared" si="9"/>
        <v>Apr</v>
      </c>
      <c r="O157" t="str">
        <f t="shared" si="10"/>
        <v>High</v>
      </c>
      <c r="P157" s="7">
        <f t="shared" si="11"/>
        <v>0.15254255548373197</v>
      </c>
    </row>
    <row r="158" spans="1:16" x14ac:dyDescent="0.3">
      <c r="A158" t="s">
        <v>260</v>
      </c>
      <c r="B158" s="2">
        <v>45767</v>
      </c>
      <c r="C158" t="s">
        <v>85</v>
      </c>
      <c r="D158" t="s">
        <v>21</v>
      </c>
      <c r="E158" t="s">
        <v>57</v>
      </c>
      <c r="F158" t="s">
        <v>23</v>
      </c>
      <c r="G158" t="s">
        <v>24</v>
      </c>
      <c r="H158" t="s">
        <v>129</v>
      </c>
      <c r="I158">
        <v>3</v>
      </c>
      <c r="J158" s="3">
        <v>0.05</v>
      </c>
      <c r="K158" s="4">
        <v>90266.76</v>
      </c>
      <c r="L158" s="4">
        <v>15799.82</v>
      </c>
      <c r="M158">
        <f t="shared" si="8"/>
        <v>2025</v>
      </c>
      <c r="N158" t="str">
        <f t="shared" si="9"/>
        <v>Apr</v>
      </c>
      <c r="O158" t="str">
        <f t="shared" si="10"/>
        <v>High</v>
      </c>
      <c r="P158" s="7">
        <f t="shared" si="11"/>
        <v>0.17503475254900033</v>
      </c>
    </row>
    <row r="159" spans="1:16" x14ac:dyDescent="0.3">
      <c r="A159" t="s">
        <v>261</v>
      </c>
      <c r="B159" s="2">
        <v>45767</v>
      </c>
      <c r="C159" t="s">
        <v>38</v>
      </c>
      <c r="D159" t="s">
        <v>14</v>
      </c>
      <c r="E159" t="s">
        <v>54</v>
      </c>
      <c r="F159" t="s">
        <v>28</v>
      </c>
      <c r="G159" t="s">
        <v>92</v>
      </c>
      <c r="H159" t="s">
        <v>204</v>
      </c>
      <c r="I159">
        <v>1</v>
      </c>
      <c r="J159" s="3">
        <v>0.2</v>
      </c>
      <c r="K159" s="4">
        <v>4946.24</v>
      </c>
      <c r="L159" s="4">
        <v>754.23</v>
      </c>
      <c r="M159">
        <f t="shared" si="8"/>
        <v>2025</v>
      </c>
      <c r="N159" t="str">
        <f t="shared" si="9"/>
        <v>Apr</v>
      </c>
      <c r="O159" t="str">
        <f t="shared" si="10"/>
        <v>High</v>
      </c>
      <c r="P159" s="7">
        <f t="shared" si="11"/>
        <v>0.15248552435789611</v>
      </c>
    </row>
    <row r="160" spans="1:16" x14ac:dyDescent="0.3">
      <c r="A160" t="s">
        <v>262</v>
      </c>
      <c r="B160" s="2">
        <v>45768</v>
      </c>
      <c r="C160" t="s">
        <v>56</v>
      </c>
      <c r="D160" t="s">
        <v>33</v>
      </c>
      <c r="E160" t="s">
        <v>34</v>
      </c>
      <c r="F160" t="s">
        <v>23</v>
      </c>
      <c r="G160" t="s">
        <v>24</v>
      </c>
      <c r="H160" t="s">
        <v>129</v>
      </c>
      <c r="I160">
        <v>4</v>
      </c>
      <c r="J160" s="3">
        <v>0.15</v>
      </c>
      <c r="K160" s="4">
        <v>119895.08</v>
      </c>
      <c r="L160" s="4">
        <v>14815.75</v>
      </c>
      <c r="M160">
        <f t="shared" si="8"/>
        <v>2025</v>
      </c>
      <c r="N160" t="str">
        <f t="shared" si="9"/>
        <v>Apr</v>
      </c>
      <c r="O160" t="str">
        <f t="shared" si="10"/>
        <v>High</v>
      </c>
      <c r="P160" s="7">
        <f t="shared" si="11"/>
        <v>0.12357262700020719</v>
      </c>
    </row>
    <row r="161" spans="1:16" x14ac:dyDescent="0.3">
      <c r="A161" t="s">
        <v>263</v>
      </c>
      <c r="B161" s="2">
        <v>45768</v>
      </c>
      <c r="C161" t="s">
        <v>111</v>
      </c>
      <c r="D161" t="s">
        <v>14</v>
      </c>
      <c r="E161" t="s">
        <v>15</v>
      </c>
      <c r="F161" t="s">
        <v>23</v>
      </c>
      <c r="G161" t="s">
        <v>24</v>
      </c>
      <c r="H161" t="s">
        <v>132</v>
      </c>
      <c r="I161">
        <v>1</v>
      </c>
      <c r="J161" s="3">
        <v>0.15</v>
      </c>
      <c r="K161" s="4">
        <v>45378.44</v>
      </c>
      <c r="L161" s="4">
        <v>1324.46</v>
      </c>
      <c r="M161">
        <f t="shared" si="8"/>
        <v>2025</v>
      </c>
      <c r="N161" t="str">
        <f t="shared" si="9"/>
        <v>Apr</v>
      </c>
      <c r="O161" t="str">
        <f t="shared" si="10"/>
        <v>High</v>
      </c>
      <c r="P161" s="7">
        <f t="shared" si="11"/>
        <v>2.918698835834815E-2</v>
      </c>
    </row>
    <row r="162" spans="1:16" x14ac:dyDescent="0.3">
      <c r="A162" t="s">
        <v>264</v>
      </c>
      <c r="B162" s="2">
        <v>45768</v>
      </c>
      <c r="C162" t="s">
        <v>13</v>
      </c>
      <c r="D162" t="s">
        <v>21</v>
      </c>
      <c r="E162" t="s">
        <v>105</v>
      </c>
      <c r="F162" t="s">
        <v>23</v>
      </c>
      <c r="G162" t="s">
        <v>58</v>
      </c>
      <c r="H162" t="s">
        <v>101</v>
      </c>
      <c r="I162">
        <v>7</v>
      </c>
      <c r="J162" s="3">
        <v>0.1</v>
      </c>
      <c r="K162" s="4">
        <v>49699.02</v>
      </c>
      <c r="L162" s="4">
        <v>3409.38</v>
      </c>
      <c r="M162">
        <f t="shared" si="8"/>
        <v>2025</v>
      </c>
      <c r="N162" t="str">
        <f t="shared" si="9"/>
        <v>Apr</v>
      </c>
      <c r="O162" t="str">
        <f t="shared" si="10"/>
        <v>High</v>
      </c>
      <c r="P162" s="7">
        <f t="shared" si="11"/>
        <v>6.860054785788533E-2</v>
      </c>
    </row>
    <row r="163" spans="1:16" x14ac:dyDescent="0.3">
      <c r="A163" t="s">
        <v>265</v>
      </c>
      <c r="B163" s="2">
        <v>45769</v>
      </c>
      <c r="C163" t="s">
        <v>109</v>
      </c>
      <c r="D163" t="s">
        <v>21</v>
      </c>
      <c r="E163" t="s">
        <v>57</v>
      </c>
      <c r="F163" t="s">
        <v>23</v>
      </c>
      <c r="G163" t="s">
        <v>48</v>
      </c>
      <c r="H163" t="s">
        <v>49</v>
      </c>
      <c r="I163">
        <v>1</v>
      </c>
      <c r="J163" s="3">
        <v>0.15</v>
      </c>
      <c r="K163" s="4">
        <v>25920.57</v>
      </c>
      <c r="L163" s="4">
        <v>3665.31</v>
      </c>
      <c r="M163">
        <f t="shared" si="8"/>
        <v>2025</v>
      </c>
      <c r="N163" t="str">
        <f t="shared" si="9"/>
        <v>Apr</v>
      </c>
      <c r="O163" t="str">
        <f t="shared" si="10"/>
        <v>High</v>
      </c>
      <c r="P163" s="7">
        <f t="shared" si="11"/>
        <v>0.1414054552041101</v>
      </c>
    </row>
    <row r="164" spans="1:16" x14ac:dyDescent="0.3">
      <c r="A164" t="s">
        <v>266</v>
      </c>
      <c r="B164" s="2">
        <v>45769</v>
      </c>
      <c r="C164" t="s">
        <v>85</v>
      </c>
      <c r="D164" t="s">
        <v>14</v>
      </c>
      <c r="E164" t="s">
        <v>15</v>
      </c>
      <c r="F164" t="s">
        <v>23</v>
      </c>
      <c r="G164" t="s">
        <v>58</v>
      </c>
      <c r="H164" t="s">
        <v>59</v>
      </c>
      <c r="I164">
        <v>1</v>
      </c>
      <c r="J164" s="3">
        <v>0.05</v>
      </c>
      <c r="K164" s="4">
        <v>28067.94</v>
      </c>
      <c r="L164" s="4">
        <v>5385.35</v>
      </c>
      <c r="M164">
        <f t="shared" si="8"/>
        <v>2025</v>
      </c>
      <c r="N164" t="str">
        <f t="shared" si="9"/>
        <v>Apr</v>
      </c>
      <c r="O164" t="str">
        <f t="shared" si="10"/>
        <v>High</v>
      </c>
      <c r="P164" s="7">
        <f t="shared" si="11"/>
        <v>0.19186837366760798</v>
      </c>
    </row>
    <row r="165" spans="1:16" x14ac:dyDescent="0.3">
      <c r="A165" t="s">
        <v>267</v>
      </c>
      <c r="B165" s="2">
        <v>45770</v>
      </c>
      <c r="C165" t="s">
        <v>38</v>
      </c>
      <c r="D165" t="s">
        <v>33</v>
      </c>
      <c r="E165" t="s">
        <v>86</v>
      </c>
      <c r="F165" t="s">
        <v>23</v>
      </c>
      <c r="G165" t="s">
        <v>24</v>
      </c>
      <c r="H165" t="s">
        <v>132</v>
      </c>
      <c r="I165">
        <v>5</v>
      </c>
      <c r="J165" s="3">
        <v>0.1</v>
      </c>
      <c r="K165" s="4">
        <v>175626.95</v>
      </c>
      <c r="L165" s="4">
        <v>16822.14</v>
      </c>
      <c r="M165">
        <f t="shared" si="8"/>
        <v>2025</v>
      </c>
      <c r="N165" t="str">
        <f t="shared" si="9"/>
        <v>Apr</v>
      </c>
      <c r="O165" t="str">
        <f t="shared" si="10"/>
        <v>High</v>
      </c>
      <c r="P165" s="7">
        <f t="shared" si="11"/>
        <v>9.5783363544148542E-2</v>
      </c>
    </row>
    <row r="166" spans="1:16" x14ac:dyDescent="0.3">
      <c r="A166" t="s">
        <v>268</v>
      </c>
      <c r="B166" s="2">
        <v>45770</v>
      </c>
      <c r="C166" t="s">
        <v>229</v>
      </c>
      <c r="D166" t="s">
        <v>21</v>
      </c>
      <c r="E166" t="s">
        <v>105</v>
      </c>
      <c r="F166" t="s">
        <v>23</v>
      </c>
      <c r="G166" t="s">
        <v>48</v>
      </c>
      <c r="H166" t="s">
        <v>118</v>
      </c>
      <c r="I166">
        <v>6</v>
      </c>
      <c r="J166" s="3">
        <v>0.15</v>
      </c>
      <c r="K166" s="4">
        <v>170005.8</v>
      </c>
      <c r="L166" s="4">
        <v>9933.06</v>
      </c>
      <c r="M166">
        <f t="shared" si="8"/>
        <v>2025</v>
      </c>
      <c r="N166" t="str">
        <f t="shared" si="9"/>
        <v>Apr</v>
      </c>
      <c r="O166" t="str">
        <f t="shared" si="10"/>
        <v>High</v>
      </c>
      <c r="P166" s="7">
        <f t="shared" si="11"/>
        <v>5.8427771287803125E-2</v>
      </c>
    </row>
    <row r="167" spans="1:16" x14ac:dyDescent="0.3">
      <c r="A167" t="s">
        <v>269</v>
      </c>
      <c r="B167" s="2">
        <v>45771</v>
      </c>
      <c r="C167" t="s">
        <v>38</v>
      </c>
      <c r="D167" t="s">
        <v>33</v>
      </c>
      <c r="E167" t="s">
        <v>34</v>
      </c>
      <c r="F167" t="s">
        <v>23</v>
      </c>
      <c r="G167" t="s">
        <v>35</v>
      </c>
      <c r="H167" t="s">
        <v>36</v>
      </c>
      <c r="I167">
        <v>4</v>
      </c>
      <c r="J167" s="3">
        <v>0.2</v>
      </c>
      <c r="K167" s="4">
        <v>50568.32</v>
      </c>
      <c r="L167" s="4">
        <v>6316.84</v>
      </c>
      <c r="M167">
        <f t="shared" si="8"/>
        <v>2025</v>
      </c>
      <c r="N167" t="str">
        <f t="shared" si="9"/>
        <v>Apr</v>
      </c>
      <c r="O167" t="str">
        <f t="shared" si="10"/>
        <v>High</v>
      </c>
      <c r="P167" s="7">
        <f t="shared" si="11"/>
        <v>0.12491694404718211</v>
      </c>
    </row>
    <row r="168" spans="1:16" x14ac:dyDescent="0.3">
      <c r="A168" t="s">
        <v>270</v>
      </c>
      <c r="B168" s="2">
        <v>45772</v>
      </c>
      <c r="C168" t="s">
        <v>66</v>
      </c>
      <c r="D168" t="s">
        <v>14</v>
      </c>
      <c r="E168" t="s">
        <v>15</v>
      </c>
      <c r="F168" t="s">
        <v>28</v>
      </c>
      <c r="G168" t="s">
        <v>29</v>
      </c>
      <c r="H168" t="s">
        <v>98</v>
      </c>
      <c r="I168">
        <v>2</v>
      </c>
      <c r="J168" s="3">
        <v>0.15</v>
      </c>
      <c r="K168" s="4">
        <v>5288.4</v>
      </c>
      <c r="L168" s="4">
        <v>425.03</v>
      </c>
      <c r="M168">
        <f t="shared" si="8"/>
        <v>2025</v>
      </c>
      <c r="N168" t="str">
        <f t="shared" si="9"/>
        <v>Apr</v>
      </c>
      <c r="O168" t="str">
        <f t="shared" si="10"/>
        <v>High</v>
      </c>
      <c r="P168" s="7">
        <f t="shared" si="11"/>
        <v>8.0370244308297409E-2</v>
      </c>
    </row>
    <row r="169" spans="1:16" x14ac:dyDescent="0.3">
      <c r="A169" t="s">
        <v>271</v>
      </c>
      <c r="B169" s="2">
        <v>45772</v>
      </c>
      <c r="C169" t="s">
        <v>27</v>
      </c>
      <c r="D169" t="s">
        <v>21</v>
      </c>
      <c r="E169" t="s">
        <v>67</v>
      </c>
      <c r="F169" t="s">
        <v>23</v>
      </c>
      <c r="G169" t="s">
        <v>48</v>
      </c>
      <c r="H169" t="s">
        <v>118</v>
      </c>
      <c r="I169">
        <v>7</v>
      </c>
      <c r="J169" s="3">
        <v>0.2</v>
      </c>
      <c r="K169" s="4">
        <v>46295.97</v>
      </c>
      <c r="L169" s="4">
        <v>3204.48</v>
      </c>
      <c r="M169">
        <f t="shared" si="8"/>
        <v>2025</v>
      </c>
      <c r="N169" t="str">
        <f t="shared" si="9"/>
        <v>Apr</v>
      </c>
      <c r="O169" t="str">
        <f t="shared" si="10"/>
        <v>High</v>
      </c>
      <c r="P169" s="7">
        <f t="shared" si="11"/>
        <v>6.921725584321918E-2</v>
      </c>
    </row>
    <row r="170" spans="1:16" x14ac:dyDescent="0.3">
      <c r="A170" t="s">
        <v>272</v>
      </c>
      <c r="B170" s="2">
        <v>45773</v>
      </c>
      <c r="C170" t="s">
        <v>85</v>
      </c>
      <c r="D170" t="s">
        <v>33</v>
      </c>
      <c r="E170" t="s">
        <v>140</v>
      </c>
      <c r="F170" t="s">
        <v>16</v>
      </c>
      <c r="G170" t="s">
        <v>68</v>
      </c>
      <c r="H170" t="s">
        <v>69</v>
      </c>
      <c r="I170">
        <v>1</v>
      </c>
      <c r="J170" s="3">
        <v>0.1</v>
      </c>
      <c r="K170" s="4">
        <v>4004.98</v>
      </c>
      <c r="L170" s="4">
        <v>464.42</v>
      </c>
      <c r="M170">
        <f t="shared" si="8"/>
        <v>2025</v>
      </c>
      <c r="N170" t="str">
        <f t="shared" si="9"/>
        <v>Apr</v>
      </c>
      <c r="O170" t="str">
        <f t="shared" si="10"/>
        <v>High</v>
      </c>
      <c r="P170" s="7">
        <f t="shared" si="11"/>
        <v>0.115960629016874</v>
      </c>
    </row>
    <row r="171" spans="1:16" x14ac:dyDescent="0.3">
      <c r="A171" t="s">
        <v>273</v>
      </c>
      <c r="B171" s="2">
        <v>45773</v>
      </c>
      <c r="C171" t="s">
        <v>100</v>
      </c>
      <c r="D171" t="s">
        <v>39</v>
      </c>
      <c r="E171" t="s">
        <v>52</v>
      </c>
      <c r="F171" t="s">
        <v>28</v>
      </c>
      <c r="G171" t="s">
        <v>74</v>
      </c>
      <c r="H171" t="s">
        <v>80</v>
      </c>
      <c r="I171">
        <v>1</v>
      </c>
      <c r="J171" s="3">
        <v>0.15</v>
      </c>
      <c r="K171" s="4">
        <v>891.98</v>
      </c>
      <c r="L171" s="4">
        <v>112.58</v>
      </c>
      <c r="M171">
        <f t="shared" si="8"/>
        <v>2025</v>
      </c>
      <c r="N171" t="str">
        <f t="shared" si="9"/>
        <v>Apr</v>
      </c>
      <c r="O171" t="str">
        <f t="shared" si="10"/>
        <v>Medium</v>
      </c>
      <c r="P171" s="7">
        <f t="shared" si="11"/>
        <v>0.12621359223300971</v>
      </c>
    </row>
    <row r="172" spans="1:16" x14ac:dyDescent="0.3">
      <c r="A172" t="s">
        <v>274</v>
      </c>
      <c r="B172" s="2">
        <v>45773</v>
      </c>
      <c r="C172" t="s">
        <v>85</v>
      </c>
      <c r="D172" t="s">
        <v>14</v>
      </c>
      <c r="E172" t="s">
        <v>114</v>
      </c>
      <c r="F172" t="s">
        <v>23</v>
      </c>
      <c r="G172" t="s">
        <v>58</v>
      </c>
      <c r="H172" t="s">
        <v>59</v>
      </c>
      <c r="I172">
        <v>5</v>
      </c>
      <c r="J172" s="3">
        <v>0.1</v>
      </c>
      <c r="K172" s="4">
        <v>66806.05</v>
      </c>
      <c r="L172" s="4">
        <v>9750.1</v>
      </c>
      <c r="M172">
        <f t="shared" si="8"/>
        <v>2025</v>
      </c>
      <c r="N172" t="str">
        <f t="shared" si="9"/>
        <v>Apr</v>
      </c>
      <c r="O172" t="str">
        <f t="shared" si="10"/>
        <v>High</v>
      </c>
      <c r="P172" s="7">
        <f t="shared" si="11"/>
        <v>0.14594636264230559</v>
      </c>
    </row>
    <row r="173" spans="1:16" x14ac:dyDescent="0.3">
      <c r="A173" t="s">
        <v>275</v>
      </c>
      <c r="B173" s="2">
        <v>45773</v>
      </c>
      <c r="C173" t="s">
        <v>109</v>
      </c>
      <c r="D173" t="s">
        <v>33</v>
      </c>
      <c r="E173" t="s">
        <v>86</v>
      </c>
      <c r="F173" t="s">
        <v>28</v>
      </c>
      <c r="G173" t="s">
        <v>29</v>
      </c>
      <c r="H173" t="s">
        <v>30</v>
      </c>
      <c r="I173">
        <v>2</v>
      </c>
      <c r="J173" s="3">
        <v>0</v>
      </c>
      <c r="K173" s="4">
        <v>8430.2000000000007</v>
      </c>
      <c r="L173" s="4">
        <v>730.21</v>
      </c>
      <c r="M173">
        <f t="shared" si="8"/>
        <v>2025</v>
      </c>
      <c r="N173" t="str">
        <f t="shared" si="9"/>
        <v>Apr</v>
      </c>
      <c r="O173" t="str">
        <f t="shared" si="10"/>
        <v>High</v>
      </c>
      <c r="P173" s="7">
        <f t="shared" si="11"/>
        <v>8.6618348319138339E-2</v>
      </c>
    </row>
    <row r="174" spans="1:16" x14ac:dyDescent="0.3">
      <c r="A174" t="s">
        <v>276</v>
      </c>
      <c r="B174" s="2">
        <v>45774</v>
      </c>
      <c r="C174" t="s">
        <v>95</v>
      </c>
      <c r="D174" t="s">
        <v>14</v>
      </c>
      <c r="E174" t="s">
        <v>15</v>
      </c>
      <c r="F174" t="s">
        <v>16</v>
      </c>
      <c r="G174" t="s">
        <v>62</v>
      </c>
      <c r="H174" t="s">
        <v>167</v>
      </c>
      <c r="I174">
        <v>3</v>
      </c>
      <c r="J174" s="3">
        <v>0.15</v>
      </c>
      <c r="K174" s="4">
        <v>13694.4</v>
      </c>
      <c r="L174" s="4">
        <v>465.02</v>
      </c>
      <c r="M174">
        <f t="shared" si="8"/>
        <v>2025</v>
      </c>
      <c r="N174" t="str">
        <f t="shared" si="9"/>
        <v>Apr</v>
      </c>
      <c r="O174" t="str">
        <f t="shared" si="10"/>
        <v>High</v>
      </c>
      <c r="P174" s="7">
        <f t="shared" si="11"/>
        <v>3.3956945904895432E-2</v>
      </c>
    </row>
    <row r="175" spans="1:16" x14ac:dyDescent="0.3">
      <c r="A175" t="s">
        <v>277</v>
      </c>
      <c r="B175" s="2">
        <v>45774</v>
      </c>
      <c r="C175" t="s">
        <v>95</v>
      </c>
      <c r="D175" t="s">
        <v>21</v>
      </c>
      <c r="E175" t="s">
        <v>57</v>
      </c>
      <c r="F175" t="s">
        <v>23</v>
      </c>
      <c r="G175" t="s">
        <v>24</v>
      </c>
      <c r="H175" t="s">
        <v>25</v>
      </c>
      <c r="I175">
        <v>4</v>
      </c>
      <c r="J175" s="3">
        <v>0.05</v>
      </c>
      <c r="K175" s="4">
        <v>175089.68</v>
      </c>
      <c r="L175" s="4">
        <v>34545.64</v>
      </c>
      <c r="M175">
        <f t="shared" si="8"/>
        <v>2025</v>
      </c>
      <c r="N175" t="str">
        <f t="shared" si="9"/>
        <v>Apr</v>
      </c>
      <c r="O175" t="str">
        <f t="shared" si="10"/>
        <v>High</v>
      </c>
      <c r="P175" s="7">
        <f t="shared" si="11"/>
        <v>0.1973025480428087</v>
      </c>
    </row>
    <row r="176" spans="1:16" x14ac:dyDescent="0.3">
      <c r="A176" t="s">
        <v>278</v>
      </c>
      <c r="B176" s="2">
        <v>45774</v>
      </c>
      <c r="C176" t="s">
        <v>111</v>
      </c>
      <c r="D176" t="s">
        <v>39</v>
      </c>
      <c r="E176" t="s">
        <v>52</v>
      </c>
      <c r="F176" t="s">
        <v>16</v>
      </c>
      <c r="G176" t="s">
        <v>62</v>
      </c>
      <c r="H176" t="s">
        <v>63</v>
      </c>
      <c r="I176">
        <v>2</v>
      </c>
      <c r="J176" s="3">
        <v>0.2</v>
      </c>
      <c r="K176" s="4">
        <v>1279.56</v>
      </c>
      <c r="L176" s="4">
        <v>22.18</v>
      </c>
      <c r="M176">
        <f t="shared" si="8"/>
        <v>2025</v>
      </c>
      <c r="N176" t="str">
        <f t="shared" si="9"/>
        <v>Apr</v>
      </c>
      <c r="O176" t="str">
        <f t="shared" si="10"/>
        <v>High</v>
      </c>
      <c r="P176" s="7">
        <f t="shared" si="11"/>
        <v>1.7334083591234489E-2</v>
      </c>
    </row>
    <row r="177" spans="1:16" x14ac:dyDescent="0.3">
      <c r="A177" t="s">
        <v>279</v>
      </c>
      <c r="B177" s="2">
        <v>45775</v>
      </c>
      <c r="C177" t="s">
        <v>85</v>
      </c>
      <c r="D177" t="s">
        <v>14</v>
      </c>
      <c r="E177" t="s">
        <v>114</v>
      </c>
      <c r="F177" t="s">
        <v>28</v>
      </c>
      <c r="G177" t="s">
        <v>92</v>
      </c>
      <c r="H177" t="s">
        <v>93</v>
      </c>
      <c r="I177">
        <v>1</v>
      </c>
      <c r="J177" s="3">
        <v>0.15</v>
      </c>
      <c r="K177" s="4">
        <v>2164.12</v>
      </c>
      <c r="L177" s="4">
        <v>242.05</v>
      </c>
      <c r="M177">
        <f t="shared" si="8"/>
        <v>2025</v>
      </c>
      <c r="N177" t="str">
        <f t="shared" si="9"/>
        <v>Apr</v>
      </c>
      <c r="O177" t="str">
        <f t="shared" si="10"/>
        <v>High</v>
      </c>
      <c r="P177" s="7">
        <f t="shared" si="11"/>
        <v>0.11184684767942629</v>
      </c>
    </row>
    <row r="178" spans="1:16" x14ac:dyDescent="0.3">
      <c r="A178" t="s">
        <v>280</v>
      </c>
      <c r="B178" s="2">
        <v>45775</v>
      </c>
      <c r="C178" t="s">
        <v>150</v>
      </c>
      <c r="D178" t="s">
        <v>39</v>
      </c>
      <c r="E178" t="s">
        <v>40</v>
      </c>
      <c r="F178" t="s">
        <v>16</v>
      </c>
      <c r="G178" t="s">
        <v>41</v>
      </c>
      <c r="H178" t="s">
        <v>177</v>
      </c>
      <c r="I178">
        <v>6</v>
      </c>
      <c r="J178" s="3">
        <v>0.1</v>
      </c>
      <c r="K178" s="4">
        <v>69230.52</v>
      </c>
      <c r="L178" s="4">
        <v>9669.3799999999992</v>
      </c>
      <c r="M178">
        <f t="shared" si="8"/>
        <v>2025</v>
      </c>
      <c r="N178" t="str">
        <f t="shared" si="9"/>
        <v>Apr</v>
      </c>
      <c r="O178" t="str">
        <f t="shared" si="10"/>
        <v>High</v>
      </c>
      <c r="P178" s="7">
        <f t="shared" si="11"/>
        <v>0.13966932503179233</v>
      </c>
    </row>
    <row r="179" spans="1:16" x14ac:dyDescent="0.3">
      <c r="A179" t="s">
        <v>281</v>
      </c>
      <c r="B179" s="2">
        <v>45777</v>
      </c>
      <c r="C179" t="s">
        <v>111</v>
      </c>
      <c r="D179" t="s">
        <v>39</v>
      </c>
      <c r="E179" t="s">
        <v>47</v>
      </c>
      <c r="F179" t="s">
        <v>16</v>
      </c>
      <c r="G179" t="s">
        <v>41</v>
      </c>
      <c r="H179" t="s">
        <v>42</v>
      </c>
      <c r="I179">
        <v>5</v>
      </c>
      <c r="J179" s="3">
        <v>0</v>
      </c>
      <c r="K179" s="4">
        <v>33590.15</v>
      </c>
      <c r="L179" s="4">
        <v>4068.5</v>
      </c>
      <c r="M179">
        <f t="shared" si="8"/>
        <v>2025</v>
      </c>
      <c r="N179" t="str">
        <f t="shared" si="9"/>
        <v>Apr</v>
      </c>
      <c r="O179" t="str">
        <f t="shared" si="10"/>
        <v>High</v>
      </c>
      <c r="P179" s="7">
        <f t="shared" si="11"/>
        <v>0.12112181696122226</v>
      </c>
    </row>
    <row r="180" spans="1:16" x14ac:dyDescent="0.3">
      <c r="A180" t="s">
        <v>282</v>
      </c>
      <c r="B180" s="2">
        <v>45777</v>
      </c>
      <c r="C180" t="s">
        <v>147</v>
      </c>
      <c r="D180" t="s">
        <v>33</v>
      </c>
      <c r="E180" t="s">
        <v>140</v>
      </c>
      <c r="F180" t="s">
        <v>23</v>
      </c>
      <c r="G180" t="s">
        <v>48</v>
      </c>
      <c r="H180" t="s">
        <v>124</v>
      </c>
      <c r="I180">
        <v>6</v>
      </c>
      <c r="J180" s="3">
        <v>0.1</v>
      </c>
      <c r="K180" s="4">
        <v>256977.78</v>
      </c>
      <c r="L180" s="4">
        <v>19551.490000000002</v>
      </c>
      <c r="M180">
        <f t="shared" si="8"/>
        <v>2025</v>
      </c>
      <c r="N180" t="str">
        <f t="shared" si="9"/>
        <v>Apr</v>
      </c>
      <c r="O180" t="str">
        <f t="shared" si="10"/>
        <v>High</v>
      </c>
      <c r="P180" s="7">
        <f t="shared" si="11"/>
        <v>7.608241459631257E-2</v>
      </c>
    </row>
    <row r="181" spans="1:16" x14ac:dyDescent="0.3">
      <c r="A181" t="s">
        <v>283</v>
      </c>
      <c r="B181" s="2">
        <v>45777</v>
      </c>
      <c r="C181" t="s">
        <v>51</v>
      </c>
      <c r="D181" t="s">
        <v>39</v>
      </c>
      <c r="E181" t="s">
        <v>47</v>
      </c>
      <c r="F181" t="s">
        <v>23</v>
      </c>
      <c r="G181" t="s">
        <v>24</v>
      </c>
      <c r="H181" t="s">
        <v>129</v>
      </c>
      <c r="I181">
        <v>4</v>
      </c>
      <c r="J181" s="3">
        <v>0.15</v>
      </c>
      <c r="K181" s="4">
        <v>173277.76</v>
      </c>
      <c r="L181" s="4">
        <v>20669.259999999998</v>
      </c>
      <c r="M181">
        <f t="shared" si="8"/>
        <v>2025</v>
      </c>
      <c r="N181" t="str">
        <f t="shared" si="9"/>
        <v>Apr</v>
      </c>
      <c r="O181" t="str">
        <f t="shared" si="10"/>
        <v>High</v>
      </c>
      <c r="P181" s="7">
        <f t="shared" si="11"/>
        <v>0.11928397504676883</v>
      </c>
    </row>
    <row r="182" spans="1:16" x14ac:dyDescent="0.3">
      <c r="A182" t="s">
        <v>284</v>
      </c>
      <c r="B182" s="2">
        <v>45777</v>
      </c>
      <c r="C182" t="s">
        <v>82</v>
      </c>
      <c r="D182" t="s">
        <v>14</v>
      </c>
      <c r="E182" t="s">
        <v>54</v>
      </c>
      <c r="F182" t="s">
        <v>16</v>
      </c>
      <c r="G182" t="s">
        <v>62</v>
      </c>
      <c r="H182" t="s">
        <v>63</v>
      </c>
      <c r="I182">
        <v>1</v>
      </c>
      <c r="J182" s="3">
        <v>0</v>
      </c>
      <c r="K182" s="4">
        <v>5848.14</v>
      </c>
      <c r="L182" s="4">
        <v>950.12</v>
      </c>
      <c r="M182">
        <f t="shared" si="8"/>
        <v>2025</v>
      </c>
      <c r="N182" t="str">
        <f t="shared" si="9"/>
        <v>Apr</v>
      </c>
      <c r="O182" t="str">
        <f t="shared" si="10"/>
        <v>High</v>
      </c>
      <c r="P182" s="7">
        <f t="shared" si="11"/>
        <v>0.16246533085733242</v>
      </c>
    </row>
    <row r="183" spans="1:16" x14ac:dyDescent="0.3">
      <c r="A183" t="s">
        <v>285</v>
      </c>
      <c r="B183" s="2">
        <v>45778</v>
      </c>
      <c r="C183" t="s">
        <v>143</v>
      </c>
      <c r="D183" t="s">
        <v>14</v>
      </c>
      <c r="E183" t="s">
        <v>97</v>
      </c>
      <c r="F183" t="s">
        <v>16</v>
      </c>
      <c r="G183" t="s">
        <v>62</v>
      </c>
      <c r="H183" t="s">
        <v>167</v>
      </c>
      <c r="I183">
        <v>3</v>
      </c>
      <c r="J183" s="3">
        <v>0.1</v>
      </c>
      <c r="K183" s="4">
        <v>10828.56</v>
      </c>
      <c r="L183" s="4">
        <v>2082.4699999999998</v>
      </c>
      <c r="M183">
        <f t="shared" si="8"/>
        <v>2025</v>
      </c>
      <c r="N183" t="str">
        <f t="shared" si="9"/>
        <v>May</v>
      </c>
      <c r="O183" t="str">
        <f t="shared" si="10"/>
        <v>High</v>
      </c>
      <c r="P183" s="7">
        <f t="shared" si="11"/>
        <v>0.19231273595011708</v>
      </c>
    </row>
    <row r="184" spans="1:16" x14ac:dyDescent="0.3">
      <c r="A184" t="s">
        <v>286</v>
      </c>
      <c r="B184" s="2">
        <v>45779</v>
      </c>
      <c r="C184" t="s">
        <v>109</v>
      </c>
      <c r="D184" t="s">
        <v>39</v>
      </c>
      <c r="E184" t="s">
        <v>128</v>
      </c>
      <c r="F184" t="s">
        <v>16</v>
      </c>
      <c r="G184" t="s">
        <v>17</v>
      </c>
      <c r="H184" t="s">
        <v>18</v>
      </c>
      <c r="I184">
        <v>7</v>
      </c>
      <c r="J184" s="3">
        <v>0</v>
      </c>
      <c r="K184" s="4">
        <v>71644.37</v>
      </c>
      <c r="L184" s="4">
        <v>12357.42</v>
      </c>
      <c r="M184">
        <f t="shared" si="8"/>
        <v>2025</v>
      </c>
      <c r="N184" t="str">
        <f t="shared" si="9"/>
        <v>May</v>
      </c>
      <c r="O184" t="str">
        <f t="shared" si="10"/>
        <v>High</v>
      </c>
      <c r="P184" s="7">
        <f t="shared" si="11"/>
        <v>0.17248277847931387</v>
      </c>
    </row>
    <row r="185" spans="1:16" x14ac:dyDescent="0.3">
      <c r="A185" t="s">
        <v>287</v>
      </c>
      <c r="B185" s="2">
        <v>45779</v>
      </c>
      <c r="C185" t="s">
        <v>135</v>
      </c>
      <c r="D185" t="s">
        <v>33</v>
      </c>
      <c r="E185" t="s">
        <v>140</v>
      </c>
      <c r="F185" t="s">
        <v>23</v>
      </c>
      <c r="G185" t="s">
        <v>35</v>
      </c>
      <c r="H185" t="s">
        <v>36</v>
      </c>
      <c r="I185">
        <v>2</v>
      </c>
      <c r="J185" s="3">
        <v>0.1</v>
      </c>
      <c r="K185" s="4">
        <v>17962.28</v>
      </c>
      <c r="L185" s="4">
        <v>1371.3</v>
      </c>
      <c r="M185">
        <f t="shared" si="8"/>
        <v>2025</v>
      </c>
      <c r="N185" t="str">
        <f t="shared" si="9"/>
        <v>May</v>
      </c>
      <c r="O185" t="str">
        <f t="shared" si="10"/>
        <v>High</v>
      </c>
      <c r="P185" s="7">
        <f t="shared" si="11"/>
        <v>7.6343314991192651E-2</v>
      </c>
    </row>
    <row r="186" spans="1:16" x14ac:dyDescent="0.3">
      <c r="A186" t="s">
        <v>288</v>
      </c>
      <c r="B186" s="2">
        <v>45781</v>
      </c>
      <c r="C186" t="s">
        <v>100</v>
      </c>
      <c r="D186" t="s">
        <v>39</v>
      </c>
      <c r="E186" t="s">
        <v>40</v>
      </c>
      <c r="F186" t="s">
        <v>23</v>
      </c>
      <c r="G186" t="s">
        <v>58</v>
      </c>
      <c r="H186" t="s">
        <v>59</v>
      </c>
      <c r="I186">
        <v>7</v>
      </c>
      <c r="J186" s="3">
        <v>0.2</v>
      </c>
      <c r="K186" s="4">
        <v>202552.84</v>
      </c>
      <c r="L186" s="4">
        <v>8377.7800000000007</v>
      </c>
      <c r="M186">
        <f t="shared" si="8"/>
        <v>2025</v>
      </c>
      <c r="N186" t="str">
        <f t="shared" si="9"/>
        <v>May</v>
      </c>
      <c r="O186" t="str">
        <f t="shared" si="10"/>
        <v>High</v>
      </c>
      <c r="P186" s="7">
        <f t="shared" si="11"/>
        <v>4.136096042889352E-2</v>
      </c>
    </row>
    <row r="187" spans="1:16" x14ac:dyDescent="0.3">
      <c r="A187" t="s">
        <v>289</v>
      </c>
      <c r="B187" s="2">
        <v>45782</v>
      </c>
      <c r="C187" t="s">
        <v>51</v>
      </c>
      <c r="D187" t="s">
        <v>39</v>
      </c>
      <c r="E187" t="s">
        <v>128</v>
      </c>
      <c r="F187" t="s">
        <v>28</v>
      </c>
      <c r="G187" t="s">
        <v>29</v>
      </c>
      <c r="H187" t="s">
        <v>98</v>
      </c>
      <c r="I187">
        <v>3</v>
      </c>
      <c r="J187" s="3">
        <v>0.2</v>
      </c>
      <c r="K187" s="4">
        <v>9457.6200000000008</v>
      </c>
      <c r="L187" s="4">
        <v>1273.27</v>
      </c>
      <c r="M187">
        <f t="shared" si="8"/>
        <v>2025</v>
      </c>
      <c r="N187" t="str">
        <f t="shared" si="9"/>
        <v>May</v>
      </c>
      <c r="O187" t="str">
        <f t="shared" si="10"/>
        <v>High</v>
      </c>
      <c r="P187" s="7">
        <f t="shared" si="11"/>
        <v>0.13462900814369788</v>
      </c>
    </row>
    <row r="188" spans="1:16" x14ac:dyDescent="0.3">
      <c r="A188" t="s">
        <v>290</v>
      </c>
      <c r="B188" s="2">
        <v>45782</v>
      </c>
      <c r="C188" t="s">
        <v>138</v>
      </c>
      <c r="D188" t="s">
        <v>33</v>
      </c>
      <c r="E188" t="s">
        <v>86</v>
      </c>
      <c r="F188" t="s">
        <v>16</v>
      </c>
      <c r="G188" t="s">
        <v>62</v>
      </c>
      <c r="H188" t="s">
        <v>167</v>
      </c>
      <c r="I188">
        <v>6</v>
      </c>
      <c r="J188" s="3">
        <v>0.15</v>
      </c>
      <c r="K188" s="4">
        <v>23050.560000000001</v>
      </c>
      <c r="L188" s="4">
        <v>2028.81</v>
      </c>
      <c r="M188">
        <f t="shared" si="8"/>
        <v>2025</v>
      </c>
      <c r="N188" t="str">
        <f t="shared" si="9"/>
        <v>May</v>
      </c>
      <c r="O188" t="str">
        <f t="shared" si="10"/>
        <v>High</v>
      </c>
      <c r="P188" s="7">
        <f t="shared" si="11"/>
        <v>8.8015649077506142E-2</v>
      </c>
    </row>
    <row r="189" spans="1:16" x14ac:dyDescent="0.3">
      <c r="A189" t="s">
        <v>291</v>
      </c>
      <c r="B189" s="2">
        <v>45783</v>
      </c>
      <c r="C189" t="s">
        <v>95</v>
      </c>
      <c r="D189" t="s">
        <v>21</v>
      </c>
      <c r="E189" t="s">
        <v>105</v>
      </c>
      <c r="F189" t="s">
        <v>16</v>
      </c>
      <c r="G189" t="s">
        <v>17</v>
      </c>
      <c r="H189" t="s">
        <v>88</v>
      </c>
      <c r="I189">
        <v>5</v>
      </c>
      <c r="J189" s="3">
        <v>0.15</v>
      </c>
      <c r="K189" s="4">
        <v>30643.55</v>
      </c>
      <c r="L189" s="4">
        <v>1263.9000000000001</v>
      </c>
      <c r="M189">
        <f t="shared" si="8"/>
        <v>2025</v>
      </c>
      <c r="N189" t="str">
        <f t="shared" si="9"/>
        <v>May</v>
      </c>
      <c r="O189" t="str">
        <f t="shared" si="10"/>
        <v>High</v>
      </c>
      <c r="P189" s="7">
        <f t="shared" si="11"/>
        <v>4.1245221261896878E-2</v>
      </c>
    </row>
    <row r="190" spans="1:16" x14ac:dyDescent="0.3">
      <c r="A190" t="s">
        <v>292</v>
      </c>
      <c r="B190" s="2">
        <v>45784</v>
      </c>
      <c r="C190" t="s">
        <v>100</v>
      </c>
      <c r="D190" t="s">
        <v>39</v>
      </c>
      <c r="E190" t="s">
        <v>128</v>
      </c>
      <c r="F190" t="s">
        <v>28</v>
      </c>
      <c r="G190" t="s">
        <v>74</v>
      </c>
      <c r="H190" t="s">
        <v>75</v>
      </c>
      <c r="I190">
        <v>1</v>
      </c>
      <c r="J190" s="3">
        <v>0</v>
      </c>
      <c r="K190" s="4">
        <v>3768.36</v>
      </c>
      <c r="L190" s="4">
        <v>301.56</v>
      </c>
      <c r="M190">
        <f t="shared" si="8"/>
        <v>2025</v>
      </c>
      <c r="N190" t="str">
        <f t="shared" si="9"/>
        <v>May</v>
      </c>
      <c r="O190" t="str">
        <f t="shared" si="10"/>
        <v>High</v>
      </c>
      <c r="P190" s="7">
        <f t="shared" si="11"/>
        <v>8.002420150940992E-2</v>
      </c>
    </row>
    <row r="191" spans="1:16" x14ac:dyDescent="0.3">
      <c r="A191" t="s">
        <v>293</v>
      </c>
      <c r="B191" s="2">
        <v>45784</v>
      </c>
      <c r="C191" t="s">
        <v>135</v>
      </c>
      <c r="D191" t="s">
        <v>14</v>
      </c>
      <c r="E191" t="s">
        <v>114</v>
      </c>
      <c r="F191" t="s">
        <v>16</v>
      </c>
      <c r="G191" t="s">
        <v>41</v>
      </c>
      <c r="H191" t="s">
        <v>177</v>
      </c>
      <c r="I191">
        <v>5</v>
      </c>
      <c r="J191" s="3">
        <v>0.15</v>
      </c>
      <c r="K191" s="4">
        <v>25188.1</v>
      </c>
      <c r="L191" s="4">
        <v>3817.92</v>
      </c>
      <c r="M191">
        <f t="shared" si="8"/>
        <v>2025</v>
      </c>
      <c r="N191" t="str">
        <f t="shared" si="9"/>
        <v>May</v>
      </c>
      <c r="O191" t="str">
        <f t="shared" si="10"/>
        <v>High</v>
      </c>
      <c r="P191" s="7">
        <f t="shared" si="11"/>
        <v>0.15157633962069392</v>
      </c>
    </row>
    <row r="192" spans="1:16" x14ac:dyDescent="0.3">
      <c r="A192" t="s">
        <v>294</v>
      </c>
      <c r="B192" s="2">
        <v>45785</v>
      </c>
      <c r="C192" t="s">
        <v>104</v>
      </c>
      <c r="D192" t="s">
        <v>14</v>
      </c>
      <c r="E192" t="s">
        <v>15</v>
      </c>
      <c r="F192" t="s">
        <v>28</v>
      </c>
      <c r="G192" t="s">
        <v>71</v>
      </c>
      <c r="H192" t="s">
        <v>72</v>
      </c>
      <c r="I192">
        <v>1</v>
      </c>
      <c r="J192" s="3">
        <v>0.15</v>
      </c>
      <c r="K192" s="4">
        <v>555.85</v>
      </c>
      <c r="L192" s="4">
        <v>83.26</v>
      </c>
      <c r="M192">
        <f t="shared" si="8"/>
        <v>2025</v>
      </c>
      <c r="N192" t="str">
        <f t="shared" si="9"/>
        <v>May</v>
      </c>
      <c r="O192" t="str">
        <f t="shared" si="10"/>
        <v>Medium</v>
      </c>
      <c r="P192" s="7">
        <f t="shared" si="11"/>
        <v>0.14978861203562113</v>
      </c>
    </row>
    <row r="193" spans="1:16" x14ac:dyDescent="0.3">
      <c r="A193" t="s">
        <v>295</v>
      </c>
      <c r="B193" s="2">
        <v>45785</v>
      </c>
      <c r="C193" t="s">
        <v>27</v>
      </c>
      <c r="D193" t="s">
        <v>33</v>
      </c>
      <c r="E193" t="s">
        <v>140</v>
      </c>
      <c r="F193" t="s">
        <v>28</v>
      </c>
      <c r="G193" t="s">
        <v>92</v>
      </c>
      <c r="H193" t="s">
        <v>93</v>
      </c>
      <c r="I193">
        <v>7</v>
      </c>
      <c r="J193" s="3">
        <v>0.1</v>
      </c>
      <c r="K193" s="4">
        <v>31035.759999999998</v>
      </c>
      <c r="L193" s="4">
        <v>4634.03</v>
      </c>
      <c r="M193">
        <f t="shared" si="8"/>
        <v>2025</v>
      </c>
      <c r="N193" t="str">
        <f t="shared" si="9"/>
        <v>May</v>
      </c>
      <c r="O193" t="str">
        <f t="shared" si="10"/>
        <v>High</v>
      </c>
      <c r="P193" s="7">
        <f t="shared" si="11"/>
        <v>0.14931259940146463</v>
      </c>
    </row>
    <row r="194" spans="1:16" x14ac:dyDescent="0.3">
      <c r="A194" t="s">
        <v>296</v>
      </c>
      <c r="B194" s="2">
        <v>45787</v>
      </c>
      <c r="C194" t="s">
        <v>109</v>
      </c>
      <c r="D194" t="s">
        <v>14</v>
      </c>
      <c r="E194" t="s">
        <v>97</v>
      </c>
      <c r="F194" t="s">
        <v>23</v>
      </c>
      <c r="G194" t="s">
        <v>48</v>
      </c>
      <c r="H194" t="s">
        <v>118</v>
      </c>
      <c r="I194">
        <v>4</v>
      </c>
      <c r="J194" s="3">
        <v>0</v>
      </c>
      <c r="K194" s="4">
        <v>133449.96</v>
      </c>
      <c r="L194" s="4">
        <v>33259.96</v>
      </c>
      <c r="M194">
        <f t="shared" si="8"/>
        <v>2025</v>
      </c>
      <c r="N194" t="str">
        <f t="shared" si="9"/>
        <v>May</v>
      </c>
      <c r="O194" t="str">
        <f t="shared" si="10"/>
        <v>High</v>
      </c>
      <c r="P194" s="7">
        <f t="shared" si="11"/>
        <v>0.24923169703460385</v>
      </c>
    </row>
    <row r="195" spans="1:16" x14ac:dyDescent="0.3">
      <c r="A195" t="s">
        <v>297</v>
      </c>
      <c r="B195" s="2">
        <v>45789</v>
      </c>
      <c r="C195" t="s">
        <v>111</v>
      </c>
      <c r="D195" t="s">
        <v>39</v>
      </c>
      <c r="E195" t="s">
        <v>52</v>
      </c>
      <c r="F195" t="s">
        <v>23</v>
      </c>
      <c r="G195" t="s">
        <v>48</v>
      </c>
      <c r="H195" t="s">
        <v>118</v>
      </c>
      <c r="I195">
        <v>3</v>
      </c>
      <c r="J195" s="3">
        <v>0.05</v>
      </c>
      <c r="K195" s="4">
        <v>121638.06</v>
      </c>
      <c r="L195" s="4">
        <v>25755.82</v>
      </c>
      <c r="M195">
        <f t="shared" ref="M195:M258" si="12">YEAR(B195)</f>
        <v>2025</v>
      </c>
      <c r="N195" t="str">
        <f t="shared" ref="N195:N258" si="13">TEXT(B195,"mmm")</f>
        <v>May</v>
      </c>
      <c r="O195" t="str">
        <f t="shared" ref="O195:O258" si="14">IF(K195&gt;=1000,"High",IF(K195&gt;=500,"Medium","Low"))</f>
        <v>High</v>
      </c>
      <c r="P195" s="7">
        <f t="shared" ref="P195:P258" si="15">IFERROR(L195/K195,0)</f>
        <v>0.21174145658028418</v>
      </c>
    </row>
    <row r="196" spans="1:16" x14ac:dyDescent="0.3">
      <c r="A196" t="s">
        <v>298</v>
      </c>
      <c r="B196" s="2">
        <v>45790</v>
      </c>
      <c r="C196" t="s">
        <v>82</v>
      </c>
      <c r="D196" t="s">
        <v>21</v>
      </c>
      <c r="E196" t="s">
        <v>67</v>
      </c>
      <c r="F196" t="s">
        <v>28</v>
      </c>
      <c r="G196" t="s">
        <v>92</v>
      </c>
      <c r="H196" t="s">
        <v>204</v>
      </c>
      <c r="I196">
        <v>4</v>
      </c>
      <c r="J196" s="3">
        <v>0.15</v>
      </c>
      <c r="K196" s="4">
        <v>11071.84</v>
      </c>
      <c r="L196" s="4">
        <v>1766.82</v>
      </c>
      <c r="M196">
        <f t="shared" si="12"/>
        <v>2025</v>
      </c>
      <c r="N196" t="str">
        <f t="shared" si="13"/>
        <v>May</v>
      </c>
      <c r="O196" t="str">
        <f t="shared" si="14"/>
        <v>High</v>
      </c>
      <c r="P196" s="7">
        <f t="shared" si="15"/>
        <v>0.15957781181808986</v>
      </c>
    </row>
    <row r="197" spans="1:16" x14ac:dyDescent="0.3">
      <c r="A197" t="s">
        <v>299</v>
      </c>
      <c r="B197" s="2">
        <v>45791</v>
      </c>
      <c r="C197" t="s">
        <v>56</v>
      </c>
      <c r="D197" t="s">
        <v>33</v>
      </c>
      <c r="E197" t="s">
        <v>34</v>
      </c>
      <c r="F197" t="s">
        <v>16</v>
      </c>
      <c r="G197" t="s">
        <v>68</v>
      </c>
      <c r="H197" t="s">
        <v>83</v>
      </c>
      <c r="I197">
        <v>7</v>
      </c>
      <c r="J197" s="3">
        <v>0.1</v>
      </c>
      <c r="K197" s="4">
        <v>40691.49</v>
      </c>
      <c r="L197" s="4">
        <v>2891.93</v>
      </c>
      <c r="M197">
        <f t="shared" si="12"/>
        <v>2025</v>
      </c>
      <c r="N197" t="str">
        <f t="shared" si="13"/>
        <v>May</v>
      </c>
      <c r="O197" t="str">
        <f t="shared" si="14"/>
        <v>High</v>
      </c>
      <c r="P197" s="7">
        <f t="shared" si="15"/>
        <v>7.1069651172763648E-2</v>
      </c>
    </row>
    <row r="198" spans="1:16" x14ac:dyDescent="0.3">
      <c r="A198" t="s">
        <v>300</v>
      </c>
      <c r="B198" s="2">
        <v>45791</v>
      </c>
      <c r="C198" t="s">
        <v>66</v>
      </c>
      <c r="D198" t="s">
        <v>33</v>
      </c>
      <c r="E198" t="s">
        <v>86</v>
      </c>
      <c r="F198" t="s">
        <v>23</v>
      </c>
      <c r="G198" t="s">
        <v>58</v>
      </c>
      <c r="H198" t="s">
        <v>101</v>
      </c>
      <c r="I198">
        <v>2</v>
      </c>
      <c r="J198" s="3">
        <v>0</v>
      </c>
      <c r="K198" s="4">
        <v>82948</v>
      </c>
      <c r="L198" s="4">
        <v>7879.59</v>
      </c>
      <c r="M198">
        <f t="shared" si="12"/>
        <v>2025</v>
      </c>
      <c r="N198" t="str">
        <f t="shared" si="13"/>
        <v>May</v>
      </c>
      <c r="O198" t="str">
        <f t="shared" si="14"/>
        <v>High</v>
      </c>
      <c r="P198" s="7">
        <f t="shared" si="15"/>
        <v>9.4994333799488836E-2</v>
      </c>
    </row>
    <row r="199" spans="1:16" x14ac:dyDescent="0.3">
      <c r="A199" t="s">
        <v>301</v>
      </c>
      <c r="B199" s="2">
        <v>45792</v>
      </c>
      <c r="C199" t="s">
        <v>32</v>
      </c>
      <c r="D199" t="s">
        <v>14</v>
      </c>
      <c r="E199" t="s">
        <v>15</v>
      </c>
      <c r="F199" t="s">
        <v>28</v>
      </c>
      <c r="G199" t="s">
        <v>71</v>
      </c>
      <c r="H199" t="s">
        <v>121</v>
      </c>
      <c r="I199">
        <v>1</v>
      </c>
      <c r="J199" s="3">
        <v>0.2</v>
      </c>
      <c r="K199" s="4">
        <v>1774.73</v>
      </c>
      <c r="L199" s="4">
        <v>241.15</v>
      </c>
      <c r="M199">
        <f t="shared" si="12"/>
        <v>2025</v>
      </c>
      <c r="N199" t="str">
        <f t="shared" si="13"/>
        <v>May</v>
      </c>
      <c r="O199" t="str">
        <f t="shared" si="14"/>
        <v>High</v>
      </c>
      <c r="P199" s="7">
        <f t="shared" si="15"/>
        <v>0.1358798239732241</v>
      </c>
    </row>
    <row r="200" spans="1:16" x14ac:dyDescent="0.3">
      <c r="A200" t="s">
        <v>302</v>
      </c>
      <c r="B200" s="2">
        <v>45794</v>
      </c>
      <c r="C200" t="s">
        <v>150</v>
      </c>
      <c r="D200" t="s">
        <v>14</v>
      </c>
      <c r="E200" t="s">
        <v>97</v>
      </c>
      <c r="F200" t="s">
        <v>28</v>
      </c>
      <c r="G200" t="s">
        <v>74</v>
      </c>
      <c r="H200" t="s">
        <v>75</v>
      </c>
      <c r="I200">
        <v>4</v>
      </c>
      <c r="J200" s="3">
        <v>0.2</v>
      </c>
      <c r="K200" s="4">
        <v>5749.8</v>
      </c>
      <c r="L200" s="4">
        <v>494.15</v>
      </c>
      <c r="M200">
        <f t="shared" si="12"/>
        <v>2025</v>
      </c>
      <c r="N200" t="str">
        <f t="shared" si="13"/>
        <v>May</v>
      </c>
      <c r="O200" t="str">
        <f t="shared" si="14"/>
        <v>High</v>
      </c>
      <c r="P200" s="7">
        <f t="shared" si="15"/>
        <v>8.5942119725903501E-2</v>
      </c>
    </row>
    <row r="201" spans="1:16" x14ac:dyDescent="0.3">
      <c r="A201" t="s">
        <v>303</v>
      </c>
      <c r="B201" s="2">
        <v>45795</v>
      </c>
      <c r="C201" t="s">
        <v>51</v>
      </c>
      <c r="D201" t="s">
        <v>33</v>
      </c>
      <c r="E201" t="s">
        <v>45</v>
      </c>
      <c r="F201" t="s">
        <v>28</v>
      </c>
      <c r="G201" t="s">
        <v>29</v>
      </c>
      <c r="H201" t="s">
        <v>98</v>
      </c>
      <c r="I201">
        <v>3</v>
      </c>
      <c r="J201" s="3">
        <v>0</v>
      </c>
      <c r="K201" s="4">
        <v>3062.43</v>
      </c>
      <c r="L201" s="4">
        <v>549.38</v>
      </c>
      <c r="M201">
        <f t="shared" si="12"/>
        <v>2025</v>
      </c>
      <c r="N201" t="str">
        <f t="shared" si="13"/>
        <v>May</v>
      </c>
      <c r="O201" t="str">
        <f t="shared" si="14"/>
        <v>High</v>
      </c>
      <c r="P201" s="7">
        <f t="shared" si="15"/>
        <v>0.17939348817768896</v>
      </c>
    </row>
    <row r="202" spans="1:16" x14ac:dyDescent="0.3">
      <c r="A202" t="s">
        <v>304</v>
      </c>
      <c r="B202" s="2">
        <v>45796</v>
      </c>
      <c r="C202" t="s">
        <v>82</v>
      </c>
      <c r="D202" t="s">
        <v>39</v>
      </c>
      <c r="E202" t="s">
        <v>128</v>
      </c>
      <c r="F202" t="s">
        <v>16</v>
      </c>
      <c r="G202" t="s">
        <v>17</v>
      </c>
      <c r="H202" t="s">
        <v>18</v>
      </c>
      <c r="I202">
        <v>1</v>
      </c>
      <c r="J202" s="3">
        <v>0.05</v>
      </c>
      <c r="K202" s="4">
        <v>4320.3599999999997</v>
      </c>
      <c r="L202" s="4">
        <v>760.55</v>
      </c>
      <c r="M202">
        <f t="shared" si="12"/>
        <v>2025</v>
      </c>
      <c r="N202" t="str">
        <f t="shared" si="13"/>
        <v>May</v>
      </c>
      <c r="O202" t="str">
        <f t="shared" si="14"/>
        <v>High</v>
      </c>
      <c r="P202" s="7">
        <f t="shared" si="15"/>
        <v>0.17603857085983576</v>
      </c>
    </row>
    <row r="203" spans="1:16" x14ac:dyDescent="0.3">
      <c r="A203" t="s">
        <v>305</v>
      </c>
      <c r="B203" s="2">
        <v>45796</v>
      </c>
      <c r="C203" t="s">
        <v>66</v>
      </c>
      <c r="D203" t="s">
        <v>14</v>
      </c>
      <c r="E203" t="s">
        <v>97</v>
      </c>
      <c r="F203" t="s">
        <v>23</v>
      </c>
      <c r="G203" t="s">
        <v>58</v>
      </c>
      <c r="H203" t="s">
        <v>59</v>
      </c>
      <c r="I203">
        <v>3</v>
      </c>
      <c r="J203" s="3">
        <v>0.1</v>
      </c>
      <c r="K203" s="4">
        <v>117880.53</v>
      </c>
      <c r="L203" s="4">
        <v>22945.86</v>
      </c>
      <c r="M203">
        <f t="shared" si="12"/>
        <v>2025</v>
      </c>
      <c r="N203" t="str">
        <f t="shared" si="13"/>
        <v>May</v>
      </c>
      <c r="O203" t="str">
        <f t="shared" si="14"/>
        <v>High</v>
      </c>
      <c r="P203" s="7">
        <f t="shared" si="15"/>
        <v>0.19465351911804266</v>
      </c>
    </row>
    <row r="204" spans="1:16" x14ac:dyDescent="0.3">
      <c r="A204" t="s">
        <v>306</v>
      </c>
      <c r="B204" s="2">
        <v>45797</v>
      </c>
      <c r="C204" t="s">
        <v>143</v>
      </c>
      <c r="D204" t="s">
        <v>39</v>
      </c>
      <c r="E204" t="s">
        <v>128</v>
      </c>
      <c r="F204" t="s">
        <v>16</v>
      </c>
      <c r="G204" t="s">
        <v>62</v>
      </c>
      <c r="H204" t="s">
        <v>167</v>
      </c>
      <c r="I204">
        <v>5</v>
      </c>
      <c r="J204" s="3">
        <v>0</v>
      </c>
      <c r="K204" s="4">
        <v>8916.6</v>
      </c>
      <c r="L204" s="4">
        <v>1000.03</v>
      </c>
      <c r="M204">
        <f t="shared" si="12"/>
        <v>2025</v>
      </c>
      <c r="N204" t="str">
        <f t="shared" si="13"/>
        <v>May</v>
      </c>
      <c r="O204" t="str">
        <f t="shared" si="14"/>
        <v>High</v>
      </c>
      <c r="P204" s="7">
        <f t="shared" si="15"/>
        <v>0.11215373572886525</v>
      </c>
    </row>
    <row r="205" spans="1:16" x14ac:dyDescent="0.3">
      <c r="A205" t="s">
        <v>307</v>
      </c>
      <c r="B205" s="2">
        <v>45800</v>
      </c>
      <c r="C205" t="s">
        <v>32</v>
      </c>
      <c r="D205" t="s">
        <v>39</v>
      </c>
      <c r="E205" t="s">
        <v>47</v>
      </c>
      <c r="F205" t="s">
        <v>16</v>
      </c>
      <c r="G205" t="s">
        <v>62</v>
      </c>
      <c r="H205" t="s">
        <v>63</v>
      </c>
      <c r="I205">
        <v>4</v>
      </c>
      <c r="J205" s="3">
        <v>0.1</v>
      </c>
      <c r="K205" s="4">
        <v>11484.56</v>
      </c>
      <c r="L205" s="4">
        <v>969.65</v>
      </c>
      <c r="M205">
        <f t="shared" si="12"/>
        <v>2025</v>
      </c>
      <c r="N205" t="str">
        <f t="shared" si="13"/>
        <v>May</v>
      </c>
      <c r="O205" t="str">
        <f t="shared" si="14"/>
        <v>High</v>
      </c>
      <c r="P205" s="7">
        <f t="shared" si="15"/>
        <v>8.443074876181586E-2</v>
      </c>
    </row>
    <row r="206" spans="1:16" x14ac:dyDescent="0.3">
      <c r="A206" t="s">
        <v>308</v>
      </c>
      <c r="B206" s="2">
        <v>45802</v>
      </c>
      <c r="C206" t="s">
        <v>138</v>
      </c>
      <c r="D206" t="s">
        <v>14</v>
      </c>
      <c r="E206" t="s">
        <v>54</v>
      </c>
      <c r="F206" t="s">
        <v>23</v>
      </c>
      <c r="G206" t="s">
        <v>48</v>
      </c>
      <c r="H206" t="s">
        <v>49</v>
      </c>
      <c r="I206">
        <v>3</v>
      </c>
      <c r="J206" s="3">
        <v>0.1</v>
      </c>
      <c r="K206" s="4">
        <v>144429.78</v>
      </c>
      <c r="L206" s="4">
        <v>15213.17</v>
      </c>
      <c r="M206">
        <f t="shared" si="12"/>
        <v>2025</v>
      </c>
      <c r="N206" t="str">
        <f t="shared" si="13"/>
        <v>May</v>
      </c>
      <c r="O206" t="str">
        <f t="shared" si="14"/>
        <v>High</v>
      </c>
      <c r="P206" s="7">
        <f t="shared" si="15"/>
        <v>0.1053326398475439</v>
      </c>
    </row>
    <row r="207" spans="1:16" x14ac:dyDescent="0.3">
      <c r="A207" t="s">
        <v>309</v>
      </c>
      <c r="B207" s="2">
        <v>45802</v>
      </c>
      <c r="C207" t="s">
        <v>27</v>
      </c>
      <c r="D207" t="s">
        <v>14</v>
      </c>
      <c r="E207" t="s">
        <v>97</v>
      </c>
      <c r="F207" t="s">
        <v>28</v>
      </c>
      <c r="G207" t="s">
        <v>74</v>
      </c>
      <c r="H207" t="s">
        <v>159</v>
      </c>
      <c r="I207">
        <v>1</v>
      </c>
      <c r="J207" s="3">
        <v>0.2</v>
      </c>
      <c r="K207" s="4">
        <v>2114.91</v>
      </c>
      <c r="L207" s="4">
        <v>267.33</v>
      </c>
      <c r="M207">
        <f t="shared" si="12"/>
        <v>2025</v>
      </c>
      <c r="N207" t="str">
        <f t="shared" si="13"/>
        <v>May</v>
      </c>
      <c r="O207" t="str">
        <f t="shared" si="14"/>
        <v>High</v>
      </c>
      <c r="P207" s="7">
        <f t="shared" si="15"/>
        <v>0.12640254195213982</v>
      </c>
    </row>
    <row r="208" spans="1:16" x14ac:dyDescent="0.3">
      <c r="A208" t="s">
        <v>310</v>
      </c>
      <c r="B208" s="2">
        <v>45804</v>
      </c>
      <c r="C208" t="s">
        <v>13</v>
      </c>
      <c r="D208" t="s">
        <v>39</v>
      </c>
      <c r="E208" t="s">
        <v>52</v>
      </c>
      <c r="F208" t="s">
        <v>28</v>
      </c>
      <c r="G208" t="s">
        <v>74</v>
      </c>
      <c r="H208" t="s">
        <v>75</v>
      </c>
      <c r="I208">
        <v>5</v>
      </c>
      <c r="J208" s="3">
        <v>0</v>
      </c>
      <c r="K208" s="4">
        <v>24607.45</v>
      </c>
      <c r="L208" s="4">
        <v>3310.35</v>
      </c>
      <c r="M208">
        <f t="shared" si="12"/>
        <v>2025</v>
      </c>
      <c r="N208" t="str">
        <f t="shared" si="13"/>
        <v>May</v>
      </c>
      <c r="O208" t="str">
        <f t="shared" si="14"/>
        <v>High</v>
      </c>
      <c r="P208" s="7">
        <f t="shared" si="15"/>
        <v>0.13452633247248291</v>
      </c>
    </row>
    <row r="209" spans="1:16" x14ac:dyDescent="0.3">
      <c r="A209" t="s">
        <v>311</v>
      </c>
      <c r="B209" s="2">
        <v>45804</v>
      </c>
      <c r="C209" t="s">
        <v>150</v>
      </c>
      <c r="D209" t="s">
        <v>21</v>
      </c>
      <c r="E209" t="s">
        <v>57</v>
      </c>
      <c r="F209" t="s">
        <v>23</v>
      </c>
      <c r="G209" t="s">
        <v>48</v>
      </c>
      <c r="H209" t="s">
        <v>49</v>
      </c>
      <c r="I209">
        <v>4</v>
      </c>
      <c r="J209" s="3">
        <v>0</v>
      </c>
      <c r="K209" s="4">
        <v>111358.08</v>
      </c>
      <c r="L209" s="4">
        <v>10252.879999999999</v>
      </c>
      <c r="M209">
        <f t="shared" si="12"/>
        <v>2025</v>
      </c>
      <c r="N209" t="str">
        <f t="shared" si="13"/>
        <v>May</v>
      </c>
      <c r="O209" t="str">
        <f t="shared" si="14"/>
        <v>High</v>
      </c>
      <c r="P209" s="7">
        <f t="shared" si="15"/>
        <v>9.2071271343758795E-2</v>
      </c>
    </row>
    <row r="210" spans="1:16" x14ac:dyDescent="0.3">
      <c r="A210" t="s">
        <v>312</v>
      </c>
      <c r="B210" s="2">
        <v>45804</v>
      </c>
      <c r="C210" t="s">
        <v>82</v>
      </c>
      <c r="D210" t="s">
        <v>39</v>
      </c>
      <c r="E210" t="s">
        <v>40</v>
      </c>
      <c r="F210" t="s">
        <v>16</v>
      </c>
      <c r="G210" t="s">
        <v>17</v>
      </c>
      <c r="H210" t="s">
        <v>153</v>
      </c>
      <c r="I210">
        <v>6</v>
      </c>
      <c r="J210" s="3">
        <v>0.2</v>
      </c>
      <c r="K210" s="4">
        <v>23400.18</v>
      </c>
      <c r="L210" s="4">
        <v>3753.98</v>
      </c>
      <c r="M210">
        <f t="shared" si="12"/>
        <v>2025</v>
      </c>
      <c r="N210" t="str">
        <f t="shared" si="13"/>
        <v>May</v>
      </c>
      <c r="O210" t="str">
        <f t="shared" si="14"/>
        <v>High</v>
      </c>
      <c r="P210" s="7">
        <f t="shared" si="15"/>
        <v>0.16042526168602123</v>
      </c>
    </row>
    <row r="211" spans="1:16" x14ac:dyDescent="0.3">
      <c r="A211" t="s">
        <v>313</v>
      </c>
      <c r="B211" s="2">
        <v>45806</v>
      </c>
      <c r="C211" t="s">
        <v>66</v>
      </c>
      <c r="D211" t="s">
        <v>21</v>
      </c>
      <c r="E211" t="s">
        <v>105</v>
      </c>
      <c r="F211" t="s">
        <v>16</v>
      </c>
      <c r="G211" t="s">
        <v>68</v>
      </c>
      <c r="H211" t="s">
        <v>83</v>
      </c>
      <c r="I211">
        <v>4</v>
      </c>
      <c r="J211" s="3">
        <v>0.05</v>
      </c>
      <c r="K211" s="4">
        <v>23819.48</v>
      </c>
      <c r="L211" s="4">
        <v>3925.92</v>
      </c>
      <c r="M211">
        <f t="shared" si="12"/>
        <v>2025</v>
      </c>
      <c r="N211" t="str">
        <f t="shared" si="13"/>
        <v>May</v>
      </c>
      <c r="O211" t="str">
        <f t="shared" si="14"/>
        <v>High</v>
      </c>
      <c r="P211" s="7">
        <f t="shared" si="15"/>
        <v>0.16481971898630868</v>
      </c>
    </row>
    <row r="212" spans="1:16" x14ac:dyDescent="0.3">
      <c r="A212" t="s">
        <v>314</v>
      </c>
      <c r="B212" s="2">
        <v>45806</v>
      </c>
      <c r="C212" t="s">
        <v>150</v>
      </c>
      <c r="D212" t="s">
        <v>33</v>
      </c>
      <c r="E212" t="s">
        <v>140</v>
      </c>
      <c r="F212" t="s">
        <v>28</v>
      </c>
      <c r="G212" t="s">
        <v>71</v>
      </c>
      <c r="H212" t="s">
        <v>72</v>
      </c>
      <c r="I212">
        <v>1</v>
      </c>
      <c r="J212" s="3">
        <v>0.05</v>
      </c>
      <c r="K212" s="4">
        <v>3746.82</v>
      </c>
      <c r="L212" s="4">
        <v>745.56</v>
      </c>
      <c r="M212">
        <f t="shared" si="12"/>
        <v>2025</v>
      </c>
      <c r="N212" t="str">
        <f t="shared" si="13"/>
        <v>May</v>
      </c>
      <c r="O212" t="str">
        <f t="shared" si="14"/>
        <v>High</v>
      </c>
      <c r="P212" s="7">
        <f t="shared" si="15"/>
        <v>0.19898473905872177</v>
      </c>
    </row>
    <row r="213" spans="1:16" x14ac:dyDescent="0.3">
      <c r="A213" t="s">
        <v>315</v>
      </c>
      <c r="B213" s="2">
        <v>45807</v>
      </c>
      <c r="C213" t="s">
        <v>229</v>
      </c>
      <c r="D213" t="s">
        <v>14</v>
      </c>
      <c r="E213" t="s">
        <v>97</v>
      </c>
      <c r="F213" t="s">
        <v>23</v>
      </c>
      <c r="G213" t="s">
        <v>58</v>
      </c>
      <c r="H213" t="s">
        <v>101</v>
      </c>
      <c r="I213">
        <v>5</v>
      </c>
      <c r="J213" s="3">
        <v>0</v>
      </c>
      <c r="K213" s="4">
        <v>130732.75</v>
      </c>
      <c r="L213" s="4">
        <v>31817.99</v>
      </c>
      <c r="M213">
        <f t="shared" si="12"/>
        <v>2025</v>
      </c>
      <c r="N213" t="str">
        <f t="shared" si="13"/>
        <v>May</v>
      </c>
      <c r="O213" t="str">
        <f t="shared" si="14"/>
        <v>High</v>
      </c>
      <c r="P213" s="7">
        <f t="shared" si="15"/>
        <v>0.24338193757876278</v>
      </c>
    </row>
    <row r="214" spans="1:16" x14ac:dyDescent="0.3">
      <c r="A214" t="s">
        <v>316</v>
      </c>
      <c r="B214" s="2">
        <v>45809</v>
      </c>
      <c r="C214" t="s">
        <v>109</v>
      </c>
      <c r="D214" t="s">
        <v>14</v>
      </c>
      <c r="E214" t="s">
        <v>54</v>
      </c>
      <c r="F214" t="s">
        <v>23</v>
      </c>
      <c r="G214" t="s">
        <v>58</v>
      </c>
      <c r="H214" t="s">
        <v>78</v>
      </c>
      <c r="I214">
        <v>6</v>
      </c>
      <c r="J214" s="3">
        <v>0.15</v>
      </c>
      <c r="K214" s="4">
        <v>170663.04000000001</v>
      </c>
      <c r="L214" s="4">
        <v>17139.52</v>
      </c>
      <c r="M214">
        <f t="shared" si="12"/>
        <v>2025</v>
      </c>
      <c r="N214" t="str">
        <f t="shared" si="13"/>
        <v>Jun</v>
      </c>
      <c r="O214" t="str">
        <f t="shared" si="14"/>
        <v>High</v>
      </c>
      <c r="P214" s="7">
        <f t="shared" si="15"/>
        <v>0.10042900911644372</v>
      </c>
    </row>
    <row r="215" spans="1:16" x14ac:dyDescent="0.3">
      <c r="A215" t="s">
        <v>317</v>
      </c>
      <c r="B215" s="2">
        <v>45809</v>
      </c>
      <c r="C215" t="s">
        <v>32</v>
      </c>
      <c r="D215" t="s">
        <v>21</v>
      </c>
      <c r="E215" t="s">
        <v>57</v>
      </c>
      <c r="F215" t="s">
        <v>23</v>
      </c>
      <c r="G215" t="s">
        <v>48</v>
      </c>
      <c r="H215" t="s">
        <v>49</v>
      </c>
      <c r="I215">
        <v>6</v>
      </c>
      <c r="J215" s="3">
        <v>0.1</v>
      </c>
      <c r="K215" s="4">
        <v>287438.64</v>
      </c>
      <c r="L215" s="4">
        <v>61692.82</v>
      </c>
      <c r="M215">
        <f t="shared" si="12"/>
        <v>2025</v>
      </c>
      <c r="N215" t="str">
        <f t="shared" si="13"/>
        <v>Jun</v>
      </c>
      <c r="O215" t="str">
        <f t="shared" si="14"/>
        <v>High</v>
      </c>
      <c r="P215" s="7">
        <f t="shared" si="15"/>
        <v>0.21462952927970991</v>
      </c>
    </row>
    <row r="216" spans="1:16" x14ac:dyDescent="0.3">
      <c r="A216" t="s">
        <v>318</v>
      </c>
      <c r="B216" s="2">
        <v>45809</v>
      </c>
      <c r="C216" t="s">
        <v>85</v>
      </c>
      <c r="D216" t="s">
        <v>14</v>
      </c>
      <c r="E216" t="s">
        <v>114</v>
      </c>
      <c r="F216" t="s">
        <v>23</v>
      </c>
      <c r="G216" t="s">
        <v>48</v>
      </c>
      <c r="H216" t="s">
        <v>124</v>
      </c>
      <c r="I216">
        <v>4</v>
      </c>
      <c r="J216" s="3">
        <v>0.2</v>
      </c>
      <c r="K216" s="4">
        <v>157667.72</v>
      </c>
      <c r="L216" s="4">
        <v>22714.33</v>
      </c>
      <c r="M216">
        <f t="shared" si="12"/>
        <v>2025</v>
      </c>
      <c r="N216" t="str">
        <f t="shared" si="13"/>
        <v>Jun</v>
      </c>
      <c r="O216" t="str">
        <f t="shared" si="14"/>
        <v>High</v>
      </c>
      <c r="P216" s="7">
        <f t="shared" si="15"/>
        <v>0.14406455550952346</v>
      </c>
    </row>
    <row r="217" spans="1:16" x14ac:dyDescent="0.3">
      <c r="A217" t="s">
        <v>319</v>
      </c>
      <c r="B217" s="2">
        <v>45809</v>
      </c>
      <c r="C217" t="s">
        <v>38</v>
      </c>
      <c r="D217" t="s">
        <v>14</v>
      </c>
      <c r="E217" t="s">
        <v>114</v>
      </c>
      <c r="F217" t="s">
        <v>28</v>
      </c>
      <c r="G217" t="s">
        <v>71</v>
      </c>
      <c r="H217" t="s">
        <v>72</v>
      </c>
      <c r="I217">
        <v>6</v>
      </c>
      <c r="J217" s="3">
        <v>0</v>
      </c>
      <c r="K217" s="4">
        <v>22137.599999999999</v>
      </c>
      <c r="L217" s="4">
        <v>2786.79</v>
      </c>
      <c r="M217">
        <f t="shared" si="12"/>
        <v>2025</v>
      </c>
      <c r="N217" t="str">
        <f t="shared" si="13"/>
        <v>Jun</v>
      </c>
      <c r="O217" t="str">
        <f t="shared" si="14"/>
        <v>High</v>
      </c>
      <c r="P217" s="7">
        <f t="shared" si="15"/>
        <v>0.12588491977450131</v>
      </c>
    </row>
    <row r="218" spans="1:16" x14ac:dyDescent="0.3">
      <c r="A218" t="s">
        <v>320</v>
      </c>
      <c r="B218" s="2">
        <v>45810</v>
      </c>
      <c r="C218" t="s">
        <v>147</v>
      </c>
      <c r="D218" t="s">
        <v>21</v>
      </c>
      <c r="E218" t="s">
        <v>22</v>
      </c>
      <c r="F218" t="s">
        <v>16</v>
      </c>
      <c r="G218" t="s">
        <v>62</v>
      </c>
      <c r="H218" t="s">
        <v>167</v>
      </c>
      <c r="I218">
        <v>5</v>
      </c>
      <c r="J218" s="3">
        <v>0</v>
      </c>
      <c r="K218" s="4">
        <v>8394.65</v>
      </c>
      <c r="L218" s="4">
        <v>1682.65</v>
      </c>
      <c r="M218">
        <f t="shared" si="12"/>
        <v>2025</v>
      </c>
      <c r="N218" t="str">
        <f t="shared" si="13"/>
        <v>Jun</v>
      </c>
      <c r="O218" t="str">
        <f t="shared" si="14"/>
        <v>High</v>
      </c>
      <c r="P218" s="7">
        <f t="shared" si="15"/>
        <v>0.20044313938043876</v>
      </c>
    </row>
    <row r="219" spans="1:16" x14ac:dyDescent="0.3">
      <c r="A219" t="s">
        <v>321</v>
      </c>
      <c r="B219" s="2">
        <v>45811</v>
      </c>
      <c r="C219" t="s">
        <v>95</v>
      </c>
      <c r="D219" t="s">
        <v>14</v>
      </c>
      <c r="E219" t="s">
        <v>15</v>
      </c>
      <c r="F219" t="s">
        <v>23</v>
      </c>
      <c r="G219" t="s">
        <v>35</v>
      </c>
      <c r="H219" t="s">
        <v>155</v>
      </c>
      <c r="I219">
        <v>6</v>
      </c>
      <c r="J219" s="3">
        <v>0.1</v>
      </c>
      <c r="K219" s="4">
        <v>232788.36</v>
      </c>
      <c r="L219" s="4">
        <v>22655.46</v>
      </c>
      <c r="M219">
        <f t="shared" si="12"/>
        <v>2025</v>
      </c>
      <c r="N219" t="str">
        <f t="shared" si="13"/>
        <v>Jun</v>
      </c>
      <c r="O219" t="str">
        <f t="shared" si="14"/>
        <v>High</v>
      </c>
      <c r="P219" s="7">
        <f t="shared" si="15"/>
        <v>9.7322134147944508E-2</v>
      </c>
    </row>
    <row r="220" spans="1:16" x14ac:dyDescent="0.3">
      <c r="A220" t="s">
        <v>322</v>
      </c>
      <c r="B220" s="2">
        <v>45811</v>
      </c>
      <c r="C220" t="s">
        <v>104</v>
      </c>
      <c r="D220" t="s">
        <v>33</v>
      </c>
      <c r="E220" t="s">
        <v>140</v>
      </c>
      <c r="F220" t="s">
        <v>28</v>
      </c>
      <c r="G220" t="s">
        <v>74</v>
      </c>
      <c r="H220" t="s">
        <v>80</v>
      </c>
      <c r="I220">
        <v>4</v>
      </c>
      <c r="J220" s="3">
        <v>0.1</v>
      </c>
      <c r="K220" s="4">
        <v>5786.2</v>
      </c>
      <c r="L220" s="4">
        <v>1097.6400000000001</v>
      </c>
      <c r="M220">
        <f t="shared" si="12"/>
        <v>2025</v>
      </c>
      <c r="N220" t="str">
        <f t="shared" si="13"/>
        <v>Jun</v>
      </c>
      <c r="O220" t="str">
        <f t="shared" si="14"/>
        <v>High</v>
      </c>
      <c r="P220" s="7">
        <f t="shared" si="15"/>
        <v>0.18969963015450558</v>
      </c>
    </row>
    <row r="221" spans="1:16" x14ac:dyDescent="0.3">
      <c r="A221" t="s">
        <v>323</v>
      </c>
      <c r="B221" s="2">
        <v>45813</v>
      </c>
      <c r="C221" t="s">
        <v>51</v>
      </c>
      <c r="D221" t="s">
        <v>14</v>
      </c>
      <c r="E221" t="s">
        <v>114</v>
      </c>
      <c r="F221" t="s">
        <v>28</v>
      </c>
      <c r="G221" t="s">
        <v>71</v>
      </c>
      <c r="H221" t="s">
        <v>72</v>
      </c>
      <c r="I221">
        <v>6</v>
      </c>
      <c r="J221" s="3">
        <v>0.15</v>
      </c>
      <c r="K221" s="4">
        <v>3801.48</v>
      </c>
      <c r="L221" s="4">
        <v>719.4</v>
      </c>
      <c r="M221">
        <f t="shared" si="12"/>
        <v>2025</v>
      </c>
      <c r="N221" t="str">
        <f t="shared" si="13"/>
        <v>Jun</v>
      </c>
      <c r="O221" t="str">
        <f t="shared" si="14"/>
        <v>High</v>
      </c>
      <c r="P221" s="7">
        <f t="shared" si="15"/>
        <v>0.18924208466176332</v>
      </c>
    </row>
    <row r="222" spans="1:16" x14ac:dyDescent="0.3">
      <c r="A222" t="s">
        <v>324</v>
      </c>
      <c r="B222" s="2">
        <v>45813</v>
      </c>
      <c r="C222" t="s">
        <v>32</v>
      </c>
      <c r="D222" t="s">
        <v>33</v>
      </c>
      <c r="E222" t="s">
        <v>34</v>
      </c>
      <c r="F222" t="s">
        <v>23</v>
      </c>
      <c r="G222" t="s">
        <v>24</v>
      </c>
      <c r="H222" t="s">
        <v>132</v>
      </c>
      <c r="I222">
        <v>2</v>
      </c>
      <c r="J222" s="3">
        <v>0.05</v>
      </c>
      <c r="K222" s="4">
        <v>61656.84</v>
      </c>
      <c r="L222" s="4">
        <v>8045.22</v>
      </c>
      <c r="M222">
        <f t="shared" si="12"/>
        <v>2025</v>
      </c>
      <c r="N222" t="str">
        <f t="shared" si="13"/>
        <v>Jun</v>
      </c>
      <c r="O222" t="str">
        <f t="shared" si="14"/>
        <v>High</v>
      </c>
      <c r="P222" s="7">
        <f t="shared" si="15"/>
        <v>0.13048381980004167</v>
      </c>
    </row>
    <row r="223" spans="1:16" x14ac:dyDescent="0.3">
      <c r="A223" t="s">
        <v>325</v>
      </c>
      <c r="B223" s="2">
        <v>45814</v>
      </c>
      <c r="C223" t="s">
        <v>143</v>
      </c>
      <c r="D223" t="s">
        <v>14</v>
      </c>
      <c r="E223" t="s">
        <v>15</v>
      </c>
      <c r="F223" t="s">
        <v>16</v>
      </c>
      <c r="G223" t="s">
        <v>41</v>
      </c>
      <c r="H223" t="s">
        <v>177</v>
      </c>
      <c r="I223">
        <v>4</v>
      </c>
      <c r="J223" s="3">
        <v>0.1</v>
      </c>
      <c r="K223" s="4">
        <v>36107.199999999997</v>
      </c>
      <c r="L223" s="4">
        <v>6465.41</v>
      </c>
      <c r="M223">
        <f t="shared" si="12"/>
        <v>2025</v>
      </c>
      <c r="N223" t="str">
        <f t="shared" si="13"/>
        <v>Jun</v>
      </c>
      <c r="O223" t="str">
        <f t="shared" si="14"/>
        <v>High</v>
      </c>
      <c r="P223" s="7">
        <f t="shared" si="15"/>
        <v>0.1790615168165906</v>
      </c>
    </row>
    <row r="224" spans="1:16" x14ac:dyDescent="0.3">
      <c r="A224" t="s">
        <v>326</v>
      </c>
      <c r="B224" s="2">
        <v>45814</v>
      </c>
      <c r="C224" t="s">
        <v>20</v>
      </c>
      <c r="D224" t="s">
        <v>14</v>
      </c>
      <c r="E224" t="s">
        <v>97</v>
      </c>
      <c r="F224" t="s">
        <v>23</v>
      </c>
      <c r="G224" t="s">
        <v>35</v>
      </c>
      <c r="H224" t="s">
        <v>155</v>
      </c>
      <c r="I224">
        <v>4</v>
      </c>
      <c r="J224" s="3">
        <v>0.15</v>
      </c>
      <c r="K224" s="4">
        <v>136320.72</v>
      </c>
      <c r="L224" s="4">
        <v>6164.18</v>
      </c>
      <c r="M224">
        <f t="shared" si="12"/>
        <v>2025</v>
      </c>
      <c r="N224" t="str">
        <f t="shared" si="13"/>
        <v>Jun</v>
      </c>
      <c r="O224" t="str">
        <f t="shared" si="14"/>
        <v>High</v>
      </c>
      <c r="P224" s="7">
        <f t="shared" si="15"/>
        <v>4.5218217744155111E-2</v>
      </c>
    </row>
    <row r="225" spans="1:16" x14ac:dyDescent="0.3">
      <c r="A225" t="s">
        <v>327</v>
      </c>
      <c r="B225" s="2">
        <v>45815</v>
      </c>
      <c r="C225" t="s">
        <v>77</v>
      </c>
      <c r="D225" t="s">
        <v>39</v>
      </c>
      <c r="E225" t="s">
        <v>40</v>
      </c>
      <c r="F225" t="s">
        <v>28</v>
      </c>
      <c r="G225" t="s">
        <v>29</v>
      </c>
      <c r="H225" t="s">
        <v>98</v>
      </c>
      <c r="I225">
        <v>5</v>
      </c>
      <c r="J225" s="3">
        <v>0.1</v>
      </c>
      <c r="K225" s="4">
        <v>9754.2999999999993</v>
      </c>
      <c r="L225" s="4">
        <v>547.9</v>
      </c>
      <c r="M225">
        <f t="shared" si="12"/>
        <v>2025</v>
      </c>
      <c r="N225" t="str">
        <f t="shared" si="13"/>
        <v>Jun</v>
      </c>
      <c r="O225" t="str">
        <f t="shared" si="14"/>
        <v>High</v>
      </c>
      <c r="P225" s="7">
        <f t="shared" si="15"/>
        <v>5.6170099340803546E-2</v>
      </c>
    </row>
    <row r="226" spans="1:16" x14ac:dyDescent="0.3">
      <c r="A226" t="s">
        <v>328</v>
      </c>
      <c r="B226" s="2">
        <v>45815</v>
      </c>
      <c r="C226" t="s">
        <v>20</v>
      </c>
      <c r="D226" t="s">
        <v>14</v>
      </c>
      <c r="E226" t="s">
        <v>54</v>
      </c>
      <c r="F226" t="s">
        <v>28</v>
      </c>
      <c r="G226" t="s">
        <v>74</v>
      </c>
      <c r="H226" t="s">
        <v>75</v>
      </c>
      <c r="I226">
        <v>1</v>
      </c>
      <c r="J226" s="3">
        <v>0.1</v>
      </c>
      <c r="K226" s="4">
        <v>2054.2199999999998</v>
      </c>
      <c r="L226" s="4">
        <v>245.74</v>
      </c>
      <c r="M226">
        <f t="shared" si="12"/>
        <v>2025</v>
      </c>
      <c r="N226" t="str">
        <f t="shared" si="13"/>
        <v>Jun</v>
      </c>
      <c r="O226" t="str">
        <f t="shared" si="14"/>
        <v>High</v>
      </c>
      <c r="P226" s="7">
        <f t="shared" si="15"/>
        <v>0.11962691435191948</v>
      </c>
    </row>
    <row r="227" spans="1:16" x14ac:dyDescent="0.3">
      <c r="A227" t="s">
        <v>329</v>
      </c>
      <c r="B227" s="2">
        <v>45817</v>
      </c>
      <c r="C227" t="s">
        <v>82</v>
      </c>
      <c r="D227" t="s">
        <v>33</v>
      </c>
      <c r="E227" t="s">
        <v>45</v>
      </c>
      <c r="F227" t="s">
        <v>23</v>
      </c>
      <c r="G227" t="s">
        <v>58</v>
      </c>
      <c r="H227" t="s">
        <v>101</v>
      </c>
      <c r="I227">
        <v>3</v>
      </c>
      <c r="J227" s="3">
        <v>0.2</v>
      </c>
      <c r="K227" s="4">
        <v>144597.03</v>
      </c>
      <c r="L227" s="4">
        <v>2730.55</v>
      </c>
      <c r="M227">
        <f t="shared" si="12"/>
        <v>2025</v>
      </c>
      <c r="N227" t="str">
        <f t="shared" si="13"/>
        <v>Jun</v>
      </c>
      <c r="O227" t="str">
        <f t="shared" si="14"/>
        <v>High</v>
      </c>
      <c r="P227" s="7">
        <f t="shared" si="15"/>
        <v>1.8883859509424228E-2</v>
      </c>
    </row>
    <row r="228" spans="1:16" x14ac:dyDescent="0.3">
      <c r="A228" t="s">
        <v>330</v>
      </c>
      <c r="B228" s="2">
        <v>45817</v>
      </c>
      <c r="C228" t="s">
        <v>100</v>
      </c>
      <c r="D228" t="s">
        <v>33</v>
      </c>
      <c r="E228" t="s">
        <v>45</v>
      </c>
      <c r="F228" t="s">
        <v>28</v>
      </c>
      <c r="G228" t="s">
        <v>71</v>
      </c>
      <c r="H228" t="s">
        <v>72</v>
      </c>
      <c r="I228">
        <v>1</v>
      </c>
      <c r="J228" s="3">
        <v>0.2</v>
      </c>
      <c r="K228" s="4">
        <v>3070.12</v>
      </c>
      <c r="L228" s="4">
        <v>238.43</v>
      </c>
      <c r="M228">
        <f t="shared" si="12"/>
        <v>2025</v>
      </c>
      <c r="N228" t="str">
        <f t="shared" si="13"/>
        <v>Jun</v>
      </c>
      <c r="O228" t="str">
        <f t="shared" si="14"/>
        <v>High</v>
      </c>
      <c r="P228" s="7">
        <f t="shared" si="15"/>
        <v>7.7661459486925599E-2</v>
      </c>
    </row>
    <row r="229" spans="1:16" x14ac:dyDescent="0.3">
      <c r="A229" t="s">
        <v>331</v>
      </c>
      <c r="B229" s="2">
        <v>45818</v>
      </c>
      <c r="C229" t="s">
        <v>61</v>
      </c>
      <c r="D229" t="s">
        <v>39</v>
      </c>
      <c r="E229" t="s">
        <v>52</v>
      </c>
      <c r="F229" t="s">
        <v>23</v>
      </c>
      <c r="G229" t="s">
        <v>35</v>
      </c>
      <c r="H229" t="s">
        <v>36</v>
      </c>
      <c r="I229">
        <v>2</v>
      </c>
      <c r="J229" s="3">
        <v>0.05</v>
      </c>
      <c r="K229" s="4">
        <v>33723.800000000003</v>
      </c>
      <c r="L229" s="4">
        <v>5170.57</v>
      </c>
      <c r="M229">
        <f t="shared" si="12"/>
        <v>2025</v>
      </c>
      <c r="N229" t="str">
        <f t="shared" si="13"/>
        <v>Jun</v>
      </c>
      <c r="O229" t="str">
        <f t="shared" si="14"/>
        <v>High</v>
      </c>
      <c r="P229" s="7">
        <f t="shared" si="15"/>
        <v>0.15332109667356583</v>
      </c>
    </row>
    <row r="230" spans="1:16" x14ac:dyDescent="0.3">
      <c r="A230" t="s">
        <v>332</v>
      </c>
      <c r="B230" s="2">
        <v>45818</v>
      </c>
      <c r="C230" t="s">
        <v>229</v>
      </c>
      <c r="D230" t="s">
        <v>33</v>
      </c>
      <c r="E230" t="s">
        <v>45</v>
      </c>
      <c r="F230" t="s">
        <v>23</v>
      </c>
      <c r="G230" t="s">
        <v>24</v>
      </c>
      <c r="H230" t="s">
        <v>129</v>
      </c>
      <c r="I230">
        <v>5</v>
      </c>
      <c r="J230" s="3">
        <v>0.05</v>
      </c>
      <c r="K230" s="4">
        <v>59427.95</v>
      </c>
      <c r="L230" s="4">
        <v>4611.78</v>
      </c>
      <c r="M230">
        <f t="shared" si="12"/>
        <v>2025</v>
      </c>
      <c r="N230" t="str">
        <f t="shared" si="13"/>
        <v>Jun</v>
      </c>
      <c r="O230" t="str">
        <f t="shared" si="14"/>
        <v>High</v>
      </c>
      <c r="P230" s="7">
        <f t="shared" si="15"/>
        <v>7.7602878780102622E-2</v>
      </c>
    </row>
    <row r="231" spans="1:16" x14ac:dyDescent="0.3">
      <c r="A231" t="s">
        <v>333</v>
      </c>
      <c r="B231" s="2">
        <v>45819</v>
      </c>
      <c r="C231" t="s">
        <v>143</v>
      </c>
      <c r="D231" t="s">
        <v>33</v>
      </c>
      <c r="E231" t="s">
        <v>45</v>
      </c>
      <c r="F231" t="s">
        <v>28</v>
      </c>
      <c r="G231" t="s">
        <v>74</v>
      </c>
      <c r="H231" t="s">
        <v>75</v>
      </c>
      <c r="I231">
        <v>7</v>
      </c>
      <c r="J231" s="3">
        <v>0.05</v>
      </c>
      <c r="K231" s="4">
        <v>34277.32</v>
      </c>
      <c r="L231" s="4">
        <v>7194.43</v>
      </c>
      <c r="M231">
        <f t="shared" si="12"/>
        <v>2025</v>
      </c>
      <c r="N231" t="str">
        <f t="shared" si="13"/>
        <v>Jun</v>
      </c>
      <c r="O231" t="str">
        <f t="shared" si="14"/>
        <v>High</v>
      </c>
      <c r="P231" s="7">
        <f t="shared" si="15"/>
        <v>0.2098889294728993</v>
      </c>
    </row>
    <row r="232" spans="1:16" x14ac:dyDescent="0.3">
      <c r="A232" t="s">
        <v>334</v>
      </c>
      <c r="B232" s="2">
        <v>45819</v>
      </c>
      <c r="C232" t="s">
        <v>109</v>
      </c>
      <c r="D232" t="s">
        <v>21</v>
      </c>
      <c r="E232" t="s">
        <v>67</v>
      </c>
      <c r="F232" t="s">
        <v>23</v>
      </c>
      <c r="G232" t="s">
        <v>48</v>
      </c>
      <c r="H232" t="s">
        <v>118</v>
      </c>
      <c r="I232">
        <v>1</v>
      </c>
      <c r="J232" s="3">
        <v>0</v>
      </c>
      <c r="K232" s="4">
        <v>25708.29</v>
      </c>
      <c r="L232" s="4">
        <v>2069.4299999999998</v>
      </c>
      <c r="M232">
        <f t="shared" si="12"/>
        <v>2025</v>
      </c>
      <c r="N232" t="str">
        <f t="shared" si="13"/>
        <v>Jun</v>
      </c>
      <c r="O232" t="str">
        <f t="shared" si="14"/>
        <v>High</v>
      </c>
      <c r="P232" s="7">
        <f t="shared" si="15"/>
        <v>8.0496602457806404E-2</v>
      </c>
    </row>
    <row r="233" spans="1:16" x14ac:dyDescent="0.3">
      <c r="A233" t="s">
        <v>335</v>
      </c>
      <c r="B233" s="2">
        <v>45820</v>
      </c>
      <c r="C233" t="s">
        <v>111</v>
      </c>
      <c r="D233" t="s">
        <v>33</v>
      </c>
      <c r="E233" t="s">
        <v>45</v>
      </c>
      <c r="F233" t="s">
        <v>28</v>
      </c>
      <c r="G233" t="s">
        <v>71</v>
      </c>
      <c r="H233" t="s">
        <v>72</v>
      </c>
      <c r="I233">
        <v>5</v>
      </c>
      <c r="J233" s="3">
        <v>0</v>
      </c>
      <c r="K233" s="4">
        <v>23376.85</v>
      </c>
      <c r="L233" s="4">
        <v>3542.28</v>
      </c>
      <c r="M233">
        <f t="shared" si="12"/>
        <v>2025</v>
      </c>
      <c r="N233" t="str">
        <f t="shared" si="13"/>
        <v>Jun</v>
      </c>
      <c r="O233" t="str">
        <f t="shared" si="14"/>
        <v>High</v>
      </c>
      <c r="P233" s="7">
        <f t="shared" si="15"/>
        <v>0.15152939767333923</v>
      </c>
    </row>
    <row r="234" spans="1:16" x14ac:dyDescent="0.3">
      <c r="A234" t="s">
        <v>336</v>
      </c>
      <c r="B234" s="2">
        <v>45821</v>
      </c>
      <c r="C234" t="s">
        <v>32</v>
      </c>
      <c r="D234" t="s">
        <v>33</v>
      </c>
      <c r="E234" t="s">
        <v>86</v>
      </c>
      <c r="F234" t="s">
        <v>16</v>
      </c>
      <c r="G234" t="s">
        <v>17</v>
      </c>
      <c r="H234" t="s">
        <v>88</v>
      </c>
      <c r="I234">
        <v>1</v>
      </c>
      <c r="J234" s="3">
        <v>0.1</v>
      </c>
      <c r="K234" s="4">
        <v>4218.7700000000004</v>
      </c>
      <c r="L234" s="4">
        <v>436.24</v>
      </c>
      <c r="M234">
        <f t="shared" si="12"/>
        <v>2025</v>
      </c>
      <c r="N234" t="str">
        <f t="shared" si="13"/>
        <v>Jun</v>
      </c>
      <c r="O234" t="str">
        <f t="shared" si="14"/>
        <v>High</v>
      </c>
      <c r="P234" s="7">
        <f t="shared" si="15"/>
        <v>0.10340454682288913</v>
      </c>
    </row>
    <row r="235" spans="1:16" x14ac:dyDescent="0.3">
      <c r="A235" t="s">
        <v>337</v>
      </c>
      <c r="B235" s="2">
        <v>45822</v>
      </c>
      <c r="C235" t="s">
        <v>138</v>
      </c>
      <c r="D235" t="s">
        <v>14</v>
      </c>
      <c r="E235" t="s">
        <v>15</v>
      </c>
      <c r="F235" t="s">
        <v>23</v>
      </c>
      <c r="G235" t="s">
        <v>48</v>
      </c>
      <c r="H235" t="s">
        <v>124</v>
      </c>
      <c r="I235">
        <v>5</v>
      </c>
      <c r="J235" s="3">
        <v>0.2</v>
      </c>
      <c r="K235" s="4">
        <v>40404.1</v>
      </c>
      <c r="L235" s="4">
        <v>3670.42</v>
      </c>
      <c r="M235">
        <f t="shared" si="12"/>
        <v>2025</v>
      </c>
      <c r="N235" t="str">
        <f t="shared" si="13"/>
        <v>Jun</v>
      </c>
      <c r="O235" t="str">
        <f t="shared" si="14"/>
        <v>High</v>
      </c>
      <c r="P235" s="7">
        <f t="shared" si="15"/>
        <v>9.0842761006927522E-2</v>
      </c>
    </row>
    <row r="236" spans="1:16" x14ac:dyDescent="0.3">
      <c r="A236" t="s">
        <v>338</v>
      </c>
      <c r="B236" s="2">
        <v>45822</v>
      </c>
      <c r="C236" t="s">
        <v>13</v>
      </c>
      <c r="D236" t="s">
        <v>21</v>
      </c>
      <c r="E236" t="s">
        <v>67</v>
      </c>
      <c r="F236" t="s">
        <v>23</v>
      </c>
      <c r="G236" t="s">
        <v>48</v>
      </c>
      <c r="H236" t="s">
        <v>49</v>
      </c>
      <c r="I236">
        <v>6</v>
      </c>
      <c r="J236" s="3">
        <v>0.2</v>
      </c>
      <c r="K236" s="4">
        <v>249739.8</v>
      </c>
      <c r="L236" s="4">
        <v>2964.23</v>
      </c>
      <c r="M236">
        <f t="shared" si="12"/>
        <v>2025</v>
      </c>
      <c r="N236" t="str">
        <f t="shared" si="13"/>
        <v>Jun</v>
      </c>
      <c r="O236" t="str">
        <f t="shared" si="14"/>
        <v>High</v>
      </c>
      <c r="P236" s="7">
        <f t="shared" si="15"/>
        <v>1.1869273539900329E-2</v>
      </c>
    </row>
    <row r="237" spans="1:16" x14ac:dyDescent="0.3">
      <c r="A237" t="s">
        <v>339</v>
      </c>
      <c r="B237" s="2">
        <v>45823</v>
      </c>
      <c r="C237" t="s">
        <v>38</v>
      </c>
      <c r="D237" t="s">
        <v>33</v>
      </c>
      <c r="E237" t="s">
        <v>45</v>
      </c>
      <c r="F237" t="s">
        <v>16</v>
      </c>
      <c r="G237" t="s">
        <v>62</v>
      </c>
      <c r="H237" t="s">
        <v>180</v>
      </c>
      <c r="I237">
        <v>2</v>
      </c>
      <c r="J237" s="3">
        <v>0.1</v>
      </c>
      <c r="K237" s="4">
        <v>14883.66</v>
      </c>
      <c r="L237" s="4">
        <v>861.01</v>
      </c>
      <c r="M237">
        <f t="shared" si="12"/>
        <v>2025</v>
      </c>
      <c r="N237" t="str">
        <f t="shared" si="13"/>
        <v>Jun</v>
      </c>
      <c r="O237" t="str">
        <f t="shared" si="14"/>
        <v>High</v>
      </c>
      <c r="P237" s="7">
        <f t="shared" si="15"/>
        <v>5.7849346195760987E-2</v>
      </c>
    </row>
    <row r="238" spans="1:16" x14ac:dyDescent="0.3">
      <c r="A238" t="s">
        <v>340</v>
      </c>
      <c r="B238" s="2">
        <v>45825</v>
      </c>
      <c r="C238" t="s">
        <v>95</v>
      </c>
      <c r="D238" t="s">
        <v>33</v>
      </c>
      <c r="E238" t="s">
        <v>45</v>
      </c>
      <c r="F238" t="s">
        <v>23</v>
      </c>
      <c r="G238" t="s">
        <v>48</v>
      </c>
      <c r="H238" t="s">
        <v>49</v>
      </c>
      <c r="I238">
        <v>4</v>
      </c>
      <c r="J238" s="3">
        <v>0.2</v>
      </c>
      <c r="K238" s="4">
        <v>53313.279999999999</v>
      </c>
      <c r="L238" s="4">
        <v>557.70000000000005</v>
      </c>
      <c r="M238">
        <f t="shared" si="12"/>
        <v>2025</v>
      </c>
      <c r="N238" t="str">
        <f t="shared" si="13"/>
        <v>Jun</v>
      </c>
      <c r="O238" t="str">
        <f t="shared" si="14"/>
        <v>High</v>
      </c>
      <c r="P238" s="7">
        <f t="shared" si="15"/>
        <v>1.046080826390723E-2</v>
      </c>
    </row>
    <row r="239" spans="1:16" x14ac:dyDescent="0.3">
      <c r="A239" t="s">
        <v>341</v>
      </c>
      <c r="B239" s="2">
        <v>45825</v>
      </c>
      <c r="C239" t="s">
        <v>95</v>
      </c>
      <c r="D239" t="s">
        <v>33</v>
      </c>
      <c r="E239" t="s">
        <v>45</v>
      </c>
      <c r="F239" t="s">
        <v>28</v>
      </c>
      <c r="G239" t="s">
        <v>29</v>
      </c>
      <c r="H239" t="s">
        <v>30</v>
      </c>
      <c r="I239">
        <v>4</v>
      </c>
      <c r="J239" s="3">
        <v>0.2</v>
      </c>
      <c r="K239" s="4">
        <v>12808.72</v>
      </c>
      <c r="L239" s="4">
        <v>509.96</v>
      </c>
      <c r="M239">
        <f t="shared" si="12"/>
        <v>2025</v>
      </c>
      <c r="N239" t="str">
        <f t="shared" si="13"/>
        <v>Jun</v>
      </c>
      <c r="O239" t="str">
        <f t="shared" si="14"/>
        <v>High</v>
      </c>
      <c r="P239" s="7">
        <f t="shared" si="15"/>
        <v>3.9813502051727262E-2</v>
      </c>
    </row>
    <row r="240" spans="1:16" x14ac:dyDescent="0.3">
      <c r="A240" t="s">
        <v>342</v>
      </c>
      <c r="B240" s="2">
        <v>45827</v>
      </c>
      <c r="C240" t="s">
        <v>38</v>
      </c>
      <c r="D240" t="s">
        <v>39</v>
      </c>
      <c r="E240" t="s">
        <v>40</v>
      </c>
      <c r="F240" t="s">
        <v>28</v>
      </c>
      <c r="G240" t="s">
        <v>29</v>
      </c>
      <c r="H240" t="s">
        <v>98</v>
      </c>
      <c r="I240">
        <v>5</v>
      </c>
      <c r="J240" s="3">
        <v>0.2</v>
      </c>
      <c r="K240" s="4">
        <v>13943.55</v>
      </c>
      <c r="L240" s="4">
        <v>1231.67</v>
      </c>
      <c r="M240">
        <f t="shared" si="12"/>
        <v>2025</v>
      </c>
      <c r="N240" t="str">
        <f t="shared" si="13"/>
        <v>Jun</v>
      </c>
      <c r="O240" t="str">
        <f t="shared" si="14"/>
        <v>High</v>
      </c>
      <c r="P240" s="7">
        <f t="shared" si="15"/>
        <v>8.8332598226420117E-2</v>
      </c>
    </row>
    <row r="241" spans="1:16" x14ac:dyDescent="0.3">
      <c r="A241" t="s">
        <v>343</v>
      </c>
      <c r="B241" s="2">
        <v>45827</v>
      </c>
      <c r="C241" t="s">
        <v>95</v>
      </c>
      <c r="D241" t="s">
        <v>21</v>
      </c>
      <c r="E241" t="s">
        <v>67</v>
      </c>
      <c r="F241" t="s">
        <v>16</v>
      </c>
      <c r="G241" t="s">
        <v>41</v>
      </c>
      <c r="H241" t="s">
        <v>177</v>
      </c>
      <c r="I241">
        <v>6</v>
      </c>
      <c r="J241" s="3">
        <v>0.2</v>
      </c>
      <c r="K241" s="4">
        <v>3016.38</v>
      </c>
      <c r="L241" s="4">
        <v>301.39</v>
      </c>
      <c r="M241">
        <f t="shared" si="12"/>
        <v>2025</v>
      </c>
      <c r="N241" t="str">
        <f t="shared" si="13"/>
        <v>Jun</v>
      </c>
      <c r="O241" t="str">
        <f t="shared" si="14"/>
        <v>High</v>
      </c>
      <c r="P241" s="7">
        <f t="shared" si="15"/>
        <v>9.991778224229042E-2</v>
      </c>
    </row>
    <row r="242" spans="1:16" x14ac:dyDescent="0.3">
      <c r="A242" t="s">
        <v>344</v>
      </c>
      <c r="B242" s="2">
        <v>45830</v>
      </c>
      <c r="C242" t="s">
        <v>61</v>
      </c>
      <c r="D242" t="s">
        <v>39</v>
      </c>
      <c r="E242" t="s">
        <v>47</v>
      </c>
      <c r="F242" t="s">
        <v>23</v>
      </c>
      <c r="G242" t="s">
        <v>35</v>
      </c>
      <c r="H242" t="s">
        <v>155</v>
      </c>
      <c r="I242">
        <v>4</v>
      </c>
      <c r="J242" s="3">
        <v>0.1</v>
      </c>
      <c r="K242" s="4">
        <v>60052.56</v>
      </c>
      <c r="L242" s="4">
        <v>12450.34</v>
      </c>
      <c r="M242">
        <f t="shared" si="12"/>
        <v>2025</v>
      </c>
      <c r="N242" t="str">
        <f t="shared" si="13"/>
        <v>Jun</v>
      </c>
      <c r="O242" t="str">
        <f t="shared" si="14"/>
        <v>High</v>
      </c>
      <c r="P242" s="7">
        <f t="shared" si="15"/>
        <v>0.20732405079816749</v>
      </c>
    </row>
    <row r="243" spans="1:16" x14ac:dyDescent="0.3">
      <c r="A243" t="s">
        <v>345</v>
      </c>
      <c r="B243" s="2">
        <v>45830</v>
      </c>
      <c r="C243" t="s">
        <v>44</v>
      </c>
      <c r="D243" t="s">
        <v>39</v>
      </c>
      <c r="E243" t="s">
        <v>40</v>
      </c>
      <c r="F243" t="s">
        <v>16</v>
      </c>
      <c r="G243" t="s">
        <v>17</v>
      </c>
      <c r="H243" t="s">
        <v>153</v>
      </c>
      <c r="I243">
        <v>5</v>
      </c>
      <c r="J243" s="3">
        <v>0.1</v>
      </c>
      <c r="K243" s="4">
        <v>34934.25</v>
      </c>
      <c r="L243" s="4">
        <v>4040.24</v>
      </c>
      <c r="M243">
        <f t="shared" si="12"/>
        <v>2025</v>
      </c>
      <c r="N243" t="str">
        <f t="shared" si="13"/>
        <v>Jun</v>
      </c>
      <c r="O243" t="str">
        <f t="shared" si="14"/>
        <v>High</v>
      </c>
      <c r="P243" s="7">
        <f t="shared" si="15"/>
        <v>0.1156526904112726</v>
      </c>
    </row>
    <row r="244" spans="1:16" x14ac:dyDescent="0.3">
      <c r="A244" t="s">
        <v>346</v>
      </c>
      <c r="B244" s="2">
        <v>45831</v>
      </c>
      <c r="C244" t="s">
        <v>32</v>
      </c>
      <c r="D244" t="s">
        <v>39</v>
      </c>
      <c r="E244" t="s">
        <v>40</v>
      </c>
      <c r="F244" t="s">
        <v>23</v>
      </c>
      <c r="G244" t="s">
        <v>58</v>
      </c>
      <c r="H244" t="s">
        <v>90</v>
      </c>
      <c r="I244">
        <v>2</v>
      </c>
      <c r="J244" s="3">
        <v>0.1</v>
      </c>
      <c r="K244" s="4">
        <v>52139.32</v>
      </c>
      <c r="L244" s="4">
        <v>6968.23</v>
      </c>
      <c r="M244">
        <f t="shared" si="12"/>
        <v>2025</v>
      </c>
      <c r="N244" t="str">
        <f t="shared" si="13"/>
        <v>Jun</v>
      </c>
      <c r="O244" t="str">
        <f t="shared" si="14"/>
        <v>High</v>
      </c>
      <c r="P244" s="7">
        <f t="shared" si="15"/>
        <v>0.13364635365401772</v>
      </c>
    </row>
    <row r="245" spans="1:16" x14ac:dyDescent="0.3">
      <c r="A245" t="s">
        <v>347</v>
      </c>
      <c r="B245" s="2">
        <v>45832</v>
      </c>
      <c r="C245" t="s">
        <v>51</v>
      </c>
      <c r="D245" t="s">
        <v>14</v>
      </c>
      <c r="E245" t="s">
        <v>114</v>
      </c>
      <c r="F245" t="s">
        <v>28</v>
      </c>
      <c r="G245" t="s">
        <v>29</v>
      </c>
      <c r="H245" t="s">
        <v>98</v>
      </c>
      <c r="I245">
        <v>4</v>
      </c>
      <c r="J245" s="3">
        <v>0.15</v>
      </c>
      <c r="K245" s="4">
        <v>13092.44</v>
      </c>
      <c r="L245" s="4">
        <v>2047.72</v>
      </c>
      <c r="M245">
        <f t="shared" si="12"/>
        <v>2025</v>
      </c>
      <c r="N245" t="str">
        <f t="shared" si="13"/>
        <v>Jun</v>
      </c>
      <c r="O245" t="str">
        <f t="shared" si="14"/>
        <v>High</v>
      </c>
      <c r="P245" s="7">
        <f t="shared" si="15"/>
        <v>0.15640476488721736</v>
      </c>
    </row>
    <row r="246" spans="1:16" x14ac:dyDescent="0.3">
      <c r="A246" t="s">
        <v>348</v>
      </c>
      <c r="B246" s="2">
        <v>45833</v>
      </c>
      <c r="C246" t="s">
        <v>38</v>
      </c>
      <c r="D246" t="s">
        <v>39</v>
      </c>
      <c r="E246" t="s">
        <v>128</v>
      </c>
      <c r="F246" t="s">
        <v>28</v>
      </c>
      <c r="G246" t="s">
        <v>92</v>
      </c>
      <c r="H246" t="s">
        <v>204</v>
      </c>
      <c r="I246">
        <v>1</v>
      </c>
      <c r="J246" s="3">
        <v>0.1</v>
      </c>
      <c r="K246" s="4">
        <v>4223.09</v>
      </c>
      <c r="L246" s="4">
        <v>795.78</v>
      </c>
      <c r="M246">
        <f t="shared" si="12"/>
        <v>2025</v>
      </c>
      <c r="N246" t="str">
        <f t="shared" si="13"/>
        <v>Jun</v>
      </c>
      <c r="O246" t="str">
        <f t="shared" si="14"/>
        <v>High</v>
      </c>
      <c r="P246" s="7">
        <f t="shared" si="15"/>
        <v>0.1884354820759207</v>
      </c>
    </row>
    <row r="247" spans="1:16" x14ac:dyDescent="0.3">
      <c r="A247" t="s">
        <v>349</v>
      </c>
      <c r="B247" s="2">
        <v>45833</v>
      </c>
      <c r="C247" t="s">
        <v>100</v>
      </c>
      <c r="D247" t="s">
        <v>39</v>
      </c>
      <c r="E247" t="s">
        <v>52</v>
      </c>
      <c r="F247" t="s">
        <v>23</v>
      </c>
      <c r="G247" t="s">
        <v>35</v>
      </c>
      <c r="H247" t="s">
        <v>36</v>
      </c>
      <c r="I247">
        <v>5</v>
      </c>
      <c r="J247" s="3">
        <v>0.1</v>
      </c>
      <c r="K247" s="4">
        <v>112319.55</v>
      </c>
      <c r="L247" s="4">
        <v>21903.52</v>
      </c>
      <c r="M247">
        <f t="shared" si="12"/>
        <v>2025</v>
      </c>
      <c r="N247" t="str">
        <f t="shared" si="13"/>
        <v>Jun</v>
      </c>
      <c r="O247" t="str">
        <f t="shared" si="14"/>
        <v>High</v>
      </c>
      <c r="P247" s="7">
        <f t="shared" si="15"/>
        <v>0.19501075280305166</v>
      </c>
    </row>
    <row r="248" spans="1:16" x14ac:dyDescent="0.3">
      <c r="A248" t="s">
        <v>350</v>
      </c>
      <c r="B248" s="2">
        <v>45833</v>
      </c>
      <c r="C248" t="s">
        <v>44</v>
      </c>
      <c r="D248" t="s">
        <v>33</v>
      </c>
      <c r="E248" t="s">
        <v>140</v>
      </c>
      <c r="F248" t="s">
        <v>23</v>
      </c>
      <c r="G248" t="s">
        <v>24</v>
      </c>
      <c r="H248" t="s">
        <v>25</v>
      </c>
      <c r="I248">
        <v>4</v>
      </c>
      <c r="J248" s="3">
        <v>0.15</v>
      </c>
      <c r="K248" s="4">
        <v>113346.68</v>
      </c>
      <c r="L248" s="4">
        <v>6341.88</v>
      </c>
      <c r="M248">
        <f t="shared" si="12"/>
        <v>2025</v>
      </c>
      <c r="N248" t="str">
        <f t="shared" si="13"/>
        <v>Jun</v>
      </c>
      <c r="O248" t="str">
        <f t="shared" si="14"/>
        <v>High</v>
      </c>
      <c r="P248" s="7">
        <f t="shared" si="15"/>
        <v>5.595117563214027E-2</v>
      </c>
    </row>
    <row r="249" spans="1:16" x14ac:dyDescent="0.3">
      <c r="A249" t="s">
        <v>351</v>
      </c>
      <c r="B249" s="2">
        <v>45833</v>
      </c>
      <c r="C249" t="s">
        <v>109</v>
      </c>
      <c r="D249" t="s">
        <v>21</v>
      </c>
      <c r="E249" t="s">
        <v>67</v>
      </c>
      <c r="F249" t="s">
        <v>28</v>
      </c>
      <c r="G249" t="s">
        <v>74</v>
      </c>
      <c r="H249" t="s">
        <v>159</v>
      </c>
      <c r="I249">
        <v>1</v>
      </c>
      <c r="J249" s="3">
        <v>0.05</v>
      </c>
      <c r="K249" s="4">
        <v>2256.2800000000002</v>
      </c>
      <c r="L249" s="4">
        <v>211.84</v>
      </c>
      <c r="M249">
        <f t="shared" si="12"/>
        <v>2025</v>
      </c>
      <c r="N249" t="str">
        <f t="shared" si="13"/>
        <v>Jun</v>
      </c>
      <c r="O249" t="str">
        <f t="shared" si="14"/>
        <v>High</v>
      </c>
      <c r="P249" s="7">
        <f t="shared" si="15"/>
        <v>9.3889056322796816E-2</v>
      </c>
    </row>
    <row r="250" spans="1:16" x14ac:dyDescent="0.3">
      <c r="A250" t="s">
        <v>352</v>
      </c>
      <c r="B250" s="2">
        <v>45834</v>
      </c>
      <c r="C250" t="s">
        <v>85</v>
      </c>
      <c r="D250" t="s">
        <v>21</v>
      </c>
      <c r="E250" t="s">
        <v>105</v>
      </c>
      <c r="F250" t="s">
        <v>23</v>
      </c>
      <c r="G250" t="s">
        <v>35</v>
      </c>
      <c r="H250" t="s">
        <v>36</v>
      </c>
      <c r="I250">
        <v>5</v>
      </c>
      <c r="J250" s="3">
        <v>0</v>
      </c>
      <c r="K250" s="4">
        <v>5354.45</v>
      </c>
      <c r="L250" s="4">
        <v>627.76</v>
      </c>
      <c r="M250">
        <f t="shared" si="12"/>
        <v>2025</v>
      </c>
      <c r="N250" t="str">
        <f t="shared" si="13"/>
        <v>Jun</v>
      </c>
      <c r="O250" t="str">
        <f t="shared" si="14"/>
        <v>High</v>
      </c>
      <c r="P250" s="7">
        <f t="shared" si="15"/>
        <v>0.11724079970865355</v>
      </c>
    </row>
    <row r="251" spans="1:16" x14ac:dyDescent="0.3">
      <c r="A251" t="s">
        <v>353</v>
      </c>
      <c r="B251" s="2">
        <v>45834</v>
      </c>
      <c r="C251" t="s">
        <v>85</v>
      </c>
      <c r="D251" t="s">
        <v>21</v>
      </c>
      <c r="E251" t="s">
        <v>105</v>
      </c>
      <c r="F251" t="s">
        <v>23</v>
      </c>
      <c r="G251" t="s">
        <v>58</v>
      </c>
      <c r="H251" t="s">
        <v>101</v>
      </c>
      <c r="I251">
        <v>1</v>
      </c>
      <c r="J251" s="3">
        <v>0.1</v>
      </c>
      <c r="K251" s="4">
        <v>23859.7</v>
      </c>
      <c r="L251" s="4">
        <v>1616.61</v>
      </c>
      <c r="M251">
        <f t="shared" si="12"/>
        <v>2025</v>
      </c>
      <c r="N251" t="str">
        <f t="shared" si="13"/>
        <v>Jun</v>
      </c>
      <c r="O251" t="str">
        <f t="shared" si="14"/>
        <v>High</v>
      </c>
      <c r="P251" s="7">
        <f t="shared" si="15"/>
        <v>6.7754833463958053E-2</v>
      </c>
    </row>
    <row r="252" spans="1:16" x14ac:dyDescent="0.3">
      <c r="A252" t="s">
        <v>354</v>
      </c>
      <c r="B252" s="2">
        <v>45835</v>
      </c>
      <c r="C252" t="s">
        <v>229</v>
      </c>
      <c r="D252" t="s">
        <v>14</v>
      </c>
      <c r="E252" t="s">
        <v>15</v>
      </c>
      <c r="F252" t="s">
        <v>23</v>
      </c>
      <c r="G252" t="s">
        <v>58</v>
      </c>
      <c r="H252" t="s">
        <v>59</v>
      </c>
      <c r="I252">
        <v>6</v>
      </c>
      <c r="J252" s="3">
        <v>0.1</v>
      </c>
      <c r="K252" s="4">
        <v>298918.32</v>
      </c>
      <c r="L252" s="4">
        <v>54908.79</v>
      </c>
      <c r="M252">
        <f t="shared" si="12"/>
        <v>2025</v>
      </c>
      <c r="N252" t="str">
        <f t="shared" si="13"/>
        <v>Jun</v>
      </c>
      <c r="O252" t="str">
        <f t="shared" si="14"/>
        <v>High</v>
      </c>
      <c r="P252" s="7">
        <f t="shared" si="15"/>
        <v>0.18369161849966237</v>
      </c>
    </row>
    <row r="253" spans="1:16" x14ac:dyDescent="0.3">
      <c r="A253" t="s">
        <v>355</v>
      </c>
      <c r="B253" s="2">
        <v>45836</v>
      </c>
      <c r="C253" t="s">
        <v>100</v>
      </c>
      <c r="D253" t="s">
        <v>14</v>
      </c>
      <c r="E253" t="s">
        <v>15</v>
      </c>
      <c r="F253" t="s">
        <v>23</v>
      </c>
      <c r="G253" t="s">
        <v>24</v>
      </c>
      <c r="H253" t="s">
        <v>129</v>
      </c>
      <c r="I253">
        <v>5</v>
      </c>
      <c r="J253" s="3">
        <v>0</v>
      </c>
      <c r="K253" s="4">
        <v>157981.15</v>
      </c>
      <c r="L253" s="4">
        <v>38452.99</v>
      </c>
      <c r="M253">
        <f t="shared" si="12"/>
        <v>2025</v>
      </c>
      <c r="N253" t="str">
        <f t="shared" si="13"/>
        <v>Jun</v>
      </c>
      <c r="O253" t="str">
        <f t="shared" si="14"/>
        <v>High</v>
      </c>
      <c r="P253" s="7">
        <f t="shared" si="15"/>
        <v>0.24340239326020857</v>
      </c>
    </row>
    <row r="254" spans="1:16" x14ac:dyDescent="0.3">
      <c r="A254" t="s">
        <v>356</v>
      </c>
      <c r="B254" s="2">
        <v>45837</v>
      </c>
      <c r="C254" t="s">
        <v>143</v>
      </c>
      <c r="D254" t="s">
        <v>14</v>
      </c>
      <c r="E254" t="s">
        <v>15</v>
      </c>
      <c r="F254" t="s">
        <v>28</v>
      </c>
      <c r="G254" t="s">
        <v>92</v>
      </c>
      <c r="H254" t="s">
        <v>204</v>
      </c>
      <c r="I254">
        <v>1</v>
      </c>
      <c r="J254" s="3">
        <v>0</v>
      </c>
      <c r="K254" s="4">
        <v>2247.08</v>
      </c>
      <c r="L254" s="4">
        <v>483.84</v>
      </c>
      <c r="M254">
        <f t="shared" si="12"/>
        <v>2025</v>
      </c>
      <c r="N254" t="str">
        <f t="shared" si="13"/>
        <v>Jun</v>
      </c>
      <c r="O254" t="str">
        <f t="shared" si="14"/>
        <v>High</v>
      </c>
      <c r="P254" s="7">
        <f t="shared" si="15"/>
        <v>0.21531943678017693</v>
      </c>
    </row>
    <row r="255" spans="1:16" x14ac:dyDescent="0.3">
      <c r="A255" t="s">
        <v>357</v>
      </c>
      <c r="B255" s="2">
        <v>45838</v>
      </c>
      <c r="C255" t="s">
        <v>82</v>
      </c>
      <c r="D255" t="s">
        <v>39</v>
      </c>
      <c r="E255" t="s">
        <v>40</v>
      </c>
      <c r="F255" t="s">
        <v>23</v>
      </c>
      <c r="G255" t="s">
        <v>58</v>
      </c>
      <c r="H255" t="s">
        <v>59</v>
      </c>
      <c r="I255">
        <v>2</v>
      </c>
      <c r="J255" s="3">
        <v>0.2</v>
      </c>
      <c r="K255" s="4">
        <v>46709.66</v>
      </c>
      <c r="L255" s="4">
        <v>3222.99</v>
      </c>
      <c r="M255">
        <f t="shared" si="12"/>
        <v>2025</v>
      </c>
      <c r="N255" t="str">
        <f t="shared" si="13"/>
        <v>Jun</v>
      </c>
      <c r="O255" t="str">
        <f t="shared" si="14"/>
        <v>High</v>
      </c>
      <c r="P255" s="7">
        <f t="shared" si="15"/>
        <v>6.9000502251568507E-2</v>
      </c>
    </row>
    <row r="256" spans="1:16" x14ac:dyDescent="0.3">
      <c r="A256" t="s">
        <v>358</v>
      </c>
      <c r="B256" s="2">
        <v>45838</v>
      </c>
      <c r="C256" t="s">
        <v>109</v>
      </c>
      <c r="D256" t="s">
        <v>33</v>
      </c>
      <c r="E256" t="s">
        <v>45</v>
      </c>
      <c r="F256" t="s">
        <v>28</v>
      </c>
      <c r="G256" t="s">
        <v>74</v>
      </c>
      <c r="H256" t="s">
        <v>159</v>
      </c>
      <c r="I256">
        <v>7</v>
      </c>
      <c r="J256" s="3">
        <v>0.1</v>
      </c>
      <c r="K256" s="4">
        <v>4995.0600000000004</v>
      </c>
      <c r="L256" s="4">
        <v>250.27</v>
      </c>
      <c r="M256">
        <f t="shared" si="12"/>
        <v>2025</v>
      </c>
      <c r="N256" t="str">
        <f t="shared" si="13"/>
        <v>Jun</v>
      </c>
      <c r="O256" t="str">
        <f t="shared" si="14"/>
        <v>High</v>
      </c>
      <c r="P256" s="7">
        <f t="shared" si="15"/>
        <v>5.0103502260233107E-2</v>
      </c>
    </row>
    <row r="257" spans="1:16" x14ac:dyDescent="0.3">
      <c r="A257" t="s">
        <v>359</v>
      </c>
      <c r="B257" s="2">
        <v>45838</v>
      </c>
      <c r="C257" t="s">
        <v>61</v>
      </c>
      <c r="D257" t="s">
        <v>33</v>
      </c>
      <c r="E257" t="s">
        <v>45</v>
      </c>
      <c r="F257" t="s">
        <v>28</v>
      </c>
      <c r="G257" t="s">
        <v>71</v>
      </c>
      <c r="H257" t="s">
        <v>72</v>
      </c>
      <c r="I257">
        <v>2</v>
      </c>
      <c r="J257" s="3">
        <v>0.05</v>
      </c>
      <c r="K257" s="4">
        <v>764.08</v>
      </c>
      <c r="L257" s="4">
        <v>105.11</v>
      </c>
      <c r="M257">
        <f t="shared" si="12"/>
        <v>2025</v>
      </c>
      <c r="N257" t="str">
        <f t="shared" si="13"/>
        <v>Jun</v>
      </c>
      <c r="O257" t="str">
        <f t="shared" si="14"/>
        <v>Medium</v>
      </c>
      <c r="P257" s="7">
        <f t="shared" si="15"/>
        <v>0.13756412941053292</v>
      </c>
    </row>
    <row r="258" spans="1:16" x14ac:dyDescent="0.3">
      <c r="A258" t="s">
        <v>360</v>
      </c>
      <c r="B258" s="2">
        <v>45839</v>
      </c>
      <c r="C258" t="s">
        <v>135</v>
      </c>
      <c r="D258" t="s">
        <v>39</v>
      </c>
      <c r="E258" t="s">
        <v>128</v>
      </c>
      <c r="F258" t="s">
        <v>23</v>
      </c>
      <c r="G258" t="s">
        <v>58</v>
      </c>
      <c r="H258" t="s">
        <v>101</v>
      </c>
      <c r="I258">
        <v>3</v>
      </c>
      <c r="J258" s="3">
        <v>0.15</v>
      </c>
      <c r="K258" s="4">
        <v>106699.23</v>
      </c>
      <c r="L258" s="4">
        <v>11354.99</v>
      </c>
      <c r="M258">
        <f t="shared" si="12"/>
        <v>2025</v>
      </c>
      <c r="N258" t="str">
        <f t="shared" si="13"/>
        <v>Jul</v>
      </c>
      <c r="O258" t="str">
        <f t="shared" si="14"/>
        <v>High</v>
      </c>
      <c r="P258" s="7">
        <f t="shared" si="15"/>
        <v>0.10642054305359093</v>
      </c>
    </row>
    <row r="259" spans="1:16" x14ac:dyDescent="0.3">
      <c r="A259" t="s">
        <v>361</v>
      </c>
      <c r="B259" s="2">
        <v>45840</v>
      </c>
      <c r="C259" t="s">
        <v>77</v>
      </c>
      <c r="D259" t="s">
        <v>14</v>
      </c>
      <c r="E259" t="s">
        <v>114</v>
      </c>
      <c r="F259" t="s">
        <v>23</v>
      </c>
      <c r="G259" t="s">
        <v>35</v>
      </c>
      <c r="H259" t="s">
        <v>36</v>
      </c>
      <c r="I259">
        <v>7</v>
      </c>
      <c r="J259" s="3">
        <v>0.15</v>
      </c>
      <c r="K259" s="4">
        <v>86829.33</v>
      </c>
      <c r="L259" s="4">
        <v>3310.99</v>
      </c>
      <c r="M259">
        <f t="shared" ref="M259:M322" si="16">YEAR(B259)</f>
        <v>2025</v>
      </c>
      <c r="N259" t="str">
        <f t="shared" ref="N259:N322" si="17">TEXT(B259,"mmm")</f>
        <v>Jul</v>
      </c>
      <c r="O259" t="str">
        <f t="shared" ref="O259:O322" si="18">IF(K259&gt;=1000,"High",IF(K259&gt;=500,"Medium","Low"))</f>
        <v>High</v>
      </c>
      <c r="P259" s="7">
        <f t="shared" ref="P259:P322" si="19">IFERROR(L259/K259,0)</f>
        <v>3.8132161102705731E-2</v>
      </c>
    </row>
    <row r="260" spans="1:16" x14ac:dyDescent="0.3">
      <c r="A260" t="s">
        <v>362</v>
      </c>
      <c r="B260" s="2">
        <v>45841</v>
      </c>
      <c r="C260" t="s">
        <v>44</v>
      </c>
      <c r="D260" t="s">
        <v>21</v>
      </c>
      <c r="E260" t="s">
        <v>105</v>
      </c>
      <c r="F260" t="s">
        <v>23</v>
      </c>
      <c r="G260" t="s">
        <v>24</v>
      </c>
      <c r="H260" t="s">
        <v>129</v>
      </c>
      <c r="I260">
        <v>1</v>
      </c>
      <c r="J260" s="3">
        <v>0.15</v>
      </c>
      <c r="K260" s="4">
        <v>43952.86</v>
      </c>
      <c r="L260" s="4">
        <v>8453.6</v>
      </c>
      <c r="M260">
        <f t="shared" si="16"/>
        <v>2025</v>
      </c>
      <c r="N260" t="str">
        <f t="shared" si="17"/>
        <v>Jul</v>
      </c>
      <c r="O260" t="str">
        <f t="shared" si="18"/>
        <v>High</v>
      </c>
      <c r="P260" s="7">
        <f t="shared" si="19"/>
        <v>0.19233333166487915</v>
      </c>
    </row>
    <row r="261" spans="1:16" x14ac:dyDescent="0.3">
      <c r="A261" t="s">
        <v>363</v>
      </c>
      <c r="B261" s="2">
        <v>45842</v>
      </c>
      <c r="C261" t="s">
        <v>138</v>
      </c>
      <c r="D261" t="s">
        <v>39</v>
      </c>
      <c r="E261" t="s">
        <v>128</v>
      </c>
      <c r="F261" t="s">
        <v>28</v>
      </c>
      <c r="G261" t="s">
        <v>29</v>
      </c>
      <c r="H261" t="s">
        <v>30</v>
      </c>
      <c r="I261">
        <v>7</v>
      </c>
      <c r="J261" s="3">
        <v>0.1</v>
      </c>
      <c r="K261" s="4">
        <v>9419.9</v>
      </c>
      <c r="L261" s="4">
        <v>1206.73</v>
      </c>
      <c r="M261">
        <f t="shared" si="16"/>
        <v>2025</v>
      </c>
      <c r="N261" t="str">
        <f t="shared" si="17"/>
        <v>Jul</v>
      </c>
      <c r="O261" t="str">
        <f t="shared" si="18"/>
        <v>High</v>
      </c>
      <c r="P261" s="7">
        <f t="shared" si="19"/>
        <v>0.12810433231775284</v>
      </c>
    </row>
    <row r="262" spans="1:16" x14ac:dyDescent="0.3">
      <c r="A262" t="s">
        <v>364</v>
      </c>
      <c r="B262" s="2">
        <v>45844</v>
      </c>
      <c r="C262" t="s">
        <v>82</v>
      </c>
      <c r="D262" t="s">
        <v>21</v>
      </c>
      <c r="E262" t="s">
        <v>67</v>
      </c>
      <c r="F262" t="s">
        <v>23</v>
      </c>
      <c r="G262" t="s">
        <v>35</v>
      </c>
      <c r="H262" t="s">
        <v>36</v>
      </c>
      <c r="I262">
        <v>7</v>
      </c>
      <c r="J262" s="3">
        <v>0.2</v>
      </c>
      <c r="K262" s="4">
        <v>315890.96000000002</v>
      </c>
      <c r="L262" s="4">
        <v>47484.94</v>
      </c>
      <c r="M262">
        <f t="shared" si="16"/>
        <v>2025</v>
      </c>
      <c r="N262" t="str">
        <f t="shared" si="17"/>
        <v>Jul</v>
      </c>
      <c r="O262" t="str">
        <f t="shared" si="18"/>
        <v>High</v>
      </c>
      <c r="P262" s="7">
        <f t="shared" si="19"/>
        <v>0.15032066761264709</v>
      </c>
    </row>
    <row r="263" spans="1:16" x14ac:dyDescent="0.3">
      <c r="A263" t="s">
        <v>365</v>
      </c>
      <c r="B263" s="2">
        <v>45844</v>
      </c>
      <c r="C263" t="s">
        <v>150</v>
      </c>
      <c r="D263" t="s">
        <v>21</v>
      </c>
      <c r="E263" t="s">
        <v>67</v>
      </c>
      <c r="F263" t="s">
        <v>16</v>
      </c>
      <c r="G263" t="s">
        <v>17</v>
      </c>
      <c r="H263" t="s">
        <v>153</v>
      </c>
      <c r="I263">
        <v>6</v>
      </c>
      <c r="J263" s="3">
        <v>0.2</v>
      </c>
      <c r="K263" s="4">
        <v>28373.64</v>
      </c>
      <c r="L263" s="4">
        <v>1564.78</v>
      </c>
      <c r="M263">
        <f t="shared" si="16"/>
        <v>2025</v>
      </c>
      <c r="N263" t="str">
        <f t="shared" si="17"/>
        <v>Jul</v>
      </c>
      <c r="O263" t="str">
        <f t="shared" si="18"/>
        <v>High</v>
      </c>
      <c r="P263" s="7">
        <f t="shared" si="19"/>
        <v>5.5149074986501553E-2</v>
      </c>
    </row>
    <row r="264" spans="1:16" x14ac:dyDescent="0.3">
      <c r="A264" t="s">
        <v>366</v>
      </c>
      <c r="B264" s="2">
        <v>45844</v>
      </c>
      <c r="C264" t="s">
        <v>85</v>
      </c>
      <c r="D264" t="s">
        <v>21</v>
      </c>
      <c r="E264" t="s">
        <v>67</v>
      </c>
      <c r="F264" t="s">
        <v>16</v>
      </c>
      <c r="G264" t="s">
        <v>68</v>
      </c>
      <c r="H264" t="s">
        <v>175</v>
      </c>
      <c r="I264">
        <v>7</v>
      </c>
      <c r="J264" s="3">
        <v>0.15</v>
      </c>
      <c r="K264" s="4">
        <v>4018</v>
      </c>
      <c r="L264" s="4">
        <v>630.01</v>
      </c>
      <c r="M264">
        <f t="shared" si="16"/>
        <v>2025</v>
      </c>
      <c r="N264" t="str">
        <f t="shared" si="17"/>
        <v>Jul</v>
      </c>
      <c r="O264" t="str">
        <f t="shared" si="18"/>
        <v>High</v>
      </c>
      <c r="P264" s="7">
        <f t="shared" si="19"/>
        <v>0.15679691388750622</v>
      </c>
    </row>
    <row r="265" spans="1:16" x14ac:dyDescent="0.3">
      <c r="A265" t="s">
        <v>367</v>
      </c>
      <c r="B265" s="2">
        <v>45845</v>
      </c>
      <c r="C265" t="s">
        <v>229</v>
      </c>
      <c r="D265" t="s">
        <v>39</v>
      </c>
      <c r="E265" t="s">
        <v>52</v>
      </c>
      <c r="F265" t="s">
        <v>16</v>
      </c>
      <c r="G265" t="s">
        <v>62</v>
      </c>
      <c r="H265" t="s">
        <v>63</v>
      </c>
      <c r="I265">
        <v>2</v>
      </c>
      <c r="J265" s="3">
        <v>0.2</v>
      </c>
      <c r="K265" s="4">
        <v>21944.36</v>
      </c>
      <c r="L265" s="4">
        <v>1494.61</v>
      </c>
      <c r="M265">
        <f t="shared" si="16"/>
        <v>2025</v>
      </c>
      <c r="N265" t="str">
        <f t="shared" si="17"/>
        <v>Jul</v>
      </c>
      <c r="O265" t="str">
        <f t="shared" si="18"/>
        <v>High</v>
      </c>
      <c r="P265" s="7">
        <f t="shared" si="19"/>
        <v>6.8109072217189287E-2</v>
      </c>
    </row>
    <row r="266" spans="1:16" x14ac:dyDescent="0.3">
      <c r="A266" t="s">
        <v>368</v>
      </c>
      <c r="B266" s="2">
        <v>45845</v>
      </c>
      <c r="C266" t="s">
        <v>85</v>
      </c>
      <c r="D266" t="s">
        <v>33</v>
      </c>
      <c r="E266" t="s">
        <v>86</v>
      </c>
      <c r="F266" t="s">
        <v>23</v>
      </c>
      <c r="G266" t="s">
        <v>58</v>
      </c>
      <c r="H266" t="s">
        <v>78</v>
      </c>
      <c r="I266">
        <v>2</v>
      </c>
      <c r="J266" s="3">
        <v>0.1</v>
      </c>
      <c r="K266" s="4">
        <v>88683.839999999997</v>
      </c>
      <c r="L266" s="4">
        <v>9114.81</v>
      </c>
      <c r="M266">
        <f t="shared" si="16"/>
        <v>2025</v>
      </c>
      <c r="N266" t="str">
        <f t="shared" si="17"/>
        <v>Jul</v>
      </c>
      <c r="O266" t="str">
        <f t="shared" si="18"/>
        <v>High</v>
      </c>
      <c r="P266" s="7">
        <f t="shared" si="19"/>
        <v>0.10277870241072105</v>
      </c>
    </row>
    <row r="267" spans="1:16" x14ac:dyDescent="0.3">
      <c r="A267" t="s">
        <v>369</v>
      </c>
      <c r="B267" s="2">
        <v>45845</v>
      </c>
      <c r="C267" t="s">
        <v>82</v>
      </c>
      <c r="D267" t="s">
        <v>33</v>
      </c>
      <c r="E267" t="s">
        <v>140</v>
      </c>
      <c r="F267" t="s">
        <v>23</v>
      </c>
      <c r="G267" t="s">
        <v>58</v>
      </c>
      <c r="H267" t="s">
        <v>59</v>
      </c>
      <c r="I267">
        <v>5</v>
      </c>
      <c r="J267" s="3">
        <v>0.1</v>
      </c>
      <c r="K267" s="4">
        <v>195841.95</v>
      </c>
      <c r="L267" s="4">
        <v>34149.89</v>
      </c>
      <c r="M267">
        <f t="shared" si="16"/>
        <v>2025</v>
      </c>
      <c r="N267" t="str">
        <f t="shared" si="17"/>
        <v>Jul</v>
      </c>
      <c r="O267" t="str">
        <f t="shared" si="18"/>
        <v>High</v>
      </c>
      <c r="P267" s="7">
        <f t="shared" si="19"/>
        <v>0.17437474453251714</v>
      </c>
    </row>
    <row r="268" spans="1:16" x14ac:dyDescent="0.3">
      <c r="A268" t="s">
        <v>370</v>
      </c>
      <c r="B268" s="2">
        <v>45845</v>
      </c>
      <c r="C268" t="s">
        <v>135</v>
      </c>
      <c r="D268" t="s">
        <v>33</v>
      </c>
      <c r="E268" t="s">
        <v>140</v>
      </c>
      <c r="F268" t="s">
        <v>23</v>
      </c>
      <c r="G268" t="s">
        <v>24</v>
      </c>
      <c r="H268" t="s">
        <v>129</v>
      </c>
      <c r="I268">
        <v>7</v>
      </c>
      <c r="J268" s="3">
        <v>0.15</v>
      </c>
      <c r="K268" s="4">
        <v>144315.99</v>
      </c>
      <c r="L268" s="4">
        <v>17527.55</v>
      </c>
      <c r="M268">
        <f t="shared" si="16"/>
        <v>2025</v>
      </c>
      <c r="N268" t="str">
        <f t="shared" si="17"/>
        <v>Jul</v>
      </c>
      <c r="O268" t="str">
        <f t="shared" si="18"/>
        <v>High</v>
      </c>
      <c r="P268" s="7">
        <f t="shared" si="19"/>
        <v>0.12145258470665656</v>
      </c>
    </row>
    <row r="269" spans="1:16" x14ac:dyDescent="0.3">
      <c r="A269" t="s">
        <v>371</v>
      </c>
      <c r="B269" s="2">
        <v>45845</v>
      </c>
      <c r="C269" t="s">
        <v>100</v>
      </c>
      <c r="D269" t="s">
        <v>21</v>
      </c>
      <c r="E269" t="s">
        <v>57</v>
      </c>
      <c r="F269" t="s">
        <v>28</v>
      </c>
      <c r="G269" t="s">
        <v>74</v>
      </c>
      <c r="H269" t="s">
        <v>80</v>
      </c>
      <c r="I269">
        <v>7</v>
      </c>
      <c r="J269" s="3">
        <v>0.2</v>
      </c>
      <c r="K269" s="4">
        <v>17827.18</v>
      </c>
      <c r="L269" s="4">
        <v>1657.95</v>
      </c>
      <c r="M269">
        <f t="shared" si="16"/>
        <v>2025</v>
      </c>
      <c r="N269" t="str">
        <f t="shared" si="17"/>
        <v>Jul</v>
      </c>
      <c r="O269" t="str">
        <f t="shared" si="18"/>
        <v>High</v>
      </c>
      <c r="P269" s="7">
        <f t="shared" si="19"/>
        <v>9.3001248655143434E-2</v>
      </c>
    </row>
    <row r="270" spans="1:16" x14ac:dyDescent="0.3">
      <c r="A270" t="s">
        <v>372</v>
      </c>
      <c r="B270" s="2">
        <v>45846</v>
      </c>
      <c r="C270" t="s">
        <v>27</v>
      </c>
      <c r="D270" t="s">
        <v>21</v>
      </c>
      <c r="E270" t="s">
        <v>22</v>
      </c>
      <c r="F270" t="s">
        <v>16</v>
      </c>
      <c r="G270" t="s">
        <v>17</v>
      </c>
      <c r="H270" t="s">
        <v>18</v>
      </c>
      <c r="I270">
        <v>4</v>
      </c>
      <c r="J270" s="3">
        <v>0.1</v>
      </c>
      <c r="K270" s="4">
        <v>44237.56</v>
      </c>
      <c r="L270" s="4">
        <v>7703.04</v>
      </c>
      <c r="M270">
        <f t="shared" si="16"/>
        <v>2025</v>
      </c>
      <c r="N270" t="str">
        <f t="shared" si="17"/>
        <v>Jul</v>
      </c>
      <c r="O270" t="str">
        <f t="shared" si="18"/>
        <v>High</v>
      </c>
      <c r="P270" s="7">
        <f t="shared" si="19"/>
        <v>0.17412895286268049</v>
      </c>
    </row>
    <row r="271" spans="1:16" x14ac:dyDescent="0.3">
      <c r="A271" t="s">
        <v>373</v>
      </c>
      <c r="B271" s="2">
        <v>45846</v>
      </c>
      <c r="C271" t="s">
        <v>109</v>
      </c>
      <c r="D271" t="s">
        <v>14</v>
      </c>
      <c r="E271" t="s">
        <v>15</v>
      </c>
      <c r="F271" t="s">
        <v>28</v>
      </c>
      <c r="G271" t="s">
        <v>29</v>
      </c>
      <c r="H271" t="s">
        <v>98</v>
      </c>
      <c r="I271">
        <v>4</v>
      </c>
      <c r="J271" s="3">
        <v>0.2</v>
      </c>
      <c r="K271" s="4">
        <v>11356.04</v>
      </c>
      <c r="L271" s="4">
        <v>1691.05</v>
      </c>
      <c r="M271">
        <f t="shared" si="16"/>
        <v>2025</v>
      </c>
      <c r="N271" t="str">
        <f t="shared" si="17"/>
        <v>Jul</v>
      </c>
      <c r="O271" t="str">
        <f t="shared" si="18"/>
        <v>High</v>
      </c>
      <c r="P271" s="7">
        <f t="shared" si="19"/>
        <v>0.14891194465676413</v>
      </c>
    </row>
    <row r="272" spans="1:16" x14ac:dyDescent="0.3">
      <c r="A272" t="s">
        <v>374</v>
      </c>
      <c r="B272" s="2">
        <v>45846</v>
      </c>
      <c r="C272" t="s">
        <v>147</v>
      </c>
      <c r="D272" t="s">
        <v>39</v>
      </c>
      <c r="E272" t="s">
        <v>52</v>
      </c>
      <c r="F272" t="s">
        <v>28</v>
      </c>
      <c r="G272" t="s">
        <v>71</v>
      </c>
      <c r="H272" t="s">
        <v>121</v>
      </c>
      <c r="I272">
        <v>7</v>
      </c>
      <c r="J272" s="3">
        <v>0.1</v>
      </c>
      <c r="K272" s="4">
        <v>15992.06</v>
      </c>
      <c r="L272" s="4">
        <v>1968.18</v>
      </c>
      <c r="M272">
        <f t="shared" si="16"/>
        <v>2025</v>
      </c>
      <c r="N272" t="str">
        <f t="shared" si="17"/>
        <v>Jul</v>
      </c>
      <c r="O272" t="str">
        <f t="shared" si="18"/>
        <v>High</v>
      </c>
      <c r="P272" s="7">
        <f t="shared" si="19"/>
        <v>0.12307232464110315</v>
      </c>
    </row>
    <row r="273" spans="1:16" x14ac:dyDescent="0.3">
      <c r="A273" t="s">
        <v>375</v>
      </c>
      <c r="B273" s="2">
        <v>45846</v>
      </c>
      <c r="C273" t="s">
        <v>56</v>
      </c>
      <c r="D273" t="s">
        <v>33</v>
      </c>
      <c r="E273" t="s">
        <v>34</v>
      </c>
      <c r="F273" t="s">
        <v>23</v>
      </c>
      <c r="G273" t="s">
        <v>35</v>
      </c>
      <c r="H273" t="s">
        <v>155</v>
      </c>
      <c r="I273">
        <v>1</v>
      </c>
      <c r="J273" s="3">
        <v>0.2</v>
      </c>
      <c r="K273" s="4">
        <v>15540.12</v>
      </c>
      <c r="L273" s="4">
        <v>1205.04</v>
      </c>
      <c r="M273">
        <f t="shared" si="16"/>
        <v>2025</v>
      </c>
      <c r="N273" t="str">
        <f t="shared" si="17"/>
        <v>Jul</v>
      </c>
      <c r="O273" t="str">
        <f t="shared" si="18"/>
        <v>High</v>
      </c>
      <c r="P273" s="7">
        <f t="shared" si="19"/>
        <v>7.7543802750557903E-2</v>
      </c>
    </row>
    <row r="274" spans="1:16" x14ac:dyDescent="0.3">
      <c r="A274" t="s">
        <v>376</v>
      </c>
      <c r="B274" s="2">
        <v>45847</v>
      </c>
      <c r="C274" t="s">
        <v>143</v>
      </c>
      <c r="D274" t="s">
        <v>21</v>
      </c>
      <c r="E274" t="s">
        <v>67</v>
      </c>
      <c r="F274" t="s">
        <v>28</v>
      </c>
      <c r="G274" t="s">
        <v>74</v>
      </c>
      <c r="H274" t="s">
        <v>75</v>
      </c>
      <c r="I274">
        <v>5</v>
      </c>
      <c r="J274" s="3">
        <v>0.05</v>
      </c>
      <c r="K274" s="4">
        <v>10792.9</v>
      </c>
      <c r="L274" s="4">
        <v>1312.96</v>
      </c>
      <c r="M274">
        <f t="shared" si="16"/>
        <v>2025</v>
      </c>
      <c r="N274" t="str">
        <f t="shared" si="17"/>
        <v>Jul</v>
      </c>
      <c r="O274" t="str">
        <f t="shared" si="18"/>
        <v>High</v>
      </c>
      <c r="P274" s="7">
        <f t="shared" si="19"/>
        <v>0.12165034420776623</v>
      </c>
    </row>
    <row r="275" spans="1:16" x14ac:dyDescent="0.3">
      <c r="A275" t="s">
        <v>377</v>
      </c>
      <c r="B275" s="2">
        <v>45848</v>
      </c>
      <c r="C275" t="s">
        <v>66</v>
      </c>
      <c r="D275" t="s">
        <v>14</v>
      </c>
      <c r="E275" t="s">
        <v>97</v>
      </c>
      <c r="F275" t="s">
        <v>28</v>
      </c>
      <c r="G275" t="s">
        <v>29</v>
      </c>
      <c r="H275" t="s">
        <v>98</v>
      </c>
      <c r="I275">
        <v>5</v>
      </c>
      <c r="J275" s="3">
        <v>0.05</v>
      </c>
      <c r="K275" s="4">
        <v>22961.4</v>
      </c>
      <c r="L275" s="4">
        <v>3002.11</v>
      </c>
      <c r="M275">
        <f t="shared" si="16"/>
        <v>2025</v>
      </c>
      <c r="N275" t="str">
        <f t="shared" si="17"/>
        <v>Jul</v>
      </c>
      <c r="O275" t="str">
        <f t="shared" si="18"/>
        <v>High</v>
      </c>
      <c r="P275" s="7">
        <f t="shared" si="19"/>
        <v>0.13074594754675237</v>
      </c>
    </row>
    <row r="276" spans="1:16" x14ac:dyDescent="0.3">
      <c r="A276" t="s">
        <v>378</v>
      </c>
      <c r="B276" s="2">
        <v>45848</v>
      </c>
      <c r="C276" t="s">
        <v>104</v>
      </c>
      <c r="D276" t="s">
        <v>39</v>
      </c>
      <c r="E276" t="s">
        <v>128</v>
      </c>
      <c r="F276" t="s">
        <v>23</v>
      </c>
      <c r="G276" t="s">
        <v>35</v>
      </c>
      <c r="H276" t="s">
        <v>155</v>
      </c>
      <c r="I276">
        <v>3</v>
      </c>
      <c r="J276" s="3">
        <v>0.05</v>
      </c>
      <c r="K276" s="4">
        <v>67795.56</v>
      </c>
      <c r="L276" s="4">
        <v>11722.97</v>
      </c>
      <c r="M276">
        <f t="shared" si="16"/>
        <v>2025</v>
      </c>
      <c r="N276" t="str">
        <f t="shared" si="17"/>
        <v>Jul</v>
      </c>
      <c r="O276" t="str">
        <f t="shared" si="18"/>
        <v>High</v>
      </c>
      <c r="P276" s="7">
        <f t="shared" si="19"/>
        <v>0.17291648597636777</v>
      </c>
    </row>
    <row r="277" spans="1:16" x14ac:dyDescent="0.3">
      <c r="A277" t="s">
        <v>379</v>
      </c>
      <c r="B277" s="2">
        <v>45848</v>
      </c>
      <c r="C277" t="s">
        <v>147</v>
      </c>
      <c r="D277" t="s">
        <v>33</v>
      </c>
      <c r="E277" t="s">
        <v>45</v>
      </c>
      <c r="F277" t="s">
        <v>28</v>
      </c>
      <c r="G277" t="s">
        <v>92</v>
      </c>
      <c r="H277" t="s">
        <v>93</v>
      </c>
      <c r="I277">
        <v>7</v>
      </c>
      <c r="J277" s="3">
        <v>0.1</v>
      </c>
      <c r="K277" s="4">
        <v>9908.7099999999991</v>
      </c>
      <c r="L277" s="4">
        <v>731.4</v>
      </c>
      <c r="M277">
        <f t="shared" si="16"/>
        <v>2025</v>
      </c>
      <c r="N277" t="str">
        <f t="shared" si="17"/>
        <v>Jul</v>
      </c>
      <c r="O277" t="str">
        <f t="shared" si="18"/>
        <v>High</v>
      </c>
      <c r="P277" s="7">
        <f t="shared" si="19"/>
        <v>7.3813846605663105E-2</v>
      </c>
    </row>
    <row r="278" spans="1:16" x14ac:dyDescent="0.3">
      <c r="A278" t="s">
        <v>380</v>
      </c>
      <c r="B278" s="2">
        <v>45849</v>
      </c>
      <c r="C278" t="s">
        <v>32</v>
      </c>
      <c r="D278" t="s">
        <v>33</v>
      </c>
      <c r="E278" t="s">
        <v>34</v>
      </c>
      <c r="F278" t="s">
        <v>28</v>
      </c>
      <c r="G278" t="s">
        <v>74</v>
      </c>
      <c r="H278" t="s">
        <v>159</v>
      </c>
      <c r="I278">
        <v>2</v>
      </c>
      <c r="J278" s="3">
        <v>0.15</v>
      </c>
      <c r="K278" s="4">
        <v>5693.68</v>
      </c>
      <c r="L278" s="4">
        <v>167.04</v>
      </c>
      <c r="M278">
        <f t="shared" si="16"/>
        <v>2025</v>
      </c>
      <c r="N278" t="str">
        <f t="shared" si="17"/>
        <v>Jul</v>
      </c>
      <c r="O278" t="str">
        <f t="shared" si="18"/>
        <v>High</v>
      </c>
      <c r="P278" s="7">
        <f t="shared" si="19"/>
        <v>2.9337792078234108E-2</v>
      </c>
    </row>
    <row r="279" spans="1:16" x14ac:dyDescent="0.3">
      <c r="A279" t="s">
        <v>381</v>
      </c>
      <c r="B279" s="2">
        <v>45850</v>
      </c>
      <c r="C279" t="s">
        <v>104</v>
      </c>
      <c r="D279" t="s">
        <v>33</v>
      </c>
      <c r="E279" t="s">
        <v>140</v>
      </c>
      <c r="F279" t="s">
        <v>28</v>
      </c>
      <c r="G279" t="s">
        <v>71</v>
      </c>
      <c r="H279" t="s">
        <v>72</v>
      </c>
      <c r="I279">
        <v>3</v>
      </c>
      <c r="J279" s="3">
        <v>0.2</v>
      </c>
      <c r="K279" s="4">
        <v>7389.3</v>
      </c>
      <c r="L279" s="4">
        <v>1281.73</v>
      </c>
      <c r="M279">
        <f t="shared" si="16"/>
        <v>2025</v>
      </c>
      <c r="N279" t="str">
        <f t="shared" si="17"/>
        <v>Jul</v>
      </c>
      <c r="O279" t="str">
        <f t="shared" si="18"/>
        <v>High</v>
      </c>
      <c r="P279" s="7">
        <f t="shared" si="19"/>
        <v>0.17345756702258672</v>
      </c>
    </row>
    <row r="280" spans="1:16" x14ac:dyDescent="0.3">
      <c r="A280" t="s">
        <v>382</v>
      </c>
      <c r="B280" s="2">
        <v>45851</v>
      </c>
      <c r="C280" t="s">
        <v>56</v>
      </c>
      <c r="D280" t="s">
        <v>39</v>
      </c>
      <c r="E280" t="s">
        <v>52</v>
      </c>
      <c r="F280" t="s">
        <v>28</v>
      </c>
      <c r="G280" t="s">
        <v>71</v>
      </c>
      <c r="H280" t="s">
        <v>121</v>
      </c>
      <c r="I280">
        <v>7</v>
      </c>
      <c r="J280" s="3">
        <v>0.1</v>
      </c>
      <c r="K280" s="4">
        <v>25201.4</v>
      </c>
      <c r="L280" s="4">
        <v>4576.53</v>
      </c>
      <c r="M280">
        <f t="shared" si="16"/>
        <v>2025</v>
      </c>
      <c r="N280" t="str">
        <f t="shared" si="17"/>
        <v>Jul</v>
      </c>
      <c r="O280" t="str">
        <f t="shared" si="18"/>
        <v>High</v>
      </c>
      <c r="P280" s="7">
        <f t="shared" si="19"/>
        <v>0.18159824454196988</v>
      </c>
    </row>
    <row r="281" spans="1:16" x14ac:dyDescent="0.3">
      <c r="A281" t="s">
        <v>383</v>
      </c>
      <c r="B281" s="2">
        <v>45852</v>
      </c>
      <c r="C281" t="s">
        <v>77</v>
      </c>
      <c r="D281" t="s">
        <v>33</v>
      </c>
      <c r="E281" t="s">
        <v>34</v>
      </c>
      <c r="F281" t="s">
        <v>16</v>
      </c>
      <c r="G281" t="s">
        <v>17</v>
      </c>
      <c r="H281" t="s">
        <v>18</v>
      </c>
      <c r="I281">
        <v>1</v>
      </c>
      <c r="J281" s="3">
        <v>0.1</v>
      </c>
      <c r="K281" s="4">
        <v>6739.21</v>
      </c>
      <c r="L281" s="4">
        <v>724.54</v>
      </c>
      <c r="M281">
        <f t="shared" si="16"/>
        <v>2025</v>
      </c>
      <c r="N281" t="str">
        <f t="shared" si="17"/>
        <v>Jul</v>
      </c>
      <c r="O281" t="str">
        <f t="shared" si="18"/>
        <v>High</v>
      </c>
      <c r="P281" s="7">
        <f t="shared" si="19"/>
        <v>0.10751111777196436</v>
      </c>
    </row>
    <row r="282" spans="1:16" x14ac:dyDescent="0.3">
      <c r="A282" t="s">
        <v>384</v>
      </c>
      <c r="B282" s="2">
        <v>45852</v>
      </c>
      <c r="C282" t="s">
        <v>32</v>
      </c>
      <c r="D282" t="s">
        <v>14</v>
      </c>
      <c r="E282" t="s">
        <v>54</v>
      </c>
      <c r="F282" t="s">
        <v>16</v>
      </c>
      <c r="G282" t="s">
        <v>62</v>
      </c>
      <c r="H282" t="s">
        <v>63</v>
      </c>
      <c r="I282">
        <v>3</v>
      </c>
      <c r="J282" s="3">
        <v>0.05</v>
      </c>
      <c r="K282" s="4">
        <v>24530.73</v>
      </c>
      <c r="L282" s="4">
        <v>4043.38</v>
      </c>
      <c r="M282">
        <f t="shared" si="16"/>
        <v>2025</v>
      </c>
      <c r="N282" t="str">
        <f t="shared" si="17"/>
        <v>Jul</v>
      </c>
      <c r="O282" t="str">
        <f t="shared" si="18"/>
        <v>High</v>
      </c>
      <c r="P282" s="7">
        <f t="shared" si="19"/>
        <v>0.1648291754872358</v>
      </c>
    </row>
    <row r="283" spans="1:16" x14ac:dyDescent="0.3">
      <c r="A283" t="s">
        <v>385</v>
      </c>
      <c r="B283" s="2">
        <v>45854</v>
      </c>
      <c r="C283" t="s">
        <v>20</v>
      </c>
      <c r="D283" t="s">
        <v>39</v>
      </c>
      <c r="E283" t="s">
        <v>52</v>
      </c>
      <c r="F283" t="s">
        <v>23</v>
      </c>
      <c r="G283" t="s">
        <v>58</v>
      </c>
      <c r="H283" t="s">
        <v>59</v>
      </c>
      <c r="I283">
        <v>3</v>
      </c>
      <c r="J283" s="3">
        <v>0.05</v>
      </c>
      <c r="K283" s="4">
        <v>32475.93</v>
      </c>
      <c r="L283" s="4">
        <v>2548.91</v>
      </c>
      <c r="M283">
        <f t="shared" si="16"/>
        <v>2025</v>
      </c>
      <c r="N283" t="str">
        <f t="shared" si="17"/>
        <v>Jul</v>
      </c>
      <c r="O283" t="str">
        <f t="shared" si="18"/>
        <v>High</v>
      </c>
      <c r="P283" s="7">
        <f t="shared" si="19"/>
        <v>7.8486128033900801E-2</v>
      </c>
    </row>
    <row r="284" spans="1:16" x14ac:dyDescent="0.3">
      <c r="A284" t="s">
        <v>386</v>
      </c>
      <c r="B284" s="2">
        <v>45854</v>
      </c>
      <c r="C284" t="s">
        <v>104</v>
      </c>
      <c r="D284" t="s">
        <v>33</v>
      </c>
      <c r="E284" t="s">
        <v>34</v>
      </c>
      <c r="F284" t="s">
        <v>16</v>
      </c>
      <c r="G284" t="s">
        <v>62</v>
      </c>
      <c r="H284" t="s">
        <v>63</v>
      </c>
      <c r="I284">
        <v>6</v>
      </c>
      <c r="J284" s="3">
        <v>0.2</v>
      </c>
      <c r="K284" s="4">
        <v>66008.460000000006</v>
      </c>
      <c r="L284" s="4">
        <v>8808.2000000000007</v>
      </c>
      <c r="M284">
        <f t="shared" si="16"/>
        <v>2025</v>
      </c>
      <c r="N284" t="str">
        <f t="shared" si="17"/>
        <v>Jul</v>
      </c>
      <c r="O284" t="str">
        <f t="shared" si="18"/>
        <v>High</v>
      </c>
      <c r="P284" s="7">
        <f t="shared" si="19"/>
        <v>0.13344047111536914</v>
      </c>
    </row>
    <row r="285" spans="1:16" x14ac:dyDescent="0.3">
      <c r="A285" t="s">
        <v>387</v>
      </c>
      <c r="B285" s="2">
        <v>45855</v>
      </c>
      <c r="C285" t="s">
        <v>229</v>
      </c>
      <c r="D285" t="s">
        <v>21</v>
      </c>
      <c r="E285" t="s">
        <v>22</v>
      </c>
      <c r="F285" t="s">
        <v>28</v>
      </c>
      <c r="G285" t="s">
        <v>29</v>
      </c>
      <c r="H285" t="s">
        <v>98</v>
      </c>
      <c r="I285">
        <v>2</v>
      </c>
      <c r="J285" s="3">
        <v>0</v>
      </c>
      <c r="K285" s="4">
        <v>3454.68</v>
      </c>
      <c r="L285" s="4">
        <v>696.15</v>
      </c>
      <c r="M285">
        <f t="shared" si="16"/>
        <v>2025</v>
      </c>
      <c r="N285" t="str">
        <f t="shared" si="17"/>
        <v>Jul</v>
      </c>
      <c r="O285" t="str">
        <f t="shared" si="18"/>
        <v>High</v>
      </c>
      <c r="P285" s="7">
        <f t="shared" si="19"/>
        <v>0.20150925700788497</v>
      </c>
    </row>
    <row r="286" spans="1:16" x14ac:dyDescent="0.3">
      <c r="A286" t="s">
        <v>388</v>
      </c>
      <c r="B286" s="2">
        <v>45856</v>
      </c>
      <c r="C286" t="s">
        <v>150</v>
      </c>
      <c r="D286" t="s">
        <v>14</v>
      </c>
      <c r="E286" t="s">
        <v>15</v>
      </c>
      <c r="F286" t="s">
        <v>28</v>
      </c>
      <c r="G286" t="s">
        <v>92</v>
      </c>
      <c r="H286" t="s">
        <v>93</v>
      </c>
      <c r="I286">
        <v>7</v>
      </c>
      <c r="J286" s="3">
        <v>0.2</v>
      </c>
      <c r="K286" s="4">
        <v>33163.480000000003</v>
      </c>
      <c r="L286" s="4">
        <v>2696.4</v>
      </c>
      <c r="M286">
        <f t="shared" si="16"/>
        <v>2025</v>
      </c>
      <c r="N286" t="str">
        <f t="shared" si="17"/>
        <v>Jul</v>
      </c>
      <c r="O286" t="str">
        <f t="shared" si="18"/>
        <v>High</v>
      </c>
      <c r="P286" s="7">
        <f t="shared" si="19"/>
        <v>8.1306304404724708E-2</v>
      </c>
    </row>
    <row r="287" spans="1:16" x14ac:dyDescent="0.3">
      <c r="A287" t="s">
        <v>389</v>
      </c>
      <c r="B287" s="2">
        <v>45857</v>
      </c>
      <c r="C287" t="s">
        <v>13</v>
      </c>
      <c r="D287" t="s">
        <v>33</v>
      </c>
      <c r="E287" t="s">
        <v>140</v>
      </c>
      <c r="F287" t="s">
        <v>23</v>
      </c>
      <c r="G287" t="s">
        <v>48</v>
      </c>
      <c r="H287" t="s">
        <v>118</v>
      </c>
      <c r="I287">
        <v>2</v>
      </c>
      <c r="J287" s="3">
        <v>0.1</v>
      </c>
      <c r="K287" s="4">
        <v>49759.42</v>
      </c>
      <c r="L287" s="4">
        <v>10593.96</v>
      </c>
      <c r="M287">
        <f t="shared" si="16"/>
        <v>2025</v>
      </c>
      <c r="N287" t="str">
        <f t="shared" si="17"/>
        <v>Jul</v>
      </c>
      <c r="O287" t="str">
        <f t="shared" si="18"/>
        <v>High</v>
      </c>
      <c r="P287" s="7">
        <f t="shared" si="19"/>
        <v>0.21290360699541916</v>
      </c>
    </row>
    <row r="288" spans="1:16" x14ac:dyDescent="0.3">
      <c r="A288" t="s">
        <v>390</v>
      </c>
      <c r="B288" s="2">
        <v>45857</v>
      </c>
      <c r="C288" t="s">
        <v>109</v>
      </c>
      <c r="D288" t="s">
        <v>21</v>
      </c>
      <c r="E288" t="s">
        <v>67</v>
      </c>
      <c r="F288" t="s">
        <v>16</v>
      </c>
      <c r="G288" t="s">
        <v>17</v>
      </c>
      <c r="H288" t="s">
        <v>153</v>
      </c>
      <c r="I288">
        <v>6</v>
      </c>
      <c r="J288" s="3">
        <v>0.1</v>
      </c>
      <c r="K288" s="4">
        <v>12867.06</v>
      </c>
      <c r="L288" s="4">
        <v>2632.76</v>
      </c>
      <c r="M288">
        <f t="shared" si="16"/>
        <v>2025</v>
      </c>
      <c r="N288" t="str">
        <f t="shared" si="17"/>
        <v>Jul</v>
      </c>
      <c r="O288" t="str">
        <f t="shared" si="18"/>
        <v>High</v>
      </c>
      <c r="P288" s="7">
        <f t="shared" si="19"/>
        <v>0.20461239785934007</v>
      </c>
    </row>
    <row r="289" spans="1:16" x14ac:dyDescent="0.3">
      <c r="A289" t="s">
        <v>391</v>
      </c>
      <c r="B289" s="2">
        <v>45859</v>
      </c>
      <c r="C289" t="s">
        <v>95</v>
      </c>
      <c r="D289" t="s">
        <v>14</v>
      </c>
      <c r="E289" t="s">
        <v>97</v>
      </c>
      <c r="F289" t="s">
        <v>23</v>
      </c>
      <c r="G289" t="s">
        <v>58</v>
      </c>
      <c r="H289" t="s">
        <v>101</v>
      </c>
      <c r="I289">
        <v>7</v>
      </c>
      <c r="J289" s="3">
        <v>0</v>
      </c>
      <c r="K289" s="4">
        <v>183860.18</v>
      </c>
      <c r="L289" s="4">
        <v>44471.68</v>
      </c>
      <c r="M289">
        <f t="shared" si="16"/>
        <v>2025</v>
      </c>
      <c r="N289" t="str">
        <f t="shared" si="17"/>
        <v>Jul</v>
      </c>
      <c r="O289" t="str">
        <f t="shared" si="18"/>
        <v>High</v>
      </c>
      <c r="P289" s="7">
        <f t="shared" si="19"/>
        <v>0.24187771381492176</v>
      </c>
    </row>
    <row r="290" spans="1:16" x14ac:dyDescent="0.3">
      <c r="A290" t="s">
        <v>392</v>
      </c>
      <c r="B290" s="2">
        <v>45859</v>
      </c>
      <c r="C290" t="s">
        <v>77</v>
      </c>
      <c r="D290" t="s">
        <v>33</v>
      </c>
      <c r="E290" t="s">
        <v>140</v>
      </c>
      <c r="F290" t="s">
        <v>16</v>
      </c>
      <c r="G290" t="s">
        <v>68</v>
      </c>
      <c r="H290" t="s">
        <v>69</v>
      </c>
      <c r="I290">
        <v>2</v>
      </c>
      <c r="J290" s="3">
        <v>0.2</v>
      </c>
      <c r="K290" s="4">
        <v>23325.56</v>
      </c>
      <c r="L290" s="4">
        <v>4115.16</v>
      </c>
      <c r="M290">
        <f t="shared" si="16"/>
        <v>2025</v>
      </c>
      <c r="N290" t="str">
        <f t="shared" si="17"/>
        <v>Jul</v>
      </c>
      <c r="O290" t="str">
        <f t="shared" si="18"/>
        <v>High</v>
      </c>
      <c r="P290" s="7">
        <f t="shared" si="19"/>
        <v>0.17642277398699108</v>
      </c>
    </row>
    <row r="291" spans="1:16" x14ac:dyDescent="0.3">
      <c r="A291" t="s">
        <v>393</v>
      </c>
      <c r="B291" s="2">
        <v>45859</v>
      </c>
      <c r="C291" t="s">
        <v>229</v>
      </c>
      <c r="D291" t="s">
        <v>33</v>
      </c>
      <c r="E291" t="s">
        <v>140</v>
      </c>
      <c r="F291" t="s">
        <v>28</v>
      </c>
      <c r="G291" t="s">
        <v>71</v>
      </c>
      <c r="H291" t="s">
        <v>72</v>
      </c>
      <c r="I291">
        <v>4</v>
      </c>
      <c r="J291" s="3">
        <v>0.1</v>
      </c>
      <c r="K291" s="4">
        <v>531.52</v>
      </c>
      <c r="L291" s="4">
        <v>60.93</v>
      </c>
      <c r="M291">
        <f t="shared" si="16"/>
        <v>2025</v>
      </c>
      <c r="N291" t="str">
        <f t="shared" si="17"/>
        <v>Jul</v>
      </c>
      <c r="O291" t="str">
        <f t="shared" si="18"/>
        <v>Medium</v>
      </c>
      <c r="P291" s="7">
        <f t="shared" si="19"/>
        <v>0.11463350391330523</v>
      </c>
    </row>
    <row r="292" spans="1:16" x14ac:dyDescent="0.3">
      <c r="A292" t="s">
        <v>394</v>
      </c>
      <c r="B292" s="2">
        <v>45860</v>
      </c>
      <c r="C292" t="s">
        <v>147</v>
      </c>
      <c r="D292" t="s">
        <v>14</v>
      </c>
      <c r="E292" t="s">
        <v>97</v>
      </c>
      <c r="F292" t="s">
        <v>23</v>
      </c>
      <c r="G292" t="s">
        <v>24</v>
      </c>
      <c r="H292" t="s">
        <v>25</v>
      </c>
      <c r="I292">
        <v>3</v>
      </c>
      <c r="J292" s="3">
        <v>0</v>
      </c>
      <c r="K292" s="4">
        <v>35809.47</v>
      </c>
      <c r="L292" s="4">
        <v>3157.83</v>
      </c>
      <c r="M292">
        <f t="shared" si="16"/>
        <v>2025</v>
      </c>
      <c r="N292" t="str">
        <f t="shared" si="17"/>
        <v>Jul</v>
      </c>
      <c r="O292" t="str">
        <f t="shared" si="18"/>
        <v>High</v>
      </c>
      <c r="P292" s="7">
        <f t="shared" si="19"/>
        <v>8.8184214957663432E-2</v>
      </c>
    </row>
    <row r="293" spans="1:16" x14ac:dyDescent="0.3">
      <c r="A293" t="s">
        <v>395</v>
      </c>
      <c r="B293" s="2">
        <v>45860</v>
      </c>
      <c r="C293" t="s">
        <v>100</v>
      </c>
      <c r="D293" t="s">
        <v>33</v>
      </c>
      <c r="E293" t="s">
        <v>86</v>
      </c>
      <c r="F293" t="s">
        <v>28</v>
      </c>
      <c r="G293" t="s">
        <v>92</v>
      </c>
      <c r="H293" t="s">
        <v>93</v>
      </c>
      <c r="I293">
        <v>5</v>
      </c>
      <c r="J293" s="3">
        <v>0.05</v>
      </c>
      <c r="K293" s="4">
        <v>17032.25</v>
      </c>
      <c r="L293" s="4">
        <v>1383.2</v>
      </c>
      <c r="M293">
        <f t="shared" si="16"/>
        <v>2025</v>
      </c>
      <c r="N293" t="str">
        <f t="shared" si="17"/>
        <v>Jul</v>
      </c>
      <c r="O293" t="str">
        <f t="shared" si="18"/>
        <v>High</v>
      </c>
      <c r="P293" s="7">
        <f t="shared" si="19"/>
        <v>8.1210644512615782E-2</v>
      </c>
    </row>
    <row r="294" spans="1:16" x14ac:dyDescent="0.3">
      <c r="A294" t="s">
        <v>396</v>
      </c>
      <c r="B294" s="2">
        <v>45860</v>
      </c>
      <c r="C294" t="s">
        <v>13</v>
      </c>
      <c r="D294" t="s">
        <v>33</v>
      </c>
      <c r="E294" t="s">
        <v>86</v>
      </c>
      <c r="F294" t="s">
        <v>28</v>
      </c>
      <c r="G294" t="s">
        <v>71</v>
      </c>
      <c r="H294" t="s">
        <v>72</v>
      </c>
      <c r="I294">
        <v>3</v>
      </c>
      <c r="J294" s="3">
        <v>0.1</v>
      </c>
      <c r="K294" s="4">
        <v>8786.01</v>
      </c>
      <c r="L294" s="4">
        <v>1731.34</v>
      </c>
      <c r="M294">
        <f t="shared" si="16"/>
        <v>2025</v>
      </c>
      <c r="N294" t="str">
        <f t="shared" si="17"/>
        <v>Jul</v>
      </c>
      <c r="O294" t="str">
        <f t="shared" si="18"/>
        <v>High</v>
      </c>
      <c r="P294" s="7">
        <f t="shared" si="19"/>
        <v>0.19705645679893374</v>
      </c>
    </row>
    <row r="295" spans="1:16" x14ac:dyDescent="0.3">
      <c r="A295" t="s">
        <v>397</v>
      </c>
      <c r="B295" s="2">
        <v>45860</v>
      </c>
      <c r="C295" t="s">
        <v>56</v>
      </c>
      <c r="D295" t="s">
        <v>21</v>
      </c>
      <c r="E295" t="s">
        <v>105</v>
      </c>
      <c r="F295" t="s">
        <v>28</v>
      </c>
      <c r="G295" t="s">
        <v>29</v>
      </c>
      <c r="H295" t="s">
        <v>30</v>
      </c>
      <c r="I295">
        <v>2</v>
      </c>
      <c r="J295" s="3">
        <v>0.15</v>
      </c>
      <c r="K295" s="4">
        <v>2943.8</v>
      </c>
      <c r="L295" s="4">
        <v>183.58</v>
      </c>
      <c r="M295">
        <f t="shared" si="16"/>
        <v>2025</v>
      </c>
      <c r="N295" t="str">
        <f t="shared" si="17"/>
        <v>Jul</v>
      </c>
      <c r="O295" t="str">
        <f t="shared" si="18"/>
        <v>High</v>
      </c>
      <c r="P295" s="7">
        <f t="shared" si="19"/>
        <v>6.2361573476459001E-2</v>
      </c>
    </row>
    <row r="296" spans="1:16" x14ac:dyDescent="0.3">
      <c r="A296" t="s">
        <v>398</v>
      </c>
      <c r="B296" s="2">
        <v>45863</v>
      </c>
      <c r="C296" t="s">
        <v>51</v>
      </c>
      <c r="D296" t="s">
        <v>33</v>
      </c>
      <c r="E296" t="s">
        <v>45</v>
      </c>
      <c r="F296" t="s">
        <v>23</v>
      </c>
      <c r="G296" t="s">
        <v>24</v>
      </c>
      <c r="H296" t="s">
        <v>132</v>
      </c>
      <c r="I296">
        <v>2</v>
      </c>
      <c r="J296" s="3">
        <v>0.05</v>
      </c>
      <c r="K296" s="4">
        <v>40702.1</v>
      </c>
      <c r="L296" s="4">
        <v>9221.8799999999992</v>
      </c>
      <c r="M296">
        <f t="shared" si="16"/>
        <v>2025</v>
      </c>
      <c r="N296" t="str">
        <f t="shared" si="17"/>
        <v>Jul</v>
      </c>
      <c r="O296" t="str">
        <f t="shared" si="18"/>
        <v>High</v>
      </c>
      <c r="P296" s="7">
        <f t="shared" si="19"/>
        <v>0.22657012783124211</v>
      </c>
    </row>
    <row r="297" spans="1:16" x14ac:dyDescent="0.3">
      <c r="A297" t="s">
        <v>399</v>
      </c>
      <c r="B297" s="2">
        <v>45866</v>
      </c>
      <c r="C297" t="s">
        <v>32</v>
      </c>
      <c r="D297" t="s">
        <v>14</v>
      </c>
      <c r="E297" t="s">
        <v>97</v>
      </c>
      <c r="F297" t="s">
        <v>23</v>
      </c>
      <c r="G297" t="s">
        <v>35</v>
      </c>
      <c r="H297" t="s">
        <v>36</v>
      </c>
      <c r="I297">
        <v>5</v>
      </c>
      <c r="J297" s="3">
        <v>0.15</v>
      </c>
      <c r="K297" s="4">
        <v>54981.599999999999</v>
      </c>
      <c r="L297" s="4">
        <v>8449.74</v>
      </c>
      <c r="M297">
        <f t="shared" si="16"/>
        <v>2025</v>
      </c>
      <c r="N297" t="str">
        <f t="shared" si="17"/>
        <v>Jul</v>
      </c>
      <c r="O297" t="str">
        <f t="shared" si="18"/>
        <v>High</v>
      </c>
      <c r="P297" s="7">
        <f t="shared" si="19"/>
        <v>0.15368305032956481</v>
      </c>
    </row>
    <row r="298" spans="1:16" x14ac:dyDescent="0.3">
      <c r="A298" t="s">
        <v>400</v>
      </c>
      <c r="B298" s="2">
        <v>45870</v>
      </c>
      <c r="C298" t="s">
        <v>104</v>
      </c>
      <c r="D298" t="s">
        <v>33</v>
      </c>
      <c r="E298" t="s">
        <v>140</v>
      </c>
      <c r="F298" t="s">
        <v>16</v>
      </c>
      <c r="G298" t="s">
        <v>68</v>
      </c>
      <c r="H298" t="s">
        <v>175</v>
      </c>
      <c r="I298">
        <v>5</v>
      </c>
      <c r="J298" s="3">
        <v>0.05</v>
      </c>
      <c r="K298" s="4">
        <v>16052.3</v>
      </c>
      <c r="L298" s="4">
        <v>3480.74</v>
      </c>
      <c r="M298">
        <f t="shared" si="16"/>
        <v>2025</v>
      </c>
      <c r="N298" t="str">
        <f t="shared" si="17"/>
        <v>Aug</v>
      </c>
      <c r="O298" t="str">
        <f t="shared" si="18"/>
        <v>High</v>
      </c>
      <c r="P298" s="7">
        <f t="shared" si="19"/>
        <v>0.2168374625443083</v>
      </c>
    </row>
    <row r="299" spans="1:16" x14ac:dyDescent="0.3">
      <c r="A299" t="s">
        <v>401</v>
      </c>
      <c r="B299" s="2">
        <v>45870</v>
      </c>
      <c r="C299" t="s">
        <v>82</v>
      </c>
      <c r="D299" t="s">
        <v>33</v>
      </c>
      <c r="E299" t="s">
        <v>45</v>
      </c>
      <c r="F299" t="s">
        <v>28</v>
      </c>
      <c r="G299" t="s">
        <v>74</v>
      </c>
      <c r="H299" t="s">
        <v>80</v>
      </c>
      <c r="I299">
        <v>2</v>
      </c>
      <c r="J299" s="3">
        <v>0.15</v>
      </c>
      <c r="K299" s="4">
        <v>8228.7000000000007</v>
      </c>
      <c r="L299" s="4">
        <v>695.2</v>
      </c>
      <c r="M299">
        <f t="shared" si="16"/>
        <v>2025</v>
      </c>
      <c r="N299" t="str">
        <f t="shared" si="17"/>
        <v>Aug</v>
      </c>
      <c r="O299" t="str">
        <f t="shared" si="18"/>
        <v>High</v>
      </c>
      <c r="P299" s="7">
        <f t="shared" si="19"/>
        <v>8.4484791036251172E-2</v>
      </c>
    </row>
    <row r="300" spans="1:16" x14ac:dyDescent="0.3">
      <c r="A300" t="s">
        <v>402</v>
      </c>
      <c r="B300" s="2">
        <v>45871</v>
      </c>
      <c r="C300" t="s">
        <v>27</v>
      </c>
      <c r="D300" t="s">
        <v>39</v>
      </c>
      <c r="E300" t="s">
        <v>47</v>
      </c>
      <c r="F300" t="s">
        <v>23</v>
      </c>
      <c r="G300" t="s">
        <v>48</v>
      </c>
      <c r="H300" t="s">
        <v>49</v>
      </c>
      <c r="I300">
        <v>2</v>
      </c>
      <c r="J300" s="3">
        <v>0.05</v>
      </c>
      <c r="K300" s="4">
        <v>22465.22</v>
      </c>
      <c r="L300" s="4">
        <v>2071.5500000000002</v>
      </c>
      <c r="M300">
        <f t="shared" si="16"/>
        <v>2025</v>
      </c>
      <c r="N300" t="str">
        <f t="shared" si="17"/>
        <v>Aug</v>
      </c>
      <c r="O300" t="str">
        <f t="shared" si="18"/>
        <v>High</v>
      </c>
      <c r="P300" s="7">
        <f t="shared" si="19"/>
        <v>9.221142726401077E-2</v>
      </c>
    </row>
    <row r="301" spans="1:16" x14ac:dyDescent="0.3">
      <c r="A301" t="s">
        <v>403</v>
      </c>
      <c r="B301" s="2">
        <v>45871</v>
      </c>
      <c r="C301" t="s">
        <v>20</v>
      </c>
      <c r="D301" t="s">
        <v>33</v>
      </c>
      <c r="E301" t="s">
        <v>34</v>
      </c>
      <c r="F301" t="s">
        <v>28</v>
      </c>
      <c r="G301" t="s">
        <v>74</v>
      </c>
      <c r="H301" t="s">
        <v>159</v>
      </c>
      <c r="I301">
        <v>1</v>
      </c>
      <c r="J301" s="3">
        <v>0</v>
      </c>
      <c r="K301" s="4">
        <v>1286.02</v>
      </c>
      <c r="L301" s="4">
        <v>227.69</v>
      </c>
      <c r="M301">
        <f t="shared" si="16"/>
        <v>2025</v>
      </c>
      <c r="N301" t="str">
        <f t="shared" si="17"/>
        <v>Aug</v>
      </c>
      <c r="O301" t="str">
        <f t="shared" si="18"/>
        <v>High</v>
      </c>
      <c r="P301" s="7">
        <f t="shared" si="19"/>
        <v>0.17705012363726846</v>
      </c>
    </row>
    <row r="302" spans="1:16" x14ac:dyDescent="0.3">
      <c r="A302" t="s">
        <v>404</v>
      </c>
      <c r="B302" s="2">
        <v>45871</v>
      </c>
      <c r="C302" t="s">
        <v>229</v>
      </c>
      <c r="D302" t="s">
        <v>39</v>
      </c>
      <c r="E302" t="s">
        <v>52</v>
      </c>
      <c r="F302" t="s">
        <v>23</v>
      </c>
      <c r="G302" t="s">
        <v>35</v>
      </c>
      <c r="H302" t="s">
        <v>36</v>
      </c>
      <c r="I302">
        <v>7</v>
      </c>
      <c r="J302" s="3">
        <v>0.05</v>
      </c>
      <c r="K302" s="4">
        <v>161582.54</v>
      </c>
      <c r="L302" s="4">
        <v>10624.8</v>
      </c>
      <c r="M302">
        <f t="shared" si="16"/>
        <v>2025</v>
      </c>
      <c r="N302" t="str">
        <f t="shared" si="17"/>
        <v>Aug</v>
      </c>
      <c r="O302" t="str">
        <f t="shared" si="18"/>
        <v>High</v>
      </c>
      <c r="P302" s="7">
        <f t="shared" si="19"/>
        <v>6.5754629182088603E-2</v>
      </c>
    </row>
    <row r="303" spans="1:16" x14ac:dyDescent="0.3">
      <c r="A303" t="s">
        <v>405</v>
      </c>
      <c r="B303" s="2">
        <v>45871</v>
      </c>
      <c r="C303" t="s">
        <v>44</v>
      </c>
      <c r="D303" t="s">
        <v>21</v>
      </c>
      <c r="E303" t="s">
        <v>105</v>
      </c>
      <c r="F303" t="s">
        <v>16</v>
      </c>
      <c r="G303" t="s">
        <v>17</v>
      </c>
      <c r="H303" t="s">
        <v>18</v>
      </c>
      <c r="I303">
        <v>4</v>
      </c>
      <c r="J303" s="3">
        <v>0.2</v>
      </c>
      <c r="K303" s="4">
        <v>13752.68</v>
      </c>
      <c r="L303" s="4">
        <v>1192.5</v>
      </c>
      <c r="M303">
        <f t="shared" si="16"/>
        <v>2025</v>
      </c>
      <c r="N303" t="str">
        <f t="shared" si="17"/>
        <v>Aug</v>
      </c>
      <c r="O303" t="str">
        <f t="shared" si="18"/>
        <v>High</v>
      </c>
      <c r="P303" s="7">
        <f t="shared" si="19"/>
        <v>8.671037208747677E-2</v>
      </c>
    </row>
    <row r="304" spans="1:16" x14ac:dyDescent="0.3">
      <c r="A304" t="s">
        <v>406</v>
      </c>
      <c r="B304" s="2">
        <v>45872</v>
      </c>
      <c r="C304" t="s">
        <v>77</v>
      </c>
      <c r="D304" t="s">
        <v>14</v>
      </c>
      <c r="E304" t="s">
        <v>97</v>
      </c>
      <c r="F304" t="s">
        <v>23</v>
      </c>
      <c r="G304" t="s">
        <v>58</v>
      </c>
      <c r="H304" t="s">
        <v>59</v>
      </c>
      <c r="I304">
        <v>7</v>
      </c>
      <c r="J304" s="3">
        <v>0.05</v>
      </c>
      <c r="K304" s="4">
        <v>305778.27</v>
      </c>
      <c r="L304" s="4">
        <v>25062.47</v>
      </c>
      <c r="M304">
        <f t="shared" si="16"/>
        <v>2025</v>
      </c>
      <c r="N304" t="str">
        <f t="shared" si="17"/>
        <v>Aug</v>
      </c>
      <c r="O304" t="str">
        <f t="shared" si="18"/>
        <v>High</v>
      </c>
      <c r="P304" s="7">
        <f t="shared" si="19"/>
        <v>8.1962887683287633E-2</v>
      </c>
    </row>
    <row r="305" spans="1:16" x14ac:dyDescent="0.3">
      <c r="A305" t="s">
        <v>407</v>
      </c>
      <c r="B305" s="2">
        <v>45872</v>
      </c>
      <c r="C305" t="s">
        <v>32</v>
      </c>
      <c r="D305" t="s">
        <v>39</v>
      </c>
      <c r="E305" t="s">
        <v>52</v>
      </c>
      <c r="F305" t="s">
        <v>16</v>
      </c>
      <c r="G305" t="s">
        <v>62</v>
      </c>
      <c r="H305" t="s">
        <v>180</v>
      </c>
      <c r="I305">
        <v>5</v>
      </c>
      <c r="J305" s="3">
        <v>0.15</v>
      </c>
      <c r="K305" s="4">
        <v>40112.65</v>
      </c>
      <c r="L305" s="4">
        <v>6917</v>
      </c>
      <c r="M305">
        <f t="shared" si="16"/>
        <v>2025</v>
      </c>
      <c r="N305" t="str">
        <f t="shared" si="17"/>
        <v>Aug</v>
      </c>
      <c r="O305" t="str">
        <f t="shared" si="18"/>
        <v>High</v>
      </c>
      <c r="P305" s="7">
        <f t="shared" si="19"/>
        <v>0.17243936763090945</v>
      </c>
    </row>
    <row r="306" spans="1:16" x14ac:dyDescent="0.3">
      <c r="A306" t="s">
        <v>408</v>
      </c>
      <c r="B306" s="2">
        <v>45873</v>
      </c>
      <c r="C306" t="s">
        <v>61</v>
      </c>
      <c r="D306" t="s">
        <v>14</v>
      </c>
      <c r="E306" t="s">
        <v>54</v>
      </c>
      <c r="F306" t="s">
        <v>16</v>
      </c>
      <c r="G306" t="s">
        <v>41</v>
      </c>
      <c r="H306" t="s">
        <v>177</v>
      </c>
      <c r="I306">
        <v>4</v>
      </c>
      <c r="J306" s="3">
        <v>0.1</v>
      </c>
      <c r="K306" s="4">
        <v>10182.84</v>
      </c>
      <c r="L306" s="4">
        <v>897.61</v>
      </c>
      <c r="M306">
        <f t="shared" si="16"/>
        <v>2025</v>
      </c>
      <c r="N306" t="str">
        <f t="shared" si="17"/>
        <v>Aug</v>
      </c>
      <c r="O306" t="str">
        <f t="shared" si="18"/>
        <v>High</v>
      </c>
      <c r="P306" s="7">
        <f t="shared" si="19"/>
        <v>8.8149278590255759E-2</v>
      </c>
    </row>
    <row r="307" spans="1:16" x14ac:dyDescent="0.3">
      <c r="A307" t="s">
        <v>409</v>
      </c>
      <c r="B307" s="2">
        <v>45873</v>
      </c>
      <c r="C307" t="s">
        <v>61</v>
      </c>
      <c r="D307" t="s">
        <v>21</v>
      </c>
      <c r="E307" t="s">
        <v>22</v>
      </c>
      <c r="F307" t="s">
        <v>23</v>
      </c>
      <c r="G307" t="s">
        <v>48</v>
      </c>
      <c r="H307" t="s">
        <v>118</v>
      </c>
      <c r="I307">
        <v>4</v>
      </c>
      <c r="J307" s="3">
        <v>0.15</v>
      </c>
      <c r="K307" s="4">
        <v>89488.28</v>
      </c>
      <c r="L307" s="4">
        <v>17264.349999999999</v>
      </c>
      <c r="M307">
        <f t="shared" si="16"/>
        <v>2025</v>
      </c>
      <c r="N307" t="str">
        <f t="shared" si="17"/>
        <v>Aug</v>
      </c>
      <c r="O307" t="str">
        <f t="shared" si="18"/>
        <v>High</v>
      </c>
      <c r="P307" s="7">
        <f t="shared" si="19"/>
        <v>0.1929230285798319</v>
      </c>
    </row>
    <row r="308" spans="1:16" x14ac:dyDescent="0.3">
      <c r="A308" t="s">
        <v>410</v>
      </c>
      <c r="B308" s="2">
        <v>45875</v>
      </c>
      <c r="C308" t="s">
        <v>179</v>
      </c>
      <c r="D308" t="s">
        <v>21</v>
      </c>
      <c r="E308" t="s">
        <v>22</v>
      </c>
      <c r="F308" t="s">
        <v>28</v>
      </c>
      <c r="G308" t="s">
        <v>92</v>
      </c>
      <c r="H308" t="s">
        <v>93</v>
      </c>
      <c r="I308">
        <v>5</v>
      </c>
      <c r="J308" s="3">
        <v>0</v>
      </c>
      <c r="K308" s="4">
        <v>12100.05</v>
      </c>
      <c r="L308" s="4">
        <v>1923.84</v>
      </c>
      <c r="M308">
        <f t="shared" si="16"/>
        <v>2025</v>
      </c>
      <c r="N308" t="str">
        <f t="shared" si="17"/>
        <v>Aug</v>
      </c>
      <c r="O308" t="str">
        <f t="shared" si="18"/>
        <v>High</v>
      </c>
      <c r="P308" s="7">
        <f t="shared" si="19"/>
        <v>0.15899438432072596</v>
      </c>
    </row>
    <row r="309" spans="1:16" x14ac:dyDescent="0.3">
      <c r="A309" t="s">
        <v>411</v>
      </c>
      <c r="B309" s="2">
        <v>45876</v>
      </c>
      <c r="C309" t="s">
        <v>77</v>
      </c>
      <c r="D309" t="s">
        <v>33</v>
      </c>
      <c r="E309" t="s">
        <v>140</v>
      </c>
      <c r="F309" t="s">
        <v>16</v>
      </c>
      <c r="G309" t="s">
        <v>62</v>
      </c>
      <c r="H309" t="s">
        <v>63</v>
      </c>
      <c r="I309">
        <v>4</v>
      </c>
      <c r="J309" s="3">
        <v>0.1</v>
      </c>
      <c r="K309" s="4">
        <v>5405.96</v>
      </c>
      <c r="L309" s="4">
        <v>431.97</v>
      </c>
      <c r="M309">
        <f t="shared" si="16"/>
        <v>2025</v>
      </c>
      <c r="N309" t="str">
        <f t="shared" si="17"/>
        <v>Aug</v>
      </c>
      <c r="O309" t="str">
        <f t="shared" si="18"/>
        <v>High</v>
      </c>
      <c r="P309" s="7">
        <f t="shared" si="19"/>
        <v>7.9906251618583932E-2</v>
      </c>
    </row>
    <row r="310" spans="1:16" x14ac:dyDescent="0.3">
      <c r="A310" t="s">
        <v>412</v>
      </c>
      <c r="B310" s="2">
        <v>45877</v>
      </c>
      <c r="C310" t="s">
        <v>27</v>
      </c>
      <c r="D310" t="s">
        <v>21</v>
      </c>
      <c r="E310" t="s">
        <v>57</v>
      </c>
      <c r="F310" t="s">
        <v>23</v>
      </c>
      <c r="G310" t="s">
        <v>58</v>
      </c>
      <c r="H310" t="s">
        <v>78</v>
      </c>
      <c r="I310">
        <v>7</v>
      </c>
      <c r="J310" s="3">
        <v>0.2</v>
      </c>
      <c r="K310" s="4">
        <v>339572.8</v>
      </c>
      <c r="L310" s="4">
        <v>17254.38</v>
      </c>
      <c r="M310">
        <f t="shared" si="16"/>
        <v>2025</v>
      </c>
      <c r="N310" t="str">
        <f t="shared" si="17"/>
        <v>Aug</v>
      </c>
      <c r="O310" t="str">
        <f t="shared" si="18"/>
        <v>High</v>
      </c>
      <c r="P310" s="7">
        <f t="shared" si="19"/>
        <v>5.0812020279598372E-2</v>
      </c>
    </row>
    <row r="311" spans="1:16" x14ac:dyDescent="0.3">
      <c r="A311" t="s">
        <v>413</v>
      </c>
      <c r="B311" s="2">
        <v>45878</v>
      </c>
      <c r="C311" t="s">
        <v>66</v>
      </c>
      <c r="D311" t="s">
        <v>21</v>
      </c>
      <c r="E311" t="s">
        <v>57</v>
      </c>
      <c r="F311" t="s">
        <v>16</v>
      </c>
      <c r="G311" t="s">
        <v>68</v>
      </c>
      <c r="H311" t="s">
        <v>69</v>
      </c>
      <c r="I311">
        <v>5</v>
      </c>
      <c r="J311" s="3">
        <v>0.1</v>
      </c>
      <c r="K311" s="4">
        <v>43851.7</v>
      </c>
      <c r="L311" s="4">
        <v>5160.26</v>
      </c>
      <c r="M311">
        <f t="shared" si="16"/>
        <v>2025</v>
      </c>
      <c r="N311" t="str">
        <f t="shared" si="17"/>
        <v>Aug</v>
      </c>
      <c r="O311" t="str">
        <f t="shared" si="18"/>
        <v>High</v>
      </c>
      <c r="P311" s="7">
        <f t="shared" si="19"/>
        <v>0.11767525546330018</v>
      </c>
    </row>
    <row r="312" spans="1:16" x14ac:dyDescent="0.3">
      <c r="A312" t="s">
        <v>414</v>
      </c>
      <c r="B312" s="2">
        <v>45881</v>
      </c>
      <c r="C312" t="s">
        <v>179</v>
      </c>
      <c r="D312" t="s">
        <v>39</v>
      </c>
      <c r="E312" t="s">
        <v>40</v>
      </c>
      <c r="F312" t="s">
        <v>16</v>
      </c>
      <c r="G312" t="s">
        <v>17</v>
      </c>
      <c r="H312" t="s">
        <v>88</v>
      </c>
      <c r="I312">
        <v>6</v>
      </c>
      <c r="J312" s="3">
        <v>0.2</v>
      </c>
      <c r="K312" s="4">
        <v>40357.14</v>
      </c>
      <c r="L312" s="4">
        <v>3682.16</v>
      </c>
      <c r="M312">
        <f t="shared" si="16"/>
        <v>2025</v>
      </c>
      <c r="N312" t="str">
        <f t="shared" si="17"/>
        <v>Aug</v>
      </c>
      <c r="O312" t="str">
        <f t="shared" si="18"/>
        <v>High</v>
      </c>
      <c r="P312" s="7">
        <f t="shared" si="19"/>
        <v>9.1239369291282776E-2</v>
      </c>
    </row>
    <row r="313" spans="1:16" x14ac:dyDescent="0.3">
      <c r="A313" t="s">
        <v>415</v>
      </c>
      <c r="B313" s="2">
        <v>45883</v>
      </c>
      <c r="C313" t="s">
        <v>51</v>
      </c>
      <c r="D313" t="s">
        <v>39</v>
      </c>
      <c r="E313" t="s">
        <v>40</v>
      </c>
      <c r="F313" t="s">
        <v>16</v>
      </c>
      <c r="G313" t="s">
        <v>17</v>
      </c>
      <c r="H313" t="s">
        <v>18</v>
      </c>
      <c r="I313">
        <v>2</v>
      </c>
      <c r="J313" s="3">
        <v>0</v>
      </c>
      <c r="K313" s="4">
        <v>19618.86</v>
      </c>
      <c r="L313" s="4">
        <v>3406.73</v>
      </c>
      <c r="M313">
        <f t="shared" si="16"/>
        <v>2025</v>
      </c>
      <c r="N313" t="str">
        <f t="shared" si="17"/>
        <v>Aug</v>
      </c>
      <c r="O313" t="str">
        <f t="shared" si="18"/>
        <v>High</v>
      </c>
      <c r="P313" s="7">
        <f t="shared" si="19"/>
        <v>0.17364566544641227</v>
      </c>
    </row>
    <row r="314" spans="1:16" x14ac:dyDescent="0.3">
      <c r="A314" t="s">
        <v>416</v>
      </c>
      <c r="B314" s="2">
        <v>45885</v>
      </c>
      <c r="C314" t="s">
        <v>85</v>
      </c>
      <c r="D314" t="s">
        <v>33</v>
      </c>
      <c r="E314" t="s">
        <v>86</v>
      </c>
      <c r="F314" t="s">
        <v>28</v>
      </c>
      <c r="G314" t="s">
        <v>71</v>
      </c>
      <c r="H314" t="s">
        <v>72</v>
      </c>
      <c r="I314">
        <v>4</v>
      </c>
      <c r="J314" s="3">
        <v>0.2</v>
      </c>
      <c r="K314" s="4">
        <v>8186.84</v>
      </c>
      <c r="L314" s="4">
        <v>833.23</v>
      </c>
      <c r="M314">
        <f t="shared" si="16"/>
        <v>2025</v>
      </c>
      <c r="N314" t="str">
        <f t="shared" si="17"/>
        <v>Aug</v>
      </c>
      <c r="O314" t="str">
        <f t="shared" si="18"/>
        <v>High</v>
      </c>
      <c r="P314" s="7">
        <f t="shared" si="19"/>
        <v>0.10177675391237645</v>
      </c>
    </row>
    <row r="315" spans="1:16" x14ac:dyDescent="0.3">
      <c r="A315" t="s">
        <v>417</v>
      </c>
      <c r="B315" s="2">
        <v>45885</v>
      </c>
      <c r="C315" t="s">
        <v>100</v>
      </c>
      <c r="D315" t="s">
        <v>33</v>
      </c>
      <c r="E315" t="s">
        <v>34</v>
      </c>
      <c r="F315" t="s">
        <v>28</v>
      </c>
      <c r="G315" t="s">
        <v>29</v>
      </c>
      <c r="H315" t="s">
        <v>30</v>
      </c>
      <c r="I315">
        <v>4</v>
      </c>
      <c r="J315" s="3">
        <v>0.1</v>
      </c>
      <c r="K315" s="4">
        <v>15583.2</v>
      </c>
      <c r="L315" s="4">
        <v>1191.8499999999999</v>
      </c>
      <c r="M315">
        <f t="shared" si="16"/>
        <v>2025</v>
      </c>
      <c r="N315" t="str">
        <f t="shared" si="17"/>
        <v>Aug</v>
      </c>
      <c r="O315" t="str">
        <f t="shared" si="18"/>
        <v>High</v>
      </c>
      <c r="P315" s="7">
        <f t="shared" si="19"/>
        <v>7.6483007341239279E-2</v>
      </c>
    </row>
    <row r="316" spans="1:16" x14ac:dyDescent="0.3">
      <c r="A316" t="s">
        <v>418</v>
      </c>
      <c r="B316" s="2">
        <v>45886</v>
      </c>
      <c r="C316" t="s">
        <v>13</v>
      </c>
      <c r="D316" t="s">
        <v>21</v>
      </c>
      <c r="E316" t="s">
        <v>105</v>
      </c>
      <c r="F316" t="s">
        <v>23</v>
      </c>
      <c r="G316" t="s">
        <v>24</v>
      </c>
      <c r="H316" t="s">
        <v>25</v>
      </c>
      <c r="I316">
        <v>1</v>
      </c>
      <c r="J316" s="3">
        <v>0.2</v>
      </c>
      <c r="K316" s="4">
        <v>1170.69</v>
      </c>
      <c r="L316" s="4">
        <v>42.13</v>
      </c>
      <c r="M316">
        <f t="shared" si="16"/>
        <v>2025</v>
      </c>
      <c r="N316" t="str">
        <f t="shared" si="17"/>
        <v>Aug</v>
      </c>
      <c r="O316" t="str">
        <f t="shared" si="18"/>
        <v>High</v>
      </c>
      <c r="P316" s="7">
        <f t="shared" si="19"/>
        <v>3.5987323715074016E-2</v>
      </c>
    </row>
    <row r="317" spans="1:16" x14ac:dyDescent="0.3">
      <c r="A317" t="s">
        <v>419</v>
      </c>
      <c r="B317" s="2">
        <v>45886</v>
      </c>
      <c r="C317" t="s">
        <v>66</v>
      </c>
      <c r="D317" t="s">
        <v>33</v>
      </c>
      <c r="E317" t="s">
        <v>34</v>
      </c>
      <c r="F317" t="s">
        <v>23</v>
      </c>
      <c r="G317" t="s">
        <v>58</v>
      </c>
      <c r="H317" t="s">
        <v>78</v>
      </c>
      <c r="I317">
        <v>3</v>
      </c>
      <c r="J317" s="3">
        <v>0</v>
      </c>
      <c r="K317" s="4">
        <v>105042.69</v>
      </c>
      <c r="L317" s="4">
        <v>17744.509999999998</v>
      </c>
      <c r="M317">
        <f t="shared" si="16"/>
        <v>2025</v>
      </c>
      <c r="N317" t="str">
        <f t="shared" si="17"/>
        <v>Aug</v>
      </c>
      <c r="O317" t="str">
        <f t="shared" si="18"/>
        <v>High</v>
      </c>
      <c r="P317" s="7">
        <f t="shared" si="19"/>
        <v>0.1689266525828689</v>
      </c>
    </row>
    <row r="318" spans="1:16" x14ac:dyDescent="0.3">
      <c r="A318" t="s">
        <v>420</v>
      </c>
      <c r="B318" s="2">
        <v>45887</v>
      </c>
      <c r="C318" t="s">
        <v>95</v>
      </c>
      <c r="D318" t="s">
        <v>21</v>
      </c>
      <c r="E318" t="s">
        <v>22</v>
      </c>
      <c r="F318" t="s">
        <v>28</v>
      </c>
      <c r="G318" t="s">
        <v>29</v>
      </c>
      <c r="H318" t="s">
        <v>30</v>
      </c>
      <c r="I318">
        <v>4</v>
      </c>
      <c r="J318" s="3">
        <v>0.1</v>
      </c>
      <c r="K318" s="4">
        <v>1939.72</v>
      </c>
      <c r="L318" s="4">
        <v>282.77999999999997</v>
      </c>
      <c r="M318">
        <f t="shared" si="16"/>
        <v>2025</v>
      </c>
      <c r="N318" t="str">
        <f t="shared" si="17"/>
        <v>Aug</v>
      </c>
      <c r="O318" t="str">
        <f t="shared" si="18"/>
        <v>High</v>
      </c>
      <c r="P318" s="7">
        <f t="shared" si="19"/>
        <v>0.14578392757717606</v>
      </c>
    </row>
    <row r="319" spans="1:16" x14ac:dyDescent="0.3">
      <c r="A319" t="s">
        <v>421</v>
      </c>
      <c r="B319" s="2">
        <v>45887</v>
      </c>
      <c r="C319" t="s">
        <v>143</v>
      </c>
      <c r="D319" t="s">
        <v>39</v>
      </c>
      <c r="E319" t="s">
        <v>47</v>
      </c>
      <c r="F319" t="s">
        <v>28</v>
      </c>
      <c r="G319" t="s">
        <v>74</v>
      </c>
      <c r="H319" t="s">
        <v>75</v>
      </c>
      <c r="I319">
        <v>4</v>
      </c>
      <c r="J319" s="3">
        <v>0</v>
      </c>
      <c r="K319" s="4">
        <v>9316.4</v>
      </c>
      <c r="L319" s="4">
        <v>1570.93</v>
      </c>
      <c r="M319">
        <f t="shared" si="16"/>
        <v>2025</v>
      </c>
      <c r="N319" t="str">
        <f t="shared" si="17"/>
        <v>Aug</v>
      </c>
      <c r="O319" t="str">
        <f t="shared" si="18"/>
        <v>High</v>
      </c>
      <c r="P319" s="7">
        <f t="shared" si="19"/>
        <v>0.16861985316216566</v>
      </c>
    </row>
    <row r="320" spans="1:16" x14ac:dyDescent="0.3">
      <c r="A320" t="s">
        <v>422</v>
      </c>
      <c r="B320" s="2">
        <v>45888</v>
      </c>
      <c r="C320" t="s">
        <v>27</v>
      </c>
      <c r="D320" t="s">
        <v>14</v>
      </c>
      <c r="E320" t="s">
        <v>114</v>
      </c>
      <c r="F320" t="s">
        <v>28</v>
      </c>
      <c r="G320" t="s">
        <v>71</v>
      </c>
      <c r="H320" t="s">
        <v>72</v>
      </c>
      <c r="I320">
        <v>4</v>
      </c>
      <c r="J320" s="3">
        <v>0.15</v>
      </c>
      <c r="K320" s="4">
        <v>17316.84</v>
      </c>
      <c r="L320" s="4">
        <v>1450.33</v>
      </c>
      <c r="M320">
        <f t="shared" si="16"/>
        <v>2025</v>
      </c>
      <c r="N320" t="str">
        <f t="shared" si="17"/>
        <v>Aug</v>
      </c>
      <c r="O320" t="str">
        <f t="shared" si="18"/>
        <v>High</v>
      </c>
      <c r="P320" s="7">
        <f t="shared" si="19"/>
        <v>8.3752578414999501E-2</v>
      </c>
    </row>
    <row r="321" spans="1:16" x14ac:dyDescent="0.3">
      <c r="A321" t="s">
        <v>423</v>
      </c>
      <c r="B321" s="2">
        <v>45888</v>
      </c>
      <c r="C321" t="s">
        <v>229</v>
      </c>
      <c r="D321" t="s">
        <v>14</v>
      </c>
      <c r="E321" t="s">
        <v>97</v>
      </c>
      <c r="F321" t="s">
        <v>23</v>
      </c>
      <c r="G321" t="s">
        <v>35</v>
      </c>
      <c r="H321" t="s">
        <v>36</v>
      </c>
      <c r="I321">
        <v>7</v>
      </c>
      <c r="J321" s="3">
        <v>0.2</v>
      </c>
      <c r="K321" s="4">
        <v>278397.07</v>
      </c>
      <c r="L321" s="4">
        <v>19549.09</v>
      </c>
      <c r="M321">
        <f t="shared" si="16"/>
        <v>2025</v>
      </c>
      <c r="N321" t="str">
        <f t="shared" si="17"/>
        <v>Aug</v>
      </c>
      <c r="O321" t="str">
        <f t="shared" si="18"/>
        <v>High</v>
      </c>
      <c r="P321" s="7">
        <f t="shared" si="19"/>
        <v>7.0220171498212969E-2</v>
      </c>
    </row>
    <row r="322" spans="1:16" x14ac:dyDescent="0.3">
      <c r="A322" t="s">
        <v>424</v>
      </c>
      <c r="B322" s="2">
        <v>45889</v>
      </c>
      <c r="C322" t="s">
        <v>147</v>
      </c>
      <c r="D322" t="s">
        <v>33</v>
      </c>
      <c r="E322" t="s">
        <v>140</v>
      </c>
      <c r="F322" t="s">
        <v>28</v>
      </c>
      <c r="G322" t="s">
        <v>29</v>
      </c>
      <c r="H322" t="s">
        <v>98</v>
      </c>
      <c r="I322">
        <v>4</v>
      </c>
      <c r="J322" s="3">
        <v>0.05</v>
      </c>
      <c r="K322" s="4">
        <v>12889.16</v>
      </c>
      <c r="L322" s="4">
        <v>1652.12</v>
      </c>
      <c r="M322">
        <f t="shared" si="16"/>
        <v>2025</v>
      </c>
      <c r="N322" t="str">
        <f t="shared" si="17"/>
        <v>Aug</v>
      </c>
      <c r="O322" t="str">
        <f t="shared" si="18"/>
        <v>High</v>
      </c>
      <c r="P322" s="7">
        <f t="shared" si="19"/>
        <v>0.12817902795837743</v>
      </c>
    </row>
    <row r="323" spans="1:16" x14ac:dyDescent="0.3">
      <c r="A323" t="s">
        <v>425</v>
      </c>
      <c r="B323" s="2">
        <v>45889</v>
      </c>
      <c r="C323" t="s">
        <v>32</v>
      </c>
      <c r="D323" t="s">
        <v>14</v>
      </c>
      <c r="E323" t="s">
        <v>15</v>
      </c>
      <c r="F323" t="s">
        <v>23</v>
      </c>
      <c r="G323" t="s">
        <v>35</v>
      </c>
      <c r="H323" t="s">
        <v>36</v>
      </c>
      <c r="I323">
        <v>1</v>
      </c>
      <c r="J323" s="3">
        <v>0.2</v>
      </c>
      <c r="K323" s="4">
        <v>31012.799999999999</v>
      </c>
      <c r="L323" s="4">
        <v>2732.41</v>
      </c>
      <c r="M323">
        <f t="shared" ref="M323:M386" si="20">YEAR(B323)</f>
        <v>2025</v>
      </c>
      <c r="N323" t="str">
        <f t="shared" ref="N323:N386" si="21">TEXT(B323,"mmm")</f>
        <v>Aug</v>
      </c>
      <c r="O323" t="str">
        <f t="shared" ref="O323:O386" si="22">IF(K323&gt;=1000,"High",IF(K323&gt;=500,"Medium","Low"))</f>
        <v>High</v>
      </c>
      <c r="P323" s="7">
        <f t="shared" ref="P323:P386" si="23">IFERROR(L323/K323,0)</f>
        <v>8.8105878862921108E-2</v>
      </c>
    </row>
    <row r="324" spans="1:16" x14ac:dyDescent="0.3">
      <c r="A324" t="s">
        <v>426</v>
      </c>
      <c r="B324" s="2">
        <v>45889</v>
      </c>
      <c r="C324" t="s">
        <v>77</v>
      </c>
      <c r="D324" t="s">
        <v>21</v>
      </c>
      <c r="E324" t="s">
        <v>22</v>
      </c>
      <c r="F324" t="s">
        <v>16</v>
      </c>
      <c r="G324" t="s">
        <v>68</v>
      </c>
      <c r="H324" t="s">
        <v>175</v>
      </c>
      <c r="I324">
        <v>4</v>
      </c>
      <c r="J324" s="3">
        <v>0</v>
      </c>
      <c r="K324" s="4">
        <v>7203.04</v>
      </c>
      <c r="L324" s="4">
        <v>1420.58</v>
      </c>
      <c r="M324">
        <f t="shared" si="20"/>
        <v>2025</v>
      </c>
      <c r="N324" t="str">
        <f t="shared" si="21"/>
        <v>Aug</v>
      </c>
      <c r="O324" t="str">
        <f t="shared" si="22"/>
        <v>High</v>
      </c>
      <c r="P324" s="7">
        <f t="shared" si="23"/>
        <v>0.1972195073191319</v>
      </c>
    </row>
    <row r="325" spans="1:16" x14ac:dyDescent="0.3">
      <c r="A325" t="s">
        <v>427</v>
      </c>
      <c r="B325" s="2">
        <v>45890</v>
      </c>
      <c r="C325" t="s">
        <v>20</v>
      </c>
      <c r="D325" t="s">
        <v>39</v>
      </c>
      <c r="E325" t="s">
        <v>40</v>
      </c>
      <c r="F325" t="s">
        <v>23</v>
      </c>
      <c r="G325" t="s">
        <v>35</v>
      </c>
      <c r="H325" t="s">
        <v>155</v>
      </c>
      <c r="I325">
        <v>4</v>
      </c>
      <c r="J325" s="3">
        <v>0.15</v>
      </c>
      <c r="K325" s="4">
        <v>73045.36</v>
      </c>
      <c r="L325" s="4">
        <v>13806.34</v>
      </c>
      <c r="M325">
        <f t="shared" si="20"/>
        <v>2025</v>
      </c>
      <c r="N325" t="str">
        <f t="shared" si="21"/>
        <v>Aug</v>
      </c>
      <c r="O325" t="str">
        <f t="shared" si="22"/>
        <v>High</v>
      </c>
      <c r="P325" s="7">
        <f t="shared" si="23"/>
        <v>0.18901049977712478</v>
      </c>
    </row>
    <row r="326" spans="1:16" x14ac:dyDescent="0.3">
      <c r="A326" t="s">
        <v>428</v>
      </c>
      <c r="B326" s="2">
        <v>45893</v>
      </c>
      <c r="C326" t="s">
        <v>13</v>
      </c>
      <c r="D326" t="s">
        <v>33</v>
      </c>
      <c r="E326" t="s">
        <v>140</v>
      </c>
      <c r="F326" t="s">
        <v>23</v>
      </c>
      <c r="G326" t="s">
        <v>48</v>
      </c>
      <c r="H326" t="s">
        <v>49</v>
      </c>
      <c r="I326">
        <v>1</v>
      </c>
      <c r="J326" s="3">
        <v>0.05</v>
      </c>
      <c r="K326" s="4">
        <v>26618.91</v>
      </c>
      <c r="L326" s="4">
        <v>1874.85</v>
      </c>
      <c r="M326">
        <f t="shared" si="20"/>
        <v>2025</v>
      </c>
      <c r="N326" t="str">
        <f t="shared" si="21"/>
        <v>Aug</v>
      </c>
      <c r="O326" t="str">
        <f t="shared" si="22"/>
        <v>High</v>
      </c>
      <c r="P326" s="7">
        <f t="shared" si="23"/>
        <v>7.0433011719863811E-2</v>
      </c>
    </row>
    <row r="327" spans="1:16" x14ac:dyDescent="0.3">
      <c r="A327" t="s">
        <v>429</v>
      </c>
      <c r="B327" s="2">
        <v>45894</v>
      </c>
      <c r="C327" t="s">
        <v>147</v>
      </c>
      <c r="D327" t="s">
        <v>39</v>
      </c>
      <c r="E327" t="s">
        <v>128</v>
      </c>
      <c r="F327" t="s">
        <v>16</v>
      </c>
      <c r="G327" t="s">
        <v>68</v>
      </c>
      <c r="H327" t="s">
        <v>69</v>
      </c>
      <c r="I327">
        <v>1</v>
      </c>
      <c r="J327" s="3">
        <v>0.2</v>
      </c>
      <c r="K327" s="4">
        <v>11480.95</v>
      </c>
      <c r="L327" s="4">
        <v>1308.74</v>
      </c>
      <c r="M327">
        <f t="shared" si="20"/>
        <v>2025</v>
      </c>
      <c r="N327" t="str">
        <f t="shared" si="21"/>
        <v>Aug</v>
      </c>
      <c r="O327" t="str">
        <f t="shared" si="22"/>
        <v>High</v>
      </c>
      <c r="P327" s="7">
        <f t="shared" si="23"/>
        <v>0.11399230899881978</v>
      </c>
    </row>
    <row r="328" spans="1:16" x14ac:dyDescent="0.3">
      <c r="A328" t="s">
        <v>430</v>
      </c>
      <c r="B328" s="2">
        <v>45894</v>
      </c>
      <c r="C328" t="s">
        <v>147</v>
      </c>
      <c r="D328" t="s">
        <v>39</v>
      </c>
      <c r="E328" t="s">
        <v>40</v>
      </c>
      <c r="F328" t="s">
        <v>28</v>
      </c>
      <c r="G328" t="s">
        <v>92</v>
      </c>
      <c r="H328" t="s">
        <v>93</v>
      </c>
      <c r="I328">
        <v>7</v>
      </c>
      <c r="J328" s="3">
        <v>0.1</v>
      </c>
      <c r="K328" s="4">
        <v>13100.85</v>
      </c>
      <c r="L328" s="4">
        <v>2773.41</v>
      </c>
      <c r="M328">
        <f t="shared" si="20"/>
        <v>2025</v>
      </c>
      <c r="N328" t="str">
        <f t="shared" si="21"/>
        <v>Aug</v>
      </c>
      <c r="O328" t="str">
        <f t="shared" si="22"/>
        <v>High</v>
      </c>
      <c r="P328" s="7">
        <f t="shared" si="23"/>
        <v>0.21169695096119714</v>
      </c>
    </row>
    <row r="329" spans="1:16" x14ac:dyDescent="0.3">
      <c r="A329" t="s">
        <v>431</v>
      </c>
      <c r="B329" s="2">
        <v>45895</v>
      </c>
      <c r="C329" t="s">
        <v>100</v>
      </c>
      <c r="D329" t="s">
        <v>39</v>
      </c>
      <c r="E329" t="s">
        <v>52</v>
      </c>
      <c r="F329" t="s">
        <v>16</v>
      </c>
      <c r="G329" t="s">
        <v>41</v>
      </c>
      <c r="H329" t="s">
        <v>177</v>
      </c>
      <c r="I329">
        <v>7</v>
      </c>
      <c r="J329" s="3">
        <v>0.05</v>
      </c>
      <c r="K329" s="4">
        <v>5953.01</v>
      </c>
      <c r="L329" s="4">
        <v>824.85</v>
      </c>
      <c r="M329">
        <f t="shared" si="20"/>
        <v>2025</v>
      </c>
      <c r="N329" t="str">
        <f t="shared" si="21"/>
        <v>Aug</v>
      </c>
      <c r="O329" t="str">
        <f t="shared" si="22"/>
        <v>High</v>
      </c>
      <c r="P329" s="7">
        <f t="shared" si="23"/>
        <v>0.1385601569626122</v>
      </c>
    </row>
    <row r="330" spans="1:16" x14ac:dyDescent="0.3">
      <c r="A330" t="s">
        <v>432</v>
      </c>
      <c r="B330" s="2">
        <v>45896</v>
      </c>
      <c r="C330" t="s">
        <v>66</v>
      </c>
      <c r="D330" t="s">
        <v>39</v>
      </c>
      <c r="E330" t="s">
        <v>128</v>
      </c>
      <c r="F330" t="s">
        <v>23</v>
      </c>
      <c r="G330" t="s">
        <v>58</v>
      </c>
      <c r="H330" t="s">
        <v>101</v>
      </c>
      <c r="I330">
        <v>7</v>
      </c>
      <c r="J330" s="3">
        <v>0</v>
      </c>
      <c r="K330" s="4">
        <v>334862.64</v>
      </c>
      <c r="L330" s="4">
        <v>30174.53</v>
      </c>
      <c r="M330">
        <f t="shared" si="20"/>
        <v>2025</v>
      </c>
      <c r="N330" t="str">
        <f t="shared" si="21"/>
        <v>Aug</v>
      </c>
      <c r="O330" t="str">
        <f t="shared" si="22"/>
        <v>High</v>
      </c>
      <c r="P330" s="7">
        <f t="shared" si="23"/>
        <v>9.0110171740866635E-2</v>
      </c>
    </row>
    <row r="331" spans="1:16" x14ac:dyDescent="0.3">
      <c r="A331" t="s">
        <v>433</v>
      </c>
      <c r="B331" s="2">
        <v>45896</v>
      </c>
      <c r="C331" t="s">
        <v>66</v>
      </c>
      <c r="D331" t="s">
        <v>33</v>
      </c>
      <c r="E331" t="s">
        <v>86</v>
      </c>
      <c r="F331" t="s">
        <v>23</v>
      </c>
      <c r="G331" t="s">
        <v>48</v>
      </c>
      <c r="H331" t="s">
        <v>49</v>
      </c>
      <c r="I331">
        <v>3</v>
      </c>
      <c r="J331" s="3">
        <v>0.15</v>
      </c>
      <c r="K331" s="4">
        <v>6703.32</v>
      </c>
      <c r="L331" s="4">
        <v>662.03</v>
      </c>
      <c r="M331">
        <f t="shared" si="20"/>
        <v>2025</v>
      </c>
      <c r="N331" t="str">
        <f t="shared" si="21"/>
        <v>Aug</v>
      </c>
      <c r="O331" t="str">
        <f t="shared" si="22"/>
        <v>High</v>
      </c>
      <c r="P331" s="7">
        <f t="shared" si="23"/>
        <v>9.8761509222295818E-2</v>
      </c>
    </row>
    <row r="332" spans="1:16" x14ac:dyDescent="0.3">
      <c r="A332" t="s">
        <v>434</v>
      </c>
      <c r="B332" s="2">
        <v>45896</v>
      </c>
      <c r="C332" t="s">
        <v>85</v>
      </c>
      <c r="D332" t="s">
        <v>39</v>
      </c>
      <c r="E332" t="s">
        <v>47</v>
      </c>
      <c r="F332" t="s">
        <v>28</v>
      </c>
      <c r="G332" t="s">
        <v>29</v>
      </c>
      <c r="H332" t="s">
        <v>30</v>
      </c>
      <c r="I332">
        <v>1</v>
      </c>
      <c r="J332" s="3">
        <v>0.2</v>
      </c>
      <c r="K332" s="4">
        <v>2528.9499999999998</v>
      </c>
      <c r="L332" s="4">
        <v>170.26</v>
      </c>
      <c r="M332">
        <f t="shared" si="20"/>
        <v>2025</v>
      </c>
      <c r="N332" t="str">
        <f t="shared" si="21"/>
        <v>Aug</v>
      </c>
      <c r="O332" t="str">
        <f t="shared" si="22"/>
        <v>High</v>
      </c>
      <c r="P332" s="7">
        <f t="shared" si="23"/>
        <v>6.7324383637478002E-2</v>
      </c>
    </row>
    <row r="333" spans="1:16" x14ac:dyDescent="0.3">
      <c r="A333" t="s">
        <v>435</v>
      </c>
      <c r="B333" s="2">
        <v>45897</v>
      </c>
      <c r="C333" t="s">
        <v>143</v>
      </c>
      <c r="D333" t="s">
        <v>14</v>
      </c>
      <c r="E333" t="s">
        <v>54</v>
      </c>
      <c r="F333" t="s">
        <v>23</v>
      </c>
      <c r="G333" t="s">
        <v>24</v>
      </c>
      <c r="H333" t="s">
        <v>129</v>
      </c>
      <c r="I333">
        <v>5</v>
      </c>
      <c r="J333" s="3">
        <v>0.15</v>
      </c>
      <c r="K333" s="4">
        <v>180733.6</v>
      </c>
      <c r="L333" s="4">
        <v>30201.25</v>
      </c>
      <c r="M333">
        <f t="shared" si="20"/>
        <v>2025</v>
      </c>
      <c r="N333" t="str">
        <f t="shared" si="21"/>
        <v>Aug</v>
      </c>
      <c r="O333" t="str">
        <f t="shared" si="22"/>
        <v>High</v>
      </c>
      <c r="P333" s="7">
        <f t="shared" si="23"/>
        <v>0.16710368188316949</v>
      </c>
    </row>
    <row r="334" spans="1:16" x14ac:dyDescent="0.3">
      <c r="A334" t="s">
        <v>436</v>
      </c>
      <c r="B334" s="2">
        <v>45898</v>
      </c>
      <c r="C334" t="s">
        <v>32</v>
      </c>
      <c r="D334" t="s">
        <v>21</v>
      </c>
      <c r="E334" t="s">
        <v>22</v>
      </c>
      <c r="F334" t="s">
        <v>16</v>
      </c>
      <c r="G334" t="s">
        <v>17</v>
      </c>
      <c r="H334" t="s">
        <v>153</v>
      </c>
      <c r="I334">
        <v>6</v>
      </c>
      <c r="J334" s="3">
        <v>0</v>
      </c>
      <c r="K334" s="4">
        <v>58253.1</v>
      </c>
      <c r="L334" s="4">
        <v>9792.59</v>
      </c>
      <c r="M334">
        <f t="shared" si="20"/>
        <v>2025</v>
      </c>
      <c r="N334" t="str">
        <f t="shared" si="21"/>
        <v>Aug</v>
      </c>
      <c r="O334" t="str">
        <f t="shared" si="22"/>
        <v>High</v>
      </c>
      <c r="P334" s="7">
        <f t="shared" si="23"/>
        <v>0.1681041867299766</v>
      </c>
    </row>
    <row r="335" spans="1:16" x14ac:dyDescent="0.3">
      <c r="A335" t="s">
        <v>437</v>
      </c>
      <c r="B335" s="2">
        <v>45899</v>
      </c>
      <c r="C335" t="s">
        <v>104</v>
      </c>
      <c r="D335" t="s">
        <v>39</v>
      </c>
      <c r="E335" t="s">
        <v>128</v>
      </c>
      <c r="F335" t="s">
        <v>28</v>
      </c>
      <c r="G335" t="s">
        <v>71</v>
      </c>
      <c r="H335" t="s">
        <v>121</v>
      </c>
      <c r="I335">
        <v>7</v>
      </c>
      <c r="J335" s="3">
        <v>0.15</v>
      </c>
      <c r="K335" s="4">
        <v>8768.5499999999993</v>
      </c>
      <c r="L335" s="4">
        <v>1527.27</v>
      </c>
      <c r="M335">
        <f t="shared" si="20"/>
        <v>2025</v>
      </c>
      <c r="N335" t="str">
        <f t="shared" si="21"/>
        <v>Aug</v>
      </c>
      <c r="O335" t="str">
        <f t="shared" si="22"/>
        <v>High</v>
      </c>
      <c r="P335" s="7">
        <f t="shared" si="23"/>
        <v>0.17417588997040562</v>
      </c>
    </row>
    <row r="336" spans="1:16" x14ac:dyDescent="0.3">
      <c r="A336" t="s">
        <v>438</v>
      </c>
      <c r="B336" s="2">
        <v>45900</v>
      </c>
      <c r="C336" t="s">
        <v>38</v>
      </c>
      <c r="D336" t="s">
        <v>33</v>
      </c>
      <c r="E336" t="s">
        <v>34</v>
      </c>
      <c r="F336" t="s">
        <v>28</v>
      </c>
      <c r="G336" t="s">
        <v>71</v>
      </c>
      <c r="H336" t="s">
        <v>72</v>
      </c>
      <c r="I336">
        <v>4</v>
      </c>
      <c r="J336" s="3">
        <v>0.2</v>
      </c>
      <c r="K336" s="4">
        <v>18622.080000000002</v>
      </c>
      <c r="L336" s="4">
        <v>1122.1199999999999</v>
      </c>
      <c r="M336">
        <f t="shared" si="20"/>
        <v>2025</v>
      </c>
      <c r="N336" t="str">
        <f t="shared" si="21"/>
        <v>Aug</v>
      </c>
      <c r="O336" t="str">
        <f t="shared" si="22"/>
        <v>High</v>
      </c>
      <c r="P336" s="7">
        <f t="shared" si="23"/>
        <v>6.0257500773275581E-2</v>
      </c>
    </row>
    <row r="337" spans="1:16" x14ac:dyDescent="0.3">
      <c r="A337" t="s">
        <v>439</v>
      </c>
      <c r="B337" s="2">
        <v>45900</v>
      </c>
      <c r="C337" t="s">
        <v>20</v>
      </c>
      <c r="D337" t="s">
        <v>14</v>
      </c>
      <c r="E337" t="s">
        <v>114</v>
      </c>
      <c r="F337" t="s">
        <v>23</v>
      </c>
      <c r="G337" t="s">
        <v>24</v>
      </c>
      <c r="H337" t="s">
        <v>129</v>
      </c>
      <c r="I337">
        <v>7</v>
      </c>
      <c r="J337" s="3">
        <v>0.2</v>
      </c>
      <c r="K337" s="4">
        <v>167530.85999999999</v>
      </c>
      <c r="L337" s="4">
        <v>6862.07</v>
      </c>
      <c r="M337">
        <f t="shared" si="20"/>
        <v>2025</v>
      </c>
      <c r="N337" t="str">
        <f t="shared" si="21"/>
        <v>Aug</v>
      </c>
      <c r="O337" t="str">
        <f t="shared" si="22"/>
        <v>High</v>
      </c>
      <c r="P337" s="7">
        <f t="shared" si="23"/>
        <v>4.0960035661489473E-2</v>
      </c>
    </row>
    <row r="338" spans="1:16" x14ac:dyDescent="0.3">
      <c r="A338" t="s">
        <v>440</v>
      </c>
      <c r="B338" s="2">
        <v>45903</v>
      </c>
      <c r="C338" t="s">
        <v>56</v>
      </c>
      <c r="D338" t="s">
        <v>14</v>
      </c>
      <c r="E338" t="s">
        <v>54</v>
      </c>
      <c r="F338" t="s">
        <v>28</v>
      </c>
      <c r="G338" t="s">
        <v>71</v>
      </c>
      <c r="H338" t="s">
        <v>72</v>
      </c>
      <c r="I338">
        <v>7</v>
      </c>
      <c r="J338" s="3">
        <v>0</v>
      </c>
      <c r="K338" s="4">
        <v>25789.96</v>
      </c>
      <c r="L338" s="4">
        <v>3435.7</v>
      </c>
      <c r="M338">
        <f t="shared" si="20"/>
        <v>2025</v>
      </c>
      <c r="N338" t="str">
        <f t="shared" si="21"/>
        <v>Sep</v>
      </c>
      <c r="O338" t="str">
        <f t="shared" si="22"/>
        <v>High</v>
      </c>
      <c r="P338" s="7">
        <f t="shared" si="23"/>
        <v>0.13321850828772128</v>
      </c>
    </row>
    <row r="339" spans="1:16" x14ac:dyDescent="0.3">
      <c r="A339" t="s">
        <v>441</v>
      </c>
      <c r="B339" s="2">
        <v>45905</v>
      </c>
      <c r="C339" t="s">
        <v>32</v>
      </c>
      <c r="D339" t="s">
        <v>21</v>
      </c>
      <c r="E339" t="s">
        <v>67</v>
      </c>
      <c r="F339" t="s">
        <v>28</v>
      </c>
      <c r="G339" t="s">
        <v>71</v>
      </c>
      <c r="H339" t="s">
        <v>121</v>
      </c>
      <c r="I339">
        <v>4</v>
      </c>
      <c r="J339" s="3">
        <v>0.15</v>
      </c>
      <c r="K339" s="4">
        <v>10958.56</v>
      </c>
      <c r="L339" s="4">
        <v>1788.64</v>
      </c>
      <c r="M339">
        <f t="shared" si="20"/>
        <v>2025</v>
      </c>
      <c r="N339" t="str">
        <f t="shared" si="21"/>
        <v>Sep</v>
      </c>
      <c r="O339" t="str">
        <f t="shared" si="22"/>
        <v>High</v>
      </c>
      <c r="P339" s="7">
        <f t="shared" si="23"/>
        <v>0.16321852506168696</v>
      </c>
    </row>
    <row r="340" spans="1:16" x14ac:dyDescent="0.3">
      <c r="A340" t="s">
        <v>442</v>
      </c>
      <c r="B340" s="2">
        <v>45906</v>
      </c>
      <c r="C340" t="s">
        <v>66</v>
      </c>
      <c r="D340" t="s">
        <v>39</v>
      </c>
      <c r="E340" t="s">
        <v>47</v>
      </c>
      <c r="F340" t="s">
        <v>16</v>
      </c>
      <c r="G340" t="s">
        <v>17</v>
      </c>
      <c r="H340" t="s">
        <v>88</v>
      </c>
      <c r="I340">
        <v>2</v>
      </c>
      <c r="J340" s="3">
        <v>0.1</v>
      </c>
      <c r="K340" s="4">
        <v>10739.84</v>
      </c>
      <c r="L340" s="4">
        <v>2291.73</v>
      </c>
      <c r="M340">
        <f t="shared" si="20"/>
        <v>2025</v>
      </c>
      <c r="N340" t="str">
        <f t="shared" si="21"/>
        <v>Sep</v>
      </c>
      <c r="O340" t="str">
        <f t="shared" si="22"/>
        <v>High</v>
      </c>
      <c r="P340" s="7">
        <f t="shared" si="23"/>
        <v>0.21338586049699065</v>
      </c>
    </row>
    <row r="341" spans="1:16" x14ac:dyDescent="0.3">
      <c r="A341" t="s">
        <v>443</v>
      </c>
      <c r="B341" s="2">
        <v>45908</v>
      </c>
      <c r="C341" t="s">
        <v>13</v>
      </c>
      <c r="D341" t="s">
        <v>33</v>
      </c>
      <c r="E341" t="s">
        <v>86</v>
      </c>
      <c r="F341" t="s">
        <v>28</v>
      </c>
      <c r="G341" t="s">
        <v>29</v>
      </c>
      <c r="H341" t="s">
        <v>98</v>
      </c>
      <c r="I341">
        <v>1</v>
      </c>
      <c r="J341" s="3">
        <v>0.2</v>
      </c>
      <c r="K341" s="4">
        <v>756.67</v>
      </c>
      <c r="L341" s="4">
        <v>87.36</v>
      </c>
      <c r="M341">
        <f t="shared" si="20"/>
        <v>2025</v>
      </c>
      <c r="N341" t="str">
        <f t="shared" si="21"/>
        <v>Sep</v>
      </c>
      <c r="O341" t="str">
        <f t="shared" si="22"/>
        <v>Medium</v>
      </c>
      <c r="P341" s="7">
        <f t="shared" si="23"/>
        <v>0.11545323588882869</v>
      </c>
    </row>
    <row r="342" spans="1:16" x14ac:dyDescent="0.3">
      <c r="A342" t="s">
        <v>444</v>
      </c>
      <c r="B342" s="2">
        <v>45908</v>
      </c>
      <c r="C342" t="s">
        <v>32</v>
      </c>
      <c r="D342" t="s">
        <v>33</v>
      </c>
      <c r="E342" t="s">
        <v>140</v>
      </c>
      <c r="F342" t="s">
        <v>23</v>
      </c>
      <c r="G342" t="s">
        <v>58</v>
      </c>
      <c r="H342" t="s">
        <v>90</v>
      </c>
      <c r="I342">
        <v>7</v>
      </c>
      <c r="J342" s="3">
        <v>0.1</v>
      </c>
      <c r="K342" s="4">
        <v>310607.43</v>
      </c>
      <c r="L342" s="4">
        <v>50339.33</v>
      </c>
      <c r="M342">
        <f t="shared" si="20"/>
        <v>2025</v>
      </c>
      <c r="N342" t="str">
        <f t="shared" si="21"/>
        <v>Sep</v>
      </c>
      <c r="O342" t="str">
        <f t="shared" si="22"/>
        <v>High</v>
      </c>
      <c r="P342" s="7">
        <f t="shared" si="23"/>
        <v>0.16206737230979956</v>
      </c>
    </row>
    <row r="343" spans="1:16" x14ac:dyDescent="0.3">
      <c r="A343" t="s">
        <v>445</v>
      </c>
      <c r="B343" s="2">
        <v>45908</v>
      </c>
      <c r="C343" t="s">
        <v>20</v>
      </c>
      <c r="D343" t="s">
        <v>39</v>
      </c>
      <c r="E343" t="s">
        <v>47</v>
      </c>
      <c r="F343" t="s">
        <v>23</v>
      </c>
      <c r="G343" t="s">
        <v>58</v>
      </c>
      <c r="H343" t="s">
        <v>78</v>
      </c>
      <c r="I343">
        <v>6</v>
      </c>
      <c r="J343" s="3">
        <v>0.15</v>
      </c>
      <c r="K343" s="4">
        <v>56869.440000000002</v>
      </c>
      <c r="L343" s="4">
        <v>5614</v>
      </c>
      <c r="M343">
        <f t="shared" si="20"/>
        <v>2025</v>
      </c>
      <c r="N343" t="str">
        <f t="shared" si="21"/>
        <v>Sep</v>
      </c>
      <c r="O343" t="str">
        <f t="shared" si="22"/>
        <v>High</v>
      </c>
      <c r="P343" s="7">
        <f t="shared" si="23"/>
        <v>9.8717342741549766E-2</v>
      </c>
    </row>
    <row r="344" spans="1:16" x14ac:dyDescent="0.3">
      <c r="A344" t="s">
        <v>446</v>
      </c>
      <c r="B344" s="2">
        <v>45909</v>
      </c>
      <c r="C344" t="s">
        <v>66</v>
      </c>
      <c r="D344" t="s">
        <v>39</v>
      </c>
      <c r="E344" t="s">
        <v>128</v>
      </c>
      <c r="F344" t="s">
        <v>23</v>
      </c>
      <c r="G344" t="s">
        <v>58</v>
      </c>
      <c r="H344" t="s">
        <v>78</v>
      </c>
      <c r="I344">
        <v>3</v>
      </c>
      <c r="J344" s="3">
        <v>0.1</v>
      </c>
      <c r="K344" s="4">
        <v>107365.68</v>
      </c>
      <c r="L344" s="4">
        <v>11195.36</v>
      </c>
      <c r="M344">
        <f t="shared" si="20"/>
        <v>2025</v>
      </c>
      <c r="N344" t="str">
        <f t="shared" si="21"/>
        <v>Sep</v>
      </c>
      <c r="O344" t="str">
        <f t="shared" si="22"/>
        <v>High</v>
      </c>
      <c r="P344" s="7">
        <f t="shared" si="23"/>
        <v>0.1042731718366614</v>
      </c>
    </row>
    <row r="345" spans="1:16" x14ac:dyDescent="0.3">
      <c r="A345" t="s">
        <v>447</v>
      </c>
      <c r="B345" s="2">
        <v>45909</v>
      </c>
      <c r="C345" t="s">
        <v>179</v>
      </c>
      <c r="D345" t="s">
        <v>39</v>
      </c>
      <c r="E345" t="s">
        <v>40</v>
      </c>
      <c r="F345" t="s">
        <v>28</v>
      </c>
      <c r="G345" t="s">
        <v>71</v>
      </c>
      <c r="H345" t="s">
        <v>72</v>
      </c>
      <c r="I345">
        <v>2</v>
      </c>
      <c r="J345" s="3">
        <v>0.15</v>
      </c>
      <c r="K345" s="4">
        <v>9825.24</v>
      </c>
      <c r="L345" s="4">
        <v>1154.8599999999999</v>
      </c>
      <c r="M345">
        <f t="shared" si="20"/>
        <v>2025</v>
      </c>
      <c r="N345" t="str">
        <f t="shared" si="21"/>
        <v>Sep</v>
      </c>
      <c r="O345" t="str">
        <f t="shared" si="22"/>
        <v>High</v>
      </c>
      <c r="P345" s="7">
        <f t="shared" si="23"/>
        <v>0.1175401313352142</v>
      </c>
    </row>
    <row r="346" spans="1:16" x14ac:dyDescent="0.3">
      <c r="A346" t="s">
        <v>448</v>
      </c>
      <c r="B346" s="2">
        <v>45909</v>
      </c>
      <c r="C346" t="s">
        <v>100</v>
      </c>
      <c r="D346" t="s">
        <v>14</v>
      </c>
      <c r="E346" t="s">
        <v>54</v>
      </c>
      <c r="F346" t="s">
        <v>23</v>
      </c>
      <c r="G346" t="s">
        <v>24</v>
      </c>
      <c r="H346" t="s">
        <v>129</v>
      </c>
      <c r="I346">
        <v>3</v>
      </c>
      <c r="J346" s="3">
        <v>0</v>
      </c>
      <c r="K346" s="4">
        <v>100829.52</v>
      </c>
      <c r="L346" s="4">
        <v>9977.7900000000009</v>
      </c>
      <c r="M346">
        <f t="shared" si="20"/>
        <v>2025</v>
      </c>
      <c r="N346" t="str">
        <f t="shared" si="21"/>
        <v>Sep</v>
      </c>
      <c r="O346" t="str">
        <f t="shared" si="22"/>
        <v>High</v>
      </c>
      <c r="P346" s="7">
        <f t="shared" si="23"/>
        <v>9.8957031631212763E-2</v>
      </c>
    </row>
    <row r="347" spans="1:16" x14ac:dyDescent="0.3">
      <c r="A347" t="s">
        <v>449</v>
      </c>
      <c r="B347" s="2">
        <v>45911</v>
      </c>
      <c r="C347" t="s">
        <v>82</v>
      </c>
      <c r="D347" t="s">
        <v>14</v>
      </c>
      <c r="E347" t="s">
        <v>97</v>
      </c>
      <c r="F347" t="s">
        <v>23</v>
      </c>
      <c r="G347" t="s">
        <v>58</v>
      </c>
      <c r="H347" t="s">
        <v>78</v>
      </c>
      <c r="I347">
        <v>2</v>
      </c>
      <c r="J347" s="3">
        <v>0.1</v>
      </c>
      <c r="K347" s="4">
        <v>60577.9</v>
      </c>
      <c r="L347" s="4">
        <v>5504.68</v>
      </c>
      <c r="M347">
        <f t="shared" si="20"/>
        <v>2025</v>
      </c>
      <c r="N347" t="str">
        <f t="shared" si="21"/>
        <v>Sep</v>
      </c>
      <c r="O347" t="str">
        <f t="shared" si="22"/>
        <v>High</v>
      </c>
      <c r="P347" s="7">
        <f t="shared" si="23"/>
        <v>9.0869442486451332E-2</v>
      </c>
    </row>
    <row r="348" spans="1:16" x14ac:dyDescent="0.3">
      <c r="A348" t="s">
        <v>450</v>
      </c>
      <c r="B348" s="2">
        <v>45912</v>
      </c>
      <c r="C348" t="s">
        <v>135</v>
      </c>
      <c r="D348" t="s">
        <v>39</v>
      </c>
      <c r="E348" t="s">
        <v>128</v>
      </c>
      <c r="F348" t="s">
        <v>28</v>
      </c>
      <c r="G348" t="s">
        <v>92</v>
      </c>
      <c r="H348" t="s">
        <v>93</v>
      </c>
      <c r="I348">
        <v>7</v>
      </c>
      <c r="J348" s="3">
        <v>0.05</v>
      </c>
      <c r="K348" s="4">
        <v>2086.84</v>
      </c>
      <c r="L348" s="4">
        <v>139.44999999999999</v>
      </c>
      <c r="M348">
        <f t="shared" si="20"/>
        <v>2025</v>
      </c>
      <c r="N348" t="str">
        <f t="shared" si="21"/>
        <v>Sep</v>
      </c>
      <c r="O348" t="str">
        <f t="shared" si="22"/>
        <v>High</v>
      </c>
      <c r="P348" s="7">
        <f t="shared" si="23"/>
        <v>6.6823522646681094E-2</v>
      </c>
    </row>
    <row r="349" spans="1:16" x14ac:dyDescent="0.3">
      <c r="A349" t="s">
        <v>451</v>
      </c>
      <c r="B349" s="2">
        <v>45912</v>
      </c>
      <c r="C349" t="s">
        <v>56</v>
      </c>
      <c r="D349" t="s">
        <v>14</v>
      </c>
      <c r="E349" t="s">
        <v>97</v>
      </c>
      <c r="F349" t="s">
        <v>23</v>
      </c>
      <c r="G349" t="s">
        <v>58</v>
      </c>
      <c r="H349" t="s">
        <v>78</v>
      </c>
      <c r="I349">
        <v>6</v>
      </c>
      <c r="J349" s="3">
        <v>0.2</v>
      </c>
      <c r="K349" s="4">
        <v>104952.9</v>
      </c>
      <c r="L349" s="4">
        <v>4235.12</v>
      </c>
      <c r="M349">
        <f t="shared" si="20"/>
        <v>2025</v>
      </c>
      <c r="N349" t="str">
        <f t="shared" si="21"/>
        <v>Sep</v>
      </c>
      <c r="O349" t="str">
        <f t="shared" si="22"/>
        <v>High</v>
      </c>
      <c r="P349" s="7">
        <f t="shared" si="23"/>
        <v>4.0352577203678984E-2</v>
      </c>
    </row>
    <row r="350" spans="1:16" x14ac:dyDescent="0.3">
      <c r="A350" t="s">
        <v>452</v>
      </c>
      <c r="B350" s="2">
        <v>45913</v>
      </c>
      <c r="C350" t="s">
        <v>111</v>
      </c>
      <c r="D350" t="s">
        <v>21</v>
      </c>
      <c r="E350" t="s">
        <v>67</v>
      </c>
      <c r="F350" t="s">
        <v>16</v>
      </c>
      <c r="G350" t="s">
        <v>68</v>
      </c>
      <c r="H350" t="s">
        <v>69</v>
      </c>
      <c r="I350">
        <v>3</v>
      </c>
      <c r="J350" s="3">
        <v>0.1</v>
      </c>
      <c r="K350" s="4">
        <v>35961.81</v>
      </c>
      <c r="L350" s="4">
        <v>7325.68</v>
      </c>
      <c r="M350">
        <f t="shared" si="20"/>
        <v>2025</v>
      </c>
      <c r="N350" t="str">
        <f t="shared" si="21"/>
        <v>Sep</v>
      </c>
      <c r="O350" t="str">
        <f t="shared" si="22"/>
        <v>High</v>
      </c>
      <c r="P350" s="7">
        <f t="shared" si="23"/>
        <v>0.20370721051026078</v>
      </c>
    </row>
    <row r="351" spans="1:16" x14ac:dyDescent="0.3">
      <c r="A351" t="s">
        <v>453</v>
      </c>
      <c r="B351" s="2">
        <v>45914</v>
      </c>
      <c r="C351" t="s">
        <v>135</v>
      </c>
      <c r="D351" t="s">
        <v>33</v>
      </c>
      <c r="E351" t="s">
        <v>86</v>
      </c>
      <c r="F351" t="s">
        <v>28</v>
      </c>
      <c r="G351" t="s">
        <v>29</v>
      </c>
      <c r="H351" t="s">
        <v>30</v>
      </c>
      <c r="I351">
        <v>5</v>
      </c>
      <c r="J351" s="3">
        <v>0.15</v>
      </c>
      <c r="K351" s="4">
        <v>24628.6</v>
      </c>
      <c r="L351" s="4">
        <v>1199.23</v>
      </c>
      <c r="M351">
        <f t="shared" si="20"/>
        <v>2025</v>
      </c>
      <c r="N351" t="str">
        <f t="shared" si="21"/>
        <v>Sep</v>
      </c>
      <c r="O351" t="str">
        <f t="shared" si="22"/>
        <v>High</v>
      </c>
      <c r="P351" s="7">
        <f t="shared" si="23"/>
        <v>4.8692576922764595E-2</v>
      </c>
    </row>
    <row r="352" spans="1:16" x14ac:dyDescent="0.3">
      <c r="A352" t="s">
        <v>454</v>
      </c>
      <c r="B352" s="2">
        <v>45915</v>
      </c>
      <c r="C352" t="s">
        <v>100</v>
      </c>
      <c r="D352" t="s">
        <v>33</v>
      </c>
      <c r="E352" t="s">
        <v>140</v>
      </c>
      <c r="F352" t="s">
        <v>16</v>
      </c>
      <c r="G352" t="s">
        <v>41</v>
      </c>
      <c r="H352" t="s">
        <v>177</v>
      </c>
      <c r="I352">
        <v>3</v>
      </c>
      <c r="J352" s="3">
        <v>0.05</v>
      </c>
      <c r="K352" s="4">
        <v>25838.400000000001</v>
      </c>
      <c r="L352" s="4">
        <v>3808.67</v>
      </c>
      <c r="M352">
        <f t="shared" si="20"/>
        <v>2025</v>
      </c>
      <c r="N352" t="str">
        <f t="shared" si="21"/>
        <v>Sep</v>
      </c>
      <c r="O352" t="str">
        <f t="shared" si="22"/>
        <v>High</v>
      </c>
      <c r="P352" s="7">
        <f t="shared" si="23"/>
        <v>0.14740347699547959</v>
      </c>
    </row>
    <row r="353" spans="1:16" x14ac:dyDescent="0.3">
      <c r="A353" t="s">
        <v>455</v>
      </c>
      <c r="B353" s="2">
        <v>45915</v>
      </c>
      <c r="C353" t="s">
        <v>32</v>
      </c>
      <c r="D353" t="s">
        <v>21</v>
      </c>
      <c r="E353" t="s">
        <v>57</v>
      </c>
      <c r="F353" t="s">
        <v>23</v>
      </c>
      <c r="G353" t="s">
        <v>48</v>
      </c>
      <c r="H353" t="s">
        <v>49</v>
      </c>
      <c r="I353">
        <v>7</v>
      </c>
      <c r="J353" s="3">
        <v>0.1</v>
      </c>
      <c r="K353" s="4">
        <v>245007.77</v>
      </c>
      <c r="L353" s="4">
        <v>29465.1</v>
      </c>
      <c r="M353">
        <f t="shared" si="20"/>
        <v>2025</v>
      </c>
      <c r="N353" t="str">
        <f t="shared" si="21"/>
        <v>Sep</v>
      </c>
      <c r="O353" t="str">
        <f t="shared" si="22"/>
        <v>High</v>
      </c>
      <c r="P353" s="7">
        <f t="shared" si="23"/>
        <v>0.12026190026544872</v>
      </c>
    </row>
    <row r="354" spans="1:16" x14ac:dyDescent="0.3">
      <c r="A354" t="s">
        <v>456</v>
      </c>
      <c r="B354" s="2">
        <v>45915</v>
      </c>
      <c r="C354" t="s">
        <v>77</v>
      </c>
      <c r="D354" t="s">
        <v>14</v>
      </c>
      <c r="E354" t="s">
        <v>97</v>
      </c>
      <c r="F354" t="s">
        <v>23</v>
      </c>
      <c r="G354" t="s">
        <v>24</v>
      </c>
      <c r="H354" t="s">
        <v>132</v>
      </c>
      <c r="I354">
        <v>4</v>
      </c>
      <c r="J354" s="3">
        <v>0.1</v>
      </c>
      <c r="K354" s="4">
        <v>118480.64</v>
      </c>
      <c r="L354" s="4">
        <v>21464.12</v>
      </c>
      <c r="M354">
        <f t="shared" si="20"/>
        <v>2025</v>
      </c>
      <c r="N354" t="str">
        <f t="shared" si="21"/>
        <v>Sep</v>
      </c>
      <c r="O354" t="str">
        <f t="shared" si="22"/>
        <v>High</v>
      </c>
      <c r="P354" s="7">
        <f t="shared" si="23"/>
        <v>0.1811614116871752</v>
      </c>
    </row>
    <row r="355" spans="1:16" x14ac:dyDescent="0.3">
      <c r="A355" t="s">
        <v>457</v>
      </c>
      <c r="B355" s="2">
        <v>45917</v>
      </c>
      <c r="C355" t="s">
        <v>66</v>
      </c>
      <c r="D355" t="s">
        <v>39</v>
      </c>
      <c r="E355" t="s">
        <v>40</v>
      </c>
      <c r="F355" t="s">
        <v>23</v>
      </c>
      <c r="G355" t="s">
        <v>35</v>
      </c>
      <c r="H355" t="s">
        <v>155</v>
      </c>
      <c r="I355">
        <v>7</v>
      </c>
      <c r="J355" s="3">
        <v>0.2</v>
      </c>
      <c r="K355" s="4">
        <v>84431.27</v>
      </c>
      <c r="L355" s="4">
        <v>9674.75</v>
      </c>
      <c r="M355">
        <f t="shared" si="20"/>
        <v>2025</v>
      </c>
      <c r="N355" t="str">
        <f t="shared" si="21"/>
        <v>Sep</v>
      </c>
      <c r="O355" t="str">
        <f t="shared" si="22"/>
        <v>High</v>
      </c>
      <c r="P355" s="7">
        <f t="shared" si="23"/>
        <v>0.11458728501892722</v>
      </c>
    </row>
    <row r="356" spans="1:16" x14ac:dyDescent="0.3">
      <c r="A356" t="s">
        <v>458</v>
      </c>
      <c r="B356" s="2">
        <v>45917</v>
      </c>
      <c r="C356" t="s">
        <v>38</v>
      </c>
      <c r="D356" t="s">
        <v>14</v>
      </c>
      <c r="E356" t="s">
        <v>15</v>
      </c>
      <c r="F356" t="s">
        <v>23</v>
      </c>
      <c r="G356" t="s">
        <v>48</v>
      </c>
      <c r="H356" t="s">
        <v>118</v>
      </c>
      <c r="I356">
        <v>5</v>
      </c>
      <c r="J356" s="3">
        <v>0.05</v>
      </c>
      <c r="K356" s="4">
        <v>242517.8</v>
      </c>
      <c r="L356" s="4">
        <v>33699.839999999997</v>
      </c>
      <c r="M356">
        <f t="shared" si="20"/>
        <v>2025</v>
      </c>
      <c r="N356" t="str">
        <f t="shared" si="21"/>
        <v>Sep</v>
      </c>
      <c r="O356" t="str">
        <f t="shared" si="22"/>
        <v>High</v>
      </c>
      <c r="P356" s="7">
        <f t="shared" si="23"/>
        <v>0.13895821255182092</v>
      </c>
    </row>
    <row r="357" spans="1:16" x14ac:dyDescent="0.3">
      <c r="A357" t="s">
        <v>459</v>
      </c>
      <c r="B357" s="2">
        <v>45917</v>
      </c>
      <c r="C357" t="s">
        <v>111</v>
      </c>
      <c r="D357" t="s">
        <v>14</v>
      </c>
      <c r="E357" t="s">
        <v>114</v>
      </c>
      <c r="F357" t="s">
        <v>23</v>
      </c>
      <c r="G357" t="s">
        <v>48</v>
      </c>
      <c r="H357" t="s">
        <v>118</v>
      </c>
      <c r="I357">
        <v>3</v>
      </c>
      <c r="J357" s="3">
        <v>0.1</v>
      </c>
      <c r="K357" s="4">
        <v>53885.91</v>
      </c>
      <c r="L357" s="4">
        <v>8215.19</v>
      </c>
      <c r="M357">
        <f t="shared" si="20"/>
        <v>2025</v>
      </c>
      <c r="N357" t="str">
        <f t="shared" si="21"/>
        <v>Sep</v>
      </c>
      <c r="O357" t="str">
        <f t="shared" si="22"/>
        <v>High</v>
      </c>
      <c r="P357" s="7">
        <f t="shared" si="23"/>
        <v>0.15245525221713802</v>
      </c>
    </row>
    <row r="358" spans="1:16" x14ac:dyDescent="0.3">
      <c r="A358" t="s">
        <v>460</v>
      </c>
      <c r="B358" s="2">
        <v>45919</v>
      </c>
      <c r="C358" t="s">
        <v>150</v>
      </c>
      <c r="D358" t="s">
        <v>39</v>
      </c>
      <c r="E358" t="s">
        <v>52</v>
      </c>
      <c r="F358" t="s">
        <v>23</v>
      </c>
      <c r="G358" t="s">
        <v>58</v>
      </c>
      <c r="H358" t="s">
        <v>59</v>
      </c>
      <c r="I358">
        <v>5</v>
      </c>
      <c r="J358" s="3">
        <v>0.2</v>
      </c>
      <c r="K358" s="4">
        <v>75154.2</v>
      </c>
      <c r="L358" s="4">
        <v>11425.82</v>
      </c>
      <c r="M358">
        <f t="shared" si="20"/>
        <v>2025</v>
      </c>
      <c r="N358" t="str">
        <f t="shared" si="21"/>
        <v>Sep</v>
      </c>
      <c r="O358" t="str">
        <f t="shared" si="22"/>
        <v>High</v>
      </c>
      <c r="P358" s="7">
        <f t="shared" si="23"/>
        <v>0.1520316895130279</v>
      </c>
    </row>
    <row r="359" spans="1:16" x14ac:dyDescent="0.3">
      <c r="A359" t="s">
        <v>461</v>
      </c>
      <c r="B359" s="2">
        <v>45919</v>
      </c>
      <c r="C359" t="s">
        <v>85</v>
      </c>
      <c r="D359" t="s">
        <v>14</v>
      </c>
      <c r="E359" t="s">
        <v>54</v>
      </c>
      <c r="F359" t="s">
        <v>28</v>
      </c>
      <c r="G359" t="s">
        <v>71</v>
      </c>
      <c r="H359" t="s">
        <v>121</v>
      </c>
      <c r="I359">
        <v>4</v>
      </c>
      <c r="J359" s="3">
        <v>0.1</v>
      </c>
      <c r="K359" s="4">
        <v>8462.52</v>
      </c>
      <c r="L359" s="4">
        <v>1297.8399999999999</v>
      </c>
      <c r="M359">
        <f t="shared" si="20"/>
        <v>2025</v>
      </c>
      <c r="N359" t="str">
        <f t="shared" si="21"/>
        <v>Sep</v>
      </c>
      <c r="O359" t="str">
        <f t="shared" si="22"/>
        <v>High</v>
      </c>
      <c r="P359" s="7">
        <f t="shared" si="23"/>
        <v>0.153363300766202</v>
      </c>
    </row>
    <row r="360" spans="1:16" x14ac:dyDescent="0.3">
      <c r="A360" t="s">
        <v>462</v>
      </c>
      <c r="B360" s="2">
        <v>45919</v>
      </c>
      <c r="C360" t="s">
        <v>32</v>
      </c>
      <c r="D360" t="s">
        <v>21</v>
      </c>
      <c r="E360" t="s">
        <v>57</v>
      </c>
      <c r="F360" t="s">
        <v>16</v>
      </c>
      <c r="G360" t="s">
        <v>17</v>
      </c>
      <c r="H360" t="s">
        <v>153</v>
      </c>
      <c r="I360">
        <v>6</v>
      </c>
      <c r="J360" s="3">
        <v>0.2</v>
      </c>
      <c r="K360" s="4">
        <v>15604.38</v>
      </c>
      <c r="L360" s="4">
        <v>1685.28</v>
      </c>
      <c r="M360">
        <f t="shared" si="20"/>
        <v>2025</v>
      </c>
      <c r="N360" t="str">
        <f t="shared" si="21"/>
        <v>Sep</v>
      </c>
      <c r="O360" t="str">
        <f t="shared" si="22"/>
        <v>High</v>
      </c>
      <c r="P360" s="7">
        <f t="shared" si="23"/>
        <v>0.10800044602861504</v>
      </c>
    </row>
    <row r="361" spans="1:16" x14ac:dyDescent="0.3">
      <c r="A361" t="s">
        <v>463</v>
      </c>
      <c r="B361" s="2">
        <v>45920</v>
      </c>
      <c r="C361" t="s">
        <v>38</v>
      </c>
      <c r="D361" t="s">
        <v>21</v>
      </c>
      <c r="E361" t="s">
        <v>67</v>
      </c>
      <c r="F361" t="s">
        <v>28</v>
      </c>
      <c r="G361" t="s">
        <v>74</v>
      </c>
      <c r="H361" t="s">
        <v>75</v>
      </c>
      <c r="I361">
        <v>1</v>
      </c>
      <c r="J361" s="3">
        <v>0.2</v>
      </c>
      <c r="K361" s="4">
        <v>1930.2</v>
      </c>
      <c r="L361" s="4">
        <v>227.06</v>
      </c>
      <c r="M361">
        <f t="shared" si="20"/>
        <v>2025</v>
      </c>
      <c r="N361" t="str">
        <f t="shared" si="21"/>
        <v>Sep</v>
      </c>
      <c r="O361" t="str">
        <f t="shared" si="22"/>
        <v>High</v>
      </c>
      <c r="P361" s="7">
        <f t="shared" si="23"/>
        <v>0.11763547818878872</v>
      </c>
    </row>
    <row r="362" spans="1:16" x14ac:dyDescent="0.3">
      <c r="A362" t="s">
        <v>464</v>
      </c>
      <c r="B362" s="2">
        <v>45920</v>
      </c>
      <c r="C362" t="s">
        <v>51</v>
      </c>
      <c r="D362" t="s">
        <v>33</v>
      </c>
      <c r="E362" t="s">
        <v>34</v>
      </c>
      <c r="F362" t="s">
        <v>28</v>
      </c>
      <c r="G362" t="s">
        <v>29</v>
      </c>
      <c r="H362" t="s">
        <v>30</v>
      </c>
      <c r="I362">
        <v>2</v>
      </c>
      <c r="J362" s="3">
        <v>0</v>
      </c>
      <c r="K362" s="4">
        <v>8037.86</v>
      </c>
      <c r="L362" s="4">
        <v>1418.22</v>
      </c>
      <c r="M362">
        <f t="shared" si="20"/>
        <v>2025</v>
      </c>
      <c r="N362" t="str">
        <f t="shared" si="21"/>
        <v>Sep</v>
      </c>
      <c r="O362" t="str">
        <f t="shared" si="22"/>
        <v>High</v>
      </c>
      <c r="P362" s="7">
        <f t="shared" si="23"/>
        <v>0.17644248593531114</v>
      </c>
    </row>
    <row r="363" spans="1:16" x14ac:dyDescent="0.3">
      <c r="A363" t="s">
        <v>465</v>
      </c>
      <c r="B363" s="2">
        <v>45921</v>
      </c>
      <c r="C363" t="s">
        <v>150</v>
      </c>
      <c r="D363" t="s">
        <v>14</v>
      </c>
      <c r="E363" t="s">
        <v>54</v>
      </c>
      <c r="F363" t="s">
        <v>23</v>
      </c>
      <c r="G363" t="s">
        <v>58</v>
      </c>
      <c r="H363" t="s">
        <v>78</v>
      </c>
      <c r="I363">
        <v>3</v>
      </c>
      <c r="J363" s="3">
        <v>0.15</v>
      </c>
      <c r="K363" s="4">
        <v>136615.67999999999</v>
      </c>
      <c r="L363" s="4">
        <v>7989.3</v>
      </c>
      <c r="M363">
        <f t="shared" si="20"/>
        <v>2025</v>
      </c>
      <c r="N363" t="str">
        <f t="shared" si="21"/>
        <v>Sep</v>
      </c>
      <c r="O363" t="str">
        <f t="shared" si="22"/>
        <v>High</v>
      </c>
      <c r="P363" s="7">
        <f t="shared" si="23"/>
        <v>5.8480110043005316E-2</v>
      </c>
    </row>
    <row r="364" spans="1:16" x14ac:dyDescent="0.3">
      <c r="A364" t="s">
        <v>466</v>
      </c>
      <c r="B364" s="2">
        <v>45921</v>
      </c>
      <c r="C364" t="s">
        <v>150</v>
      </c>
      <c r="D364" t="s">
        <v>21</v>
      </c>
      <c r="E364" t="s">
        <v>57</v>
      </c>
      <c r="F364" t="s">
        <v>23</v>
      </c>
      <c r="G364" t="s">
        <v>58</v>
      </c>
      <c r="H364" t="s">
        <v>90</v>
      </c>
      <c r="I364">
        <v>7</v>
      </c>
      <c r="J364" s="3">
        <v>0.15</v>
      </c>
      <c r="K364" s="4">
        <v>272823.95</v>
      </c>
      <c r="L364" s="4">
        <v>23620.06</v>
      </c>
      <c r="M364">
        <f t="shared" si="20"/>
        <v>2025</v>
      </c>
      <c r="N364" t="str">
        <f t="shared" si="21"/>
        <v>Sep</v>
      </c>
      <c r="O364" t="str">
        <f t="shared" si="22"/>
        <v>High</v>
      </c>
      <c r="P364" s="7">
        <f t="shared" si="23"/>
        <v>8.6576196847820724E-2</v>
      </c>
    </row>
    <row r="365" spans="1:16" x14ac:dyDescent="0.3">
      <c r="A365" t="s">
        <v>467</v>
      </c>
      <c r="B365" s="2">
        <v>45922</v>
      </c>
      <c r="C365" t="s">
        <v>32</v>
      </c>
      <c r="D365" t="s">
        <v>14</v>
      </c>
      <c r="E365" t="s">
        <v>15</v>
      </c>
      <c r="F365" t="s">
        <v>23</v>
      </c>
      <c r="G365" t="s">
        <v>48</v>
      </c>
      <c r="H365" t="s">
        <v>118</v>
      </c>
      <c r="I365">
        <v>5</v>
      </c>
      <c r="J365" s="3">
        <v>0.05</v>
      </c>
      <c r="K365" s="4">
        <v>216380.1</v>
      </c>
      <c r="L365" s="4">
        <v>31150.28</v>
      </c>
      <c r="M365">
        <f t="shared" si="20"/>
        <v>2025</v>
      </c>
      <c r="N365" t="str">
        <f t="shared" si="21"/>
        <v>Sep</v>
      </c>
      <c r="O365" t="str">
        <f t="shared" si="22"/>
        <v>High</v>
      </c>
      <c r="P365" s="7">
        <f t="shared" si="23"/>
        <v>0.14396092801509935</v>
      </c>
    </row>
    <row r="366" spans="1:16" x14ac:dyDescent="0.3">
      <c r="A366" t="s">
        <v>468</v>
      </c>
      <c r="B366" s="2">
        <v>45923</v>
      </c>
      <c r="C366" t="s">
        <v>147</v>
      </c>
      <c r="D366" t="s">
        <v>21</v>
      </c>
      <c r="E366" t="s">
        <v>57</v>
      </c>
      <c r="F366" t="s">
        <v>16</v>
      </c>
      <c r="G366" t="s">
        <v>41</v>
      </c>
      <c r="H366" t="s">
        <v>42</v>
      </c>
      <c r="I366">
        <v>7</v>
      </c>
      <c r="J366" s="3">
        <v>0.1</v>
      </c>
      <c r="K366" s="4">
        <v>20653.36</v>
      </c>
      <c r="L366" s="4">
        <v>4029.66</v>
      </c>
      <c r="M366">
        <f t="shared" si="20"/>
        <v>2025</v>
      </c>
      <c r="N366" t="str">
        <f t="shared" si="21"/>
        <v>Sep</v>
      </c>
      <c r="O366" t="str">
        <f t="shared" si="22"/>
        <v>High</v>
      </c>
      <c r="P366" s="7">
        <f t="shared" si="23"/>
        <v>0.19510917351946608</v>
      </c>
    </row>
    <row r="367" spans="1:16" x14ac:dyDescent="0.3">
      <c r="A367" t="s">
        <v>469</v>
      </c>
      <c r="B367" s="2">
        <v>45924</v>
      </c>
      <c r="C367" t="s">
        <v>56</v>
      </c>
      <c r="D367" t="s">
        <v>33</v>
      </c>
      <c r="E367" t="s">
        <v>34</v>
      </c>
      <c r="F367" t="s">
        <v>28</v>
      </c>
      <c r="G367" t="s">
        <v>92</v>
      </c>
      <c r="H367" t="s">
        <v>204</v>
      </c>
      <c r="I367">
        <v>3</v>
      </c>
      <c r="J367" s="3">
        <v>0</v>
      </c>
      <c r="K367" s="4">
        <v>5528.4</v>
      </c>
      <c r="L367" s="4">
        <v>1120.3900000000001</v>
      </c>
      <c r="M367">
        <f t="shared" si="20"/>
        <v>2025</v>
      </c>
      <c r="N367" t="str">
        <f t="shared" si="21"/>
        <v>Sep</v>
      </c>
      <c r="O367" t="str">
        <f t="shared" si="22"/>
        <v>High</v>
      </c>
      <c r="P367" s="7">
        <f t="shared" si="23"/>
        <v>0.20266080601982495</v>
      </c>
    </row>
    <row r="368" spans="1:16" x14ac:dyDescent="0.3">
      <c r="A368" t="s">
        <v>470</v>
      </c>
      <c r="B368" s="2">
        <v>45925</v>
      </c>
      <c r="C368" t="s">
        <v>56</v>
      </c>
      <c r="D368" t="s">
        <v>14</v>
      </c>
      <c r="E368" t="s">
        <v>97</v>
      </c>
      <c r="F368" t="s">
        <v>23</v>
      </c>
      <c r="G368" t="s">
        <v>58</v>
      </c>
      <c r="H368" t="s">
        <v>101</v>
      </c>
      <c r="I368">
        <v>6</v>
      </c>
      <c r="J368" s="3">
        <v>0.1</v>
      </c>
      <c r="K368" s="4">
        <v>207218.82</v>
      </c>
      <c r="L368" s="4">
        <v>31836.16</v>
      </c>
      <c r="M368">
        <f t="shared" si="20"/>
        <v>2025</v>
      </c>
      <c r="N368" t="str">
        <f t="shared" si="21"/>
        <v>Sep</v>
      </c>
      <c r="O368" t="str">
        <f t="shared" si="22"/>
        <v>High</v>
      </c>
      <c r="P368" s="7">
        <f t="shared" si="23"/>
        <v>0.15363546612223736</v>
      </c>
    </row>
    <row r="369" spans="1:16" x14ac:dyDescent="0.3">
      <c r="A369" t="s">
        <v>471</v>
      </c>
      <c r="B369" s="2">
        <v>45926</v>
      </c>
      <c r="C369" t="s">
        <v>229</v>
      </c>
      <c r="D369" t="s">
        <v>21</v>
      </c>
      <c r="E369" t="s">
        <v>105</v>
      </c>
      <c r="F369" t="s">
        <v>16</v>
      </c>
      <c r="G369" t="s">
        <v>62</v>
      </c>
      <c r="H369" t="s">
        <v>63</v>
      </c>
      <c r="I369">
        <v>2</v>
      </c>
      <c r="J369" s="3">
        <v>0.15</v>
      </c>
      <c r="K369" s="4">
        <v>4029.76</v>
      </c>
      <c r="L369" s="4">
        <v>671.05</v>
      </c>
      <c r="M369">
        <f t="shared" si="20"/>
        <v>2025</v>
      </c>
      <c r="N369" t="str">
        <f t="shared" si="21"/>
        <v>Sep</v>
      </c>
      <c r="O369" t="str">
        <f t="shared" si="22"/>
        <v>High</v>
      </c>
      <c r="P369" s="7">
        <f t="shared" si="23"/>
        <v>0.16652356467878979</v>
      </c>
    </row>
    <row r="370" spans="1:16" x14ac:dyDescent="0.3">
      <c r="A370" t="s">
        <v>472</v>
      </c>
      <c r="B370" s="2">
        <v>45926</v>
      </c>
      <c r="C370" t="s">
        <v>100</v>
      </c>
      <c r="D370" t="s">
        <v>33</v>
      </c>
      <c r="E370" t="s">
        <v>86</v>
      </c>
      <c r="F370" t="s">
        <v>28</v>
      </c>
      <c r="G370" t="s">
        <v>74</v>
      </c>
      <c r="H370" t="s">
        <v>75</v>
      </c>
      <c r="I370">
        <v>6</v>
      </c>
      <c r="J370" s="3">
        <v>0.1</v>
      </c>
      <c r="K370" s="4">
        <v>11954.64</v>
      </c>
      <c r="L370" s="4">
        <v>914.69</v>
      </c>
      <c r="M370">
        <f t="shared" si="20"/>
        <v>2025</v>
      </c>
      <c r="N370" t="str">
        <f t="shared" si="21"/>
        <v>Sep</v>
      </c>
      <c r="O370" t="str">
        <f t="shared" si="22"/>
        <v>High</v>
      </c>
      <c r="P370" s="7">
        <f t="shared" si="23"/>
        <v>7.6513387270549349E-2</v>
      </c>
    </row>
    <row r="371" spans="1:16" x14ac:dyDescent="0.3">
      <c r="A371" t="s">
        <v>473</v>
      </c>
      <c r="B371" s="2">
        <v>45927</v>
      </c>
      <c r="C371" t="s">
        <v>82</v>
      </c>
      <c r="D371" t="s">
        <v>21</v>
      </c>
      <c r="E371" t="s">
        <v>67</v>
      </c>
      <c r="F371" t="s">
        <v>16</v>
      </c>
      <c r="G371" t="s">
        <v>41</v>
      </c>
      <c r="H371" t="s">
        <v>42</v>
      </c>
      <c r="I371">
        <v>2</v>
      </c>
      <c r="J371" s="3">
        <v>0.05</v>
      </c>
      <c r="K371" s="4">
        <v>7254.84</v>
      </c>
      <c r="L371" s="4">
        <v>1495.33</v>
      </c>
      <c r="M371">
        <f t="shared" si="20"/>
        <v>2025</v>
      </c>
      <c r="N371" t="str">
        <f t="shared" si="21"/>
        <v>Sep</v>
      </c>
      <c r="O371" t="str">
        <f t="shared" si="22"/>
        <v>High</v>
      </c>
      <c r="P371" s="7">
        <f t="shared" si="23"/>
        <v>0.20611481438598231</v>
      </c>
    </row>
    <row r="372" spans="1:16" x14ac:dyDescent="0.3">
      <c r="A372" t="s">
        <v>474</v>
      </c>
      <c r="B372" s="2">
        <v>45928</v>
      </c>
      <c r="C372" t="s">
        <v>56</v>
      </c>
      <c r="D372" t="s">
        <v>21</v>
      </c>
      <c r="E372" t="s">
        <v>22</v>
      </c>
      <c r="F372" t="s">
        <v>28</v>
      </c>
      <c r="G372" t="s">
        <v>71</v>
      </c>
      <c r="H372" t="s">
        <v>121</v>
      </c>
      <c r="I372">
        <v>6</v>
      </c>
      <c r="J372" s="3">
        <v>0</v>
      </c>
      <c r="K372" s="4">
        <v>6361.92</v>
      </c>
      <c r="L372" s="4">
        <v>1548.49</v>
      </c>
      <c r="M372">
        <f t="shared" si="20"/>
        <v>2025</v>
      </c>
      <c r="N372" t="str">
        <f t="shared" si="21"/>
        <v>Sep</v>
      </c>
      <c r="O372" t="str">
        <f t="shared" si="22"/>
        <v>High</v>
      </c>
      <c r="P372" s="7">
        <f t="shared" si="23"/>
        <v>0.243399791257985</v>
      </c>
    </row>
    <row r="373" spans="1:16" x14ac:dyDescent="0.3">
      <c r="A373" t="s">
        <v>475</v>
      </c>
      <c r="B373" s="2">
        <v>45928</v>
      </c>
      <c r="C373" t="s">
        <v>32</v>
      </c>
      <c r="D373" t="s">
        <v>21</v>
      </c>
      <c r="E373" t="s">
        <v>67</v>
      </c>
      <c r="F373" t="s">
        <v>23</v>
      </c>
      <c r="G373" t="s">
        <v>58</v>
      </c>
      <c r="H373" t="s">
        <v>78</v>
      </c>
      <c r="I373">
        <v>5</v>
      </c>
      <c r="J373" s="3">
        <v>0.1</v>
      </c>
      <c r="K373" s="4">
        <v>117160.6</v>
      </c>
      <c r="L373" s="4">
        <v>21919.62</v>
      </c>
      <c r="M373">
        <f t="shared" si="20"/>
        <v>2025</v>
      </c>
      <c r="N373" t="str">
        <f t="shared" si="21"/>
        <v>Sep</v>
      </c>
      <c r="O373" t="str">
        <f t="shared" si="22"/>
        <v>High</v>
      </c>
      <c r="P373" s="7">
        <f t="shared" si="23"/>
        <v>0.1870903699707922</v>
      </c>
    </row>
    <row r="374" spans="1:16" x14ac:dyDescent="0.3">
      <c r="A374" t="s">
        <v>476</v>
      </c>
      <c r="B374" s="2">
        <v>45928</v>
      </c>
      <c r="C374" t="s">
        <v>38</v>
      </c>
      <c r="D374" t="s">
        <v>21</v>
      </c>
      <c r="E374" t="s">
        <v>22</v>
      </c>
      <c r="F374" t="s">
        <v>16</v>
      </c>
      <c r="G374" t="s">
        <v>68</v>
      </c>
      <c r="H374" t="s">
        <v>83</v>
      </c>
      <c r="I374">
        <v>3</v>
      </c>
      <c r="J374" s="3">
        <v>0</v>
      </c>
      <c r="K374" s="4">
        <v>5883.6</v>
      </c>
      <c r="L374" s="4">
        <v>1298.73</v>
      </c>
      <c r="M374">
        <f t="shared" si="20"/>
        <v>2025</v>
      </c>
      <c r="N374" t="str">
        <f t="shared" si="21"/>
        <v>Sep</v>
      </c>
      <c r="O374" t="str">
        <f t="shared" si="22"/>
        <v>High</v>
      </c>
      <c r="P374" s="7">
        <f t="shared" si="23"/>
        <v>0.22073730369161737</v>
      </c>
    </row>
    <row r="375" spans="1:16" x14ac:dyDescent="0.3">
      <c r="A375" t="s">
        <v>477</v>
      </c>
      <c r="B375" s="2">
        <v>45929</v>
      </c>
      <c r="C375" t="s">
        <v>51</v>
      </c>
      <c r="D375" t="s">
        <v>21</v>
      </c>
      <c r="E375" t="s">
        <v>22</v>
      </c>
      <c r="F375" t="s">
        <v>28</v>
      </c>
      <c r="G375" t="s">
        <v>74</v>
      </c>
      <c r="H375" t="s">
        <v>80</v>
      </c>
      <c r="I375">
        <v>6</v>
      </c>
      <c r="J375" s="3">
        <v>0.2</v>
      </c>
      <c r="K375" s="4">
        <v>5283.54</v>
      </c>
      <c r="L375" s="4">
        <v>85.31</v>
      </c>
      <c r="M375">
        <f t="shared" si="20"/>
        <v>2025</v>
      </c>
      <c r="N375" t="str">
        <f t="shared" si="21"/>
        <v>Sep</v>
      </c>
      <c r="O375" t="str">
        <f t="shared" si="22"/>
        <v>High</v>
      </c>
      <c r="P375" s="7">
        <f t="shared" si="23"/>
        <v>1.6146371561490971E-2</v>
      </c>
    </row>
    <row r="376" spans="1:16" x14ac:dyDescent="0.3">
      <c r="A376" t="s">
        <v>478</v>
      </c>
      <c r="B376" s="2">
        <v>45930</v>
      </c>
      <c r="C376" t="s">
        <v>82</v>
      </c>
      <c r="D376" t="s">
        <v>33</v>
      </c>
      <c r="E376" t="s">
        <v>140</v>
      </c>
      <c r="F376" t="s">
        <v>16</v>
      </c>
      <c r="G376" t="s">
        <v>17</v>
      </c>
      <c r="H376" t="s">
        <v>88</v>
      </c>
      <c r="I376">
        <v>2</v>
      </c>
      <c r="J376" s="3">
        <v>0.1</v>
      </c>
      <c r="K376" s="4">
        <v>6452.94</v>
      </c>
      <c r="L376" s="4">
        <v>334.33</v>
      </c>
      <c r="M376">
        <f t="shared" si="20"/>
        <v>2025</v>
      </c>
      <c r="N376" t="str">
        <f t="shared" si="21"/>
        <v>Sep</v>
      </c>
      <c r="O376" t="str">
        <f t="shared" si="22"/>
        <v>High</v>
      </c>
      <c r="P376" s="7">
        <f t="shared" si="23"/>
        <v>5.181049258167595E-2</v>
      </c>
    </row>
    <row r="377" spans="1:16" x14ac:dyDescent="0.3">
      <c r="A377" t="s">
        <v>479</v>
      </c>
      <c r="B377" s="2">
        <v>45930</v>
      </c>
      <c r="C377" t="s">
        <v>77</v>
      </c>
      <c r="D377" t="s">
        <v>33</v>
      </c>
      <c r="E377" t="s">
        <v>45</v>
      </c>
      <c r="F377" t="s">
        <v>28</v>
      </c>
      <c r="G377" t="s">
        <v>92</v>
      </c>
      <c r="H377" t="s">
        <v>93</v>
      </c>
      <c r="I377">
        <v>6</v>
      </c>
      <c r="J377" s="3">
        <v>0</v>
      </c>
      <c r="K377" s="4">
        <v>15198.9</v>
      </c>
      <c r="L377" s="4">
        <v>2042.86</v>
      </c>
      <c r="M377">
        <f t="shared" si="20"/>
        <v>2025</v>
      </c>
      <c r="N377" t="str">
        <f t="shared" si="21"/>
        <v>Sep</v>
      </c>
      <c r="O377" t="str">
        <f t="shared" si="22"/>
        <v>High</v>
      </c>
      <c r="P377" s="7">
        <f t="shared" si="23"/>
        <v>0.13440841113501634</v>
      </c>
    </row>
    <row r="378" spans="1:16" x14ac:dyDescent="0.3">
      <c r="A378" t="s">
        <v>480</v>
      </c>
      <c r="B378" s="2">
        <v>45930</v>
      </c>
      <c r="C378" t="s">
        <v>66</v>
      </c>
      <c r="D378" t="s">
        <v>33</v>
      </c>
      <c r="E378" t="s">
        <v>140</v>
      </c>
      <c r="F378" t="s">
        <v>28</v>
      </c>
      <c r="G378" t="s">
        <v>74</v>
      </c>
      <c r="H378" t="s">
        <v>159</v>
      </c>
      <c r="I378">
        <v>7</v>
      </c>
      <c r="J378" s="3">
        <v>0</v>
      </c>
      <c r="K378" s="4">
        <v>33078.57</v>
      </c>
      <c r="L378" s="4">
        <v>3238.79</v>
      </c>
      <c r="M378">
        <f t="shared" si="20"/>
        <v>2025</v>
      </c>
      <c r="N378" t="str">
        <f t="shared" si="21"/>
        <v>Sep</v>
      </c>
      <c r="O378" t="str">
        <f t="shared" si="22"/>
        <v>High</v>
      </c>
      <c r="P378" s="7">
        <f t="shared" si="23"/>
        <v>9.7912031868366736E-2</v>
      </c>
    </row>
    <row r="379" spans="1:16" x14ac:dyDescent="0.3">
      <c r="A379" t="s">
        <v>481</v>
      </c>
      <c r="B379" s="2">
        <v>45931</v>
      </c>
      <c r="C379" t="s">
        <v>229</v>
      </c>
      <c r="D379" t="s">
        <v>39</v>
      </c>
      <c r="E379" t="s">
        <v>52</v>
      </c>
      <c r="F379" t="s">
        <v>23</v>
      </c>
      <c r="G379" t="s">
        <v>35</v>
      </c>
      <c r="H379" t="s">
        <v>155</v>
      </c>
      <c r="I379">
        <v>6</v>
      </c>
      <c r="J379" s="3">
        <v>0.1</v>
      </c>
      <c r="K379" s="4">
        <v>292531.38</v>
      </c>
      <c r="L379" s="4">
        <v>47725.59</v>
      </c>
      <c r="M379">
        <f t="shared" si="20"/>
        <v>2025</v>
      </c>
      <c r="N379" t="str">
        <f t="shared" si="21"/>
        <v>Oct</v>
      </c>
      <c r="O379" t="str">
        <f t="shared" si="22"/>
        <v>High</v>
      </c>
      <c r="P379" s="7">
        <f t="shared" si="23"/>
        <v>0.16314690752151101</v>
      </c>
    </row>
    <row r="380" spans="1:16" x14ac:dyDescent="0.3">
      <c r="A380" t="s">
        <v>482</v>
      </c>
      <c r="B380" s="2">
        <v>45932</v>
      </c>
      <c r="C380" t="s">
        <v>27</v>
      </c>
      <c r="D380" t="s">
        <v>21</v>
      </c>
      <c r="E380" t="s">
        <v>67</v>
      </c>
      <c r="F380" t="s">
        <v>28</v>
      </c>
      <c r="G380" t="s">
        <v>29</v>
      </c>
      <c r="H380" t="s">
        <v>30</v>
      </c>
      <c r="I380">
        <v>4</v>
      </c>
      <c r="J380" s="3">
        <v>0</v>
      </c>
      <c r="K380" s="4">
        <v>752.92</v>
      </c>
      <c r="L380" s="4">
        <v>99.24</v>
      </c>
      <c r="M380">
        <f t="shared" si="20"/>
        <v>2025</v>
      </c>
      <c r="N380" t="str">
        <f t="shared" si="21"/>
        <v>Oct</v>
      </c>
      <c r="O380" t="str">
        <f t="shared" si="22"/>
        <v>Medium</v>
      </c>
      <c r="P380" s="7">
        <f t="shared" si="23"/>
        <v>0.13180683206715188</v>
      </c>
    </row>
    <row r="381" spans="1:16" x14ac:dyDescent="0.3">
      <c r="A381" t="s">
        <v>483</v>
      </c>
      <c r="B381" s="2">
        <v>45932</v>
      </c>
      <c r="C381" t="s">
        <v>13</v>
      </c>
      <c r="D381" t="s">
        <v>21</v>
      </c>
      <c r="E381" t="s">
        <v>57</v>
      </c>
      <c r="F381" t="s">
        <v>16</v>
      </c>
      <c r="G381" t="s">
        <v>41</v>
      </c>
      <c r="H381" t="s">
        <v>177</v>
      </c>
      <c r="I381">
        <v>1</v>
      </c>
      <c r="J381" s="3">
        <v>0</v>
      </c>
      <c r="K381" s="4">
        <v>1913.59</v>
      </c>
      <c r="L381" s="4">
        <v>387.24</v>
      </c>
      <c r="M381">
        <f t="shared" si="20"/>
        <v>2025</v>
      </c>
      <c r="N381" t="str">
        <f t="shared" si="21"/>
        <v>Oct</v>
      </c>
      <c r="O381" t="str">
        <f t="shared" si="22"/>
        <v>High</v>
      </c>
      <c r="P381" s="7">
        <f t="shared" si="23"/>
        <v>0.20236309763324434</v>
      </c>
    </row>
    <row r="382" spans="1:16" x14ac:dyDescent="0.3">
      <c r="A382" t="s">
        <v>484</v>
      </c>
      <c r="B382" s="2">
        <v>45934</v>
      </c>
      <c r="C382" t="s">
        <v>85</v>
      </c>
      <c r="D382" t="s">
        <v>33</v>
      </c>
      <c r="E382" t="s">
        <v>34</v>
      </c>
      <c r="F382" t="s">
        <v>28</v>
      </c>
      <c r="G382" t="s">
        <v>71</v>
      </c>
      <c r="H382" t="s">
        <v>121</v>
      </c>
      <c r="I382">
        <v>6</v>
      </c>
      <c r="J382" s="3">
        <v>0.2</v>
      </c>
      <c r="K382" s="4">
        <v>6320.04</v>
      </c>
      <c r="L382" s="4">
        <v>726.49</v>
      </c>
      <c r="M382">
        <f t="shared" si="20"/>
        <v>2025</v>
      </c>
      <c r="N382" t="str">
        <f t="shared" si="21"/>
        <v>Oct</v>
      </c>
      <c r="O382" t="str">
        <f t="shared" si="22"/>
        <v>High</v>
      </c>
      <c r="P382" s="7">
        <f t="shared" si="23"/>
        <v>0.11495022183403902</v>
      </c>
    </row>
    <row r="383" spans="1:16" x14ac:dyDescent="0.3">
      <c r="A383" t="s">
        <v>485</v>
      </c>
      <c r="B383" s="2">
        <v>45934</v>
      </c>
      <c r="C383" t="s">
        <v>135</v>
      </c>
      <c r="D383" t="s">
        <v>39</v>
      </c>
      <c r="E383" t="s">
        <v>128</v>
      </c>
      <c r="F383" t="s">
        <v>16</v>
      </c>
      <c r="G383" t="s">
        <v>17</v>
      </c>
      <c r="H383" t="s">
        <v>153</v>
      </c>
      <c r="I383">
        <v>5</v>
      </c>
      <c r="J383" s="3">
        <v>0.05</v>
      </c>
      <c r="K383" s="4">
        <v>38202.25</v>
      </c>
      <c r="L383" s="4">
        <v>5939.16</v>
      </c>
      <c r="M383">
        <f t="shared" si="20"/>
        <v>2025</v>
      </c>
      <c r="N383" t="str">
        <f t="shared" si="21"/>
        <v>Oct</v>
      </c>
      <c r="O383" t="str">
        <f t="shared" si="22"/>
        <v>High</v>
      </c>
      <c r="P383" s="7">
        <f t="shared" si="23"/>
        <v>0.15546623562748266</v>
      </c>
    </row>
    <row r="384" spans="1:16" x14ac:dyDescent="0.3">
      <c r="A384" t="s">
        <v>486</v>
      </c>
      <c r="B384" s="2">
        <v>45935</v>
      </c>
      <c r="C384" t="s">
        <v>56</v>
      </c>
      <c r="D384" t="s">
        <v>21</v>
      </c>
      <c r="E384" t="s">
        <v>105</v>
      </c>
      <c r="F384" t="s">
        <v>16</v>
      </c>
      <c r="G384" t="s">
        <v>17</v>
      </c>
      <c r="H384" t="s">
        <v>88</v>
      </c>
      <c r="I384">
        <v>5</v>
      </c>
      <c r="J384" s="3">
        <v>0</v>
      </c>
      <c r="K384" s="4">
        <v>37803.300000000003</v>
      </c>
      <c r="L384" s="4">
        <v>3910.39</v>
      </c>
      <c r="M384">
        <f t="shared" si="20"/>
        <v>2025</v>
      </c>
      <c r="N384" t="str">
        <f t="shared" si="21"/>
        <v>Oct</v>
      </c>
      <c r="O384" t="str">
        <f t="shared" si="22"/>
        <v>High</v>
      </c>
      <c r="P384" s="7">
        <f t="shared" si="23"/>
        <v>0.10344044038483412</v>
      </c>
    </row>
    <row r="385" spans="1:16" x14ac:dyDescent="0.3">
      <c r="A385" t="s">
        <v>487</v>
      </c>
      <c r="B385" s="2">
        <v>45935</v>
      </c>
      <c r="C385" t="s">
        <v>100</v>
      </c>
      <c r="D385" t="s">
        <v>39</v>
      </c>
      <c r="E385" t="s">
        <v>40</v>
      </c>
      <c r="F385" t="s">
        <v>23</v>
      </c>
      <c r="G385" t="s">
        <v>35</v>
      </c>
      <c r="H385" t="s">
        <v>36</v>
      </c>
      <c r="I385">
        <v>5</v>
      </c>
      <c r="J385" s="3">
        <v>0.1</v>
      </c>
      <c r="K385" s="4">
        <v>149225.54999999999</v>
      </c>
      <c r="L385" s="4">
        <v>14263.46</v>
      </c>
      <c r="M385">
        <f t="shared" si="20"/>
        <v>2025</v>
      </c>
      <c r="N385" t="str">
        <f t="shared" si="21"/>
        <v>Oct</v>
      </c>
      <c r="O385" t="str">
        <f t="shared" si="22"/>
        <v>High</v>
      </c>
      <c r="P385" s="7">
        <f t="shared" si="23"/>
        <v>9.5583229547487006E-2</v>
      </c>
    </row>
    <row r="386" spans="1:16" x14ac:dyDescent="0.3">
      <c r="A386" t="s">
        <v>488</v>
      </c>
      <c r="B386" s="2">
        <v>45935</v>
      </c>
      <c r="C386" t="s">
        <v>95</v>
      </c>
      <c r="D386" t="s">
        <v>14</v>
      </c>
      <c r="E386" t="s">
        <v>15</v>
      </c>
      <c r="F386" t="s">
        <v>28</v>
      </c>
      <c r="G386" t="s">
        <v>71</v>
      </c>
      <c r="H386" t="s">
        <v>121</v>
      </c>
      <c r="I386">
        <v>7</v>
      </c>
      <c r="J386" s="3">
        <v>0.15</v>
      </c>
      <c r="K386" s="4">
        <v>11073.02</v>
      </c>
      <c r="L386" s="4">
        <v>1466.37</v>
      </c>
      <c r="M386">
        <f t="shared" si="20"/>
        <v>2025</v>
      </c>
      <c r="N386" t="str">
        <f t="shared" si="21"/>
        <v>Oct</v>
      </c>
      <c r="O386" t="str">
        <f t="shared" si="22"/>
        <v>High</v>
      </c>
      <c r="P386" s="7">
        <f t="shared" si="23"/>
        <v>0.13242728722606839</v>
      </c>
    </row>
    <row r="387" spans="1:16" x14ac:dyDescent="0.3">
      <c r="A387" t="s">
        <v>489</v>
      </c>
      <c r="B387" s="2">
        <v>45936</v>
      </c>
      <c r="C387" t="s">
        <v>27</v>
      </c>
      <c r="D387" t="s">
        <v>39</v>
      </c>
      <c r="E387" t="s">
        <v>128</v>
      </c>
      <c r="F387" t="s">
        <v>16</v>
      </c>
      <c r="G387" t="s">
        <v>17</v>
      </c>
      <c r="H387" t="s">
        <v>153</v>
      </c>
      <c r="I387">
        <v>4</v>
      </c>
      <c r="J387" s="3">
        <v>0.05</v>
      </c>
      <c r="K387" s="4">
        <v>20811.84</v>
      </c>
      <c r="L387" s="4">
        <v>4538.78</v>
      </c>
      <c r="M387">
        <f t="shared" ref="M387:M450" si="24">YEAR(B387)</f>
        <v>2025</v>
      </c>
      <c r="N387" t="str">
        <f t="shared" ref="N387:N450" si="25">TEXT(B387,"mmm")</f>
        <v>Oct</v>
      </c>
      <c r="O387" t="str">
        <f t="shared" ref="O387:O450" si="26">IF(K387&gt;=1000,"High",IF(K387&gt;=500,"Medium","Low"))</f>
        <v>High</v>
      </c>
      <c r="P387" s="7">
        <f t="shared" ref="P387:P450" si="27">IFERROR(L387/K387,0)</f>
        <v>0.21808643541368758</v>
      </c>
    </row>
    <row r="388" spans="1:16" x14ac:dyDescent="0.3">
      <c r="A388" t="s">
        <v>490</v>
      </c>
      <c r="B388" s="2">
        <v>45937</v>
      </c>
      <c r="C388" t="s">
        <v>77</v>
      </c>
      <c r="D388" t="s">
        <v>14</v>
      </c>
      <c r="E388" t="s">
        <v>114</v>
      </c>
      <c r="F388" t="s">
        <v>28</v>
      </c>
      <c r="G388" t="s">
        <v>29</v>
      </c>
      <c r="H388" t="s">
        <v>98</v>
      </c>
      <c r="I388">
        <v>2</v>
      </c>
      <c r="J388" s="3">
        <v>0.1</v>
      </c>
      <c r="K388" s="4">
        <v>5744.62</v>
      </c>
      <c r="L388" s="4">
        <v>1132.1099999999999</v>
      </c>
      <c r="M388">
        <f t="shared" si="24"/>
        <v>2025</v>
      </c>
      <c r="N388" t="str">
        <f t="shared" si="25"/>
        <v>Oct</v>
      </c>
      <c r="O388" t="str">
        <f t="shared" si="26"/>
        <v>High</v>
      </c>
      <c r="P388" s="7">
        <f t="shared" si="27"/>
        <v>0.197073087514927</v>
      </c>
    </row>
    <row r="389" spans="1:16" x14ac:dyDescent="0.3">
      <c r="A389" t="s">
        <v>491</v>
      </c>
      <c r="B389" s="2">
        <v>45937</v>
      </c>
      <c r="C389" t="s">
        <v>135</v>
      </c>
      <c r="D389" t="s">
        <v>33</v>
      </c>
      <c r="E389" t="s">
        <v>45</v>
      </c>
      <c r="F389" t="s">
        <v>28</v>
      </c>
      <c r="G389" t="s">
        <v>71</v>
      </c>
      <c r="H389" t="s">
        <v>72</v>
      </c>
      <c r="I389">
        <v>3</v>
      </c>
      <c r="J389" s="3">
        <v>0.05</v>
      </c>
      <c r="K389" s="4">
        <v>9167.34</v>
      </c>
      <c r="L389" s="4">
        <v>1984.17</v>
      </c>
      <c r="M389">
        <f t="shared" si="24"/>
        <v>2025</v>
      </c>
      <c r="N389" t="str">
        <f t="shared" si="25"/>
        <v>Oct</v>
      </c>
      <c r="O389" t="str">
        <f t="shared" si="26"/>
        <v>High</v>
      </c>
      <c r="P389" s="7">
        <f t="shared" si="27"/>
        <v>0.2164390106617623</v>
      </c>
    </row>
    <row r="390" spans="1:16" x14ac:dyDescent="0.3">
      <c r="A390" t="s">
        <v>492</v>
      </c>
      <c r="B390" s="2">
        <v>45937</v>
      </c>
      <c r="C390" t="s">
        <v>13</v>
      </c>
      <c r="D390" t="s">
        <v>33</v>
      </c>
      <c r="E390" t="s">
        <v>34</v>
      </c>
      <c r="F390" t="s">
        <v>28</v>
      </c>
      <c r="G390" t="s">
        <v>71</v>
      </c>
      <c r="H390" t="s">
        <v>72</v>
      </c>
      <c r="I390">
        <v>4</v>
      </c>
      <c r="J390" s="3">
        <v>0.2</v>
      </c>
      <c r="K390" s="4">
        <v>12297.88</v>
      </c>
      <c r="L390" s="4">
        <v>417.6</v>
      </c>
      <c r="M390">
        <f t="shared" si="24"/>
        <v>2025</v>
      </c>
      <c r="N390" t="str">
        <f t="shared" si="25"/>
        <v>Oct</v>
      </c>
      <c r="O390" t="str">
        <f t="shared" si="26"/>
        <v>High</v>
      </c>
      <c r="P390" s="7">
        <f t="shared" si="27"/>
        <v>3.3957072275871941E-2</v>
      </c>
    </row>
    <row r="391" spans="1:16" x14ac:dyDescent="0.3">
      <c r="A391" t="s">
        <v>493</v>
      </c>
      <c r="B391" s="2">
        <v>45938</v>
      </c>
      <c r="C391" t="s">
        <v>82</v>
      </c>
      <c r="D391" t="s">
        <v>21</v>
      </c>
      <c r="E391" t="s">
        <v>105</v>
      </c>
      <c r="F391" t="s">
        <v>28</v>
      </c>
      <c r="G391" t="s">
        <v>71</v>
      </c>
      <c r="H391" t="s">
        <v>121</v>
      </c>
      <c r="I391">
        <v>4</v>
      </c>
      <c r="J391" s="3">
        <v>0.15</v>
      </c>
      <c r="K391" s="4">
        <v>11429.92</v>
      </c>
      <c r="L391" s="4">
        <v>1233.81</v>
      </c>
      <c r="M391">
        <f t="shared" si="24"/>
        <v>2025</v>
      </c>
      <c r="N391" t="str">
        <f t="shared" si="25"/>
        <v>Oct</v>
      </c>
      <c r="O391" t="str">
        <f t="shared" si="26"/>
        <v>High</v>
      </c>
      <c r="P391" s="7">
        <f t="shared" si="27"/>
        <v>0.10794563741478505</v>
      </c>
    </row>
    <row r="392" spans="1:16" x14ac:dyDescent="0.3">
      <c r="A392" t="s">
        <v>494</v>
      </c>
      <c r="B392" s="2">
        <v>45938</v>
      </c>
      <c r="C392" t="s">
        <v>104</v>
      </c>
      <c r="D392" t="s">
        <v>39</v>
      </c>
      <c r="E392" t="s">
        <v>40</v>
      </c>
      <c r="F392" t="s">
        <v>23</v>
      </c>
      <c r="G392" t="s">
        <v>58</v>
      </c>
      <c r="H392" t="s">
        <v>78</v>
      </c>
      <c r="I392">
        <v>7</v>
      </c>
      <c r="J392" s="3">
        <v>0.05</v>
      </c>
      <c r="K392" s="4">
        <v>60996.11</v>
      </c>
      <c r="L392" s="4">
        <v>3909.02</v>
      </c>
      <c r="M392">
        <f t="shared" si="24"/>
        <v>2025</v>
      </c>
      <c r="N392" t="str">
        <f t="shared" si="25"/>
        <v>Oct</v>
      </c>
      <c r="O392" t="str">
        <f t="shared" si="26"/>
        <v>High</v>
      </c>
      <c r="P392" s="7">
        <f t="shared" si="27"/>
        <v>6.4086381902058995E-2</v>
      </c>
    </row>
    <row r="393" spans="1:16" x14ac:dyDescent="0.3">
      <c r="A393" t="s">
        <v>495</v>
      </c>
      <c r="B393" s="2">
        <v>45939</v>
      </c>
      <c r="C393" t="s">
        <v>147</v>
      </c>
      <c r="D393" t="s">
        <v>33</v>
      </c>
      <c r="E393" t="s">
        <v>86</v>
      </c>
      <c r="F393" t="s">
        <v>16</v>
      </c>
      <c r="G393" t="s">
        <v>68</v>
      </c>
      <c r="H393" t="s">
        <v>175</v>
      </c>
      <c r="I393">
        <v>6</v>
      </c>
      <c r="J393" s="3">
        <v>0.2</v>
      </c>
      <c r="K393" s="4">
        <v>66168.72</v>
      </c>
      <c r="L393" s="4">
        <v>8884.74</v>
      </c>
      <c r="M393">
        <f t="shared" si="24"/>
        <v>2025</v>
      </c>
      <c r="N393" t="str">
        <f t="shared" si="25"/>
        <v>Oct</v>
      </c>
      <c r="O393" t="str">
        <f t="shared" si="26"/>
        <v>High</v>
      </c>
      <c r="P393" s="7">
        <f t="shared" si="27"/>
        <v>0.13427401950649792</v>
      </c>
    </row>
    <row r="394" spans="1:16" x14ac:dyDescent="0.3">
      <c r="A394" t="s">
        <v>496</v>
      </c>
      <c r="B394" s="2">
        <v>45940</v>
      </c>
      <c r="C394" t="s">
        <v>95</v>
      </c>
      <c r="D394" t="s">
        <v>39</v>
      </c>
      <c r="E394" t="s">
        <v>128</v>
      </c>
      <c r="F394" t="s">
        <v>28</v>
      </c>
      <c r="G394" t="s">
        <v>29</v>
      </c>
      <c r="H394" t="s">
        <v>30</v>
      </c>
      <c r="I394">
        <v>5</v>
      </c>
      <c r="J394" s="3">
        <v>0.1</v>
      </c>
      <c r="K394" s="4">
        <v>13076.5</v>
      </c>
      <c r="L394" s="4">
        <v>1880.69</v>
      </c>
      <c r="M394">
        <f t="shared" si="24"/>
        <v>2025</v>
      </c>
      <c r="N394" t="str">
        <f t="shared" si="25"/>
        <v>Oct</v>
      </c>
      <c r="O394" t="str">
        <f t="shared" si="26"/>
        <v>High</v>
      </c>
      <c r="P394" s="7">
        <f t="shared" si="27"/>
        <v>0.14382212365694186</v>
      </c>
    </row>
    <row r="395" spans="1:16" x14ac:dyDescent="0.3">
      <c r="A395" t="s">
        <v>497</v>
      </c>
      <c r="B395" s="2">
        <v>45942</v>
      </c>
      <c r="C395" t="s">
        <v>27</v>
      </c>
      <c r="D395" t="s">
        <v>21</v>
      </c>
      <c r="E395" t="s">
        <v>105</v>
      </c>
      <c r="F395" t="s">
        <v>23</v>
      </c>
      <c r="G395" t="s">
        <v>58</v>
      </c>
      <c r="H395" t="s">
        <v>59</v>
      </c>
      <c r="I395">
        <v>2</v>
      </c>
      <c r="J395" s="3">
        <v>0.1</v>
      </c>
      <c r="K395" s="4">
        <v>37212.92</v>
      </c>
      <c r="L395" s="4">
        <v>5462.03</v>
      </c>
      <c r="M395">
        <f t="shared" si="24"/>
        <v>2025</v>
      </c>
      <c r="N395" t="str">
        <f t="shared" si="25"/>
        <v>Oct</v>
      </c>
      <c r="O395" t="str">
        <f t="shared" si="26"/>
        <v>High</v>
      </c>
      <c r="P395" s="7">
        <f t="shared" si="27"/>
        <v>0.14677778577977757</v>
      </c>
    </row>
    <row r="396" spans="1:16" x14ac:dyDescent="0.3">
      <c r="A396" t="s">
        <v>498</v>
      </c>
      <c r="B396" s="2">
        <v>45942</v>
      </c>
      <c r="C396" t="s">
        <v>95</v>
      </c>
      <c r="D396" t="s">
        <v>21</v>
      </c>
      <c r="E396" t="s">
        <v>22</v>
      </c>
      <c r="F396" t="s">
        <v>16</v>
      </c>
      <c r="G396" t="s">
        <v>68</v>
      </c>
      <c r="H396" t="s">
        <v>175</v>
      </c>
      <c r="I396">
        <v>1</v>
      </c>
      <c r="J396" s="3">
        <v>0.2</v>
      </c>
      <c r="K396" s="4">
        <v>11541.56</v>
      </c>
      <c r="L396" s="4">
        <v>1985.06</v>
      </c>
      <c r="M396">
        <f t="shared" si="24"/>
        <v>2025</v>
      </c>
      <c r="N396" t="str">
        <f t="shared" si="25"/>
        <v>Oct</v>
      </c>
      <c r="O396" t="str">
        <f t="shared" si="26"/>
        <v>High</v>
      </c>
      <c r="P396" s="7">
        <f t="shared" si="27"/>
        <v>0.17199234765490973</v>
      </c>
    </row>
    <row r="397" spans="1:16" x14ac:dyDescent="0.3">
      <c r="A397" t="s">
        <v>499</v>
      </c>
      <c r="B397" s="2">
        <v>45943</v>
      </c>
      <c r="C397" t="s">
        <v>138</v>
      </c>
      <c r="D397" t="s">
        <v>14</v>
      </c>
      <c r="E397" t="s">
        <v>114</v>
      </c>
      <c r="F397" t="s">
        <v>23</v>
      </c>
      <c r="G397" t="s">
        <v>48</v>
      </c>
      <c r="H397" t="s">
        <v>124</v>
      </c>
      <c r="I397">
        <v>5</v>
      </c>
      <c r="J397" s="3">
        <v>0.2</v>
      </c>
      <c r="K397" s="4">
        <v>193284.45</v>
      </c>
      <c r="L397" s="4">
        <v>25200.560000000001</v>
      </c>
      <c r="M397">
        <f t="shared" si="24"/>
        <v>2025</v>
      </c>
      <c r="N397" t="str">
        <f t="shared" si="25"/>
        <v>Oct</v>
      </c>
      <c r="O397" t="str">
        <f t="shared" si="26"/>
        <v>High</v>
      </c>
      <c r="P397" s="7">
        <f t="shared" si="27"/>
        <v>0.13038069022107054</v>
      </c>
    </row>
    <row r="398" spans="1:16" x14ac:dyDescent="0.3">
      <c r="A398" t="s">
        <v>500</v>
      </c>
      <c r="B398" s="2">
        <v>45944</v>
      </c>
      <c r="C398" t="s">
        <v>20</v>
      </c>
      <c r="D398" t="s">
        <v>14</v>
      </c>
      <c r="E398" t="s">
        <v>97</v>
      </c>
      <c r="F398" t="s">
        <v>16</v>
      </c>
      <c r="G398" t="s">
        <v>68</v>
      </c>
      <c r="H398" t="s">
        <v>175</v>
      </c>
      <c r="I398">
        <v>5</v>
      </c>
      <c r="J398" s="3">
        <v>0.05</v>
      </c>
      <c r="K398" s="4">
        <v>47393.8</v>
      </c>
      <c r="L398" s="4">
        <v>4668.21</v>
      </c>
      <c r="M398">
        <f t="shared" si="24"/>
        <v>2025</v>
      </c>
      <c r="N398" t="str">
        <f t="shared" si="25"/>
        <v>Oct</v>
      </c>
      <c r="O398" t="str">
        <f t="shared" si="26"/>
        <v>High</v>
      </c>
      <c r="P398" s="7">
        <f t="shared" si="27"/>
        <v>9.8498326785360107E-2</v>
      </c>
    </row>
    <row r="399" spans="1:16" x14ac:dyDescent="0.3">
      <c r="A399" t="s">
        <v>501</v>
      </c>
      <c r="B399" s="2">
        <v>45946</v>
      </c>
      <c r="C399" t="s">
        <v>111</v>
      </c>
      <c r="D399" t="s">
        <v>14</v>
      </c>
      <c r="E399" t="s">
        <v>15</v>
      </c>
      <c r="F399" t="s">
        <v>23</v>
      </c>
      <c r="G399" t="s">
        <v>24</v>
      </c>
      <c r="H399" t="s">
        <v>129</v>
      </c>
      <c r="I399">
        <v>3</v>
      </c>
      <c r="J399" s="3">
        <v>0.15</v>
      </c>
      <c r="K399" s="4">
        <v>130540.53</v>
      </c>
      <c r="L399" s="4">
        <v>22465.88</v>
      </c>
      <c r="M399">
        <f t="shared" si="24"/>
        <v>2025</v>
      </c>
      <c r="N399" t="str">
        <f t="shared" si="25"/>
        <v>Oct</v>
      </c>
      <c r="O399" t="str">
        <f t="shared" si="26"/>
        <v>High</v>
      </c>
      <c r="P399" s="7">
        <f t="shared" si="27"/>
        <v>0.17209888760218761</v>
      </c>
    </row>
    <row r="400" spans="1:16" x14ac:dyDescent="0.3">
      <c r="A400" t="s">
        <v>502</v>
      </c>
      <c r="B400" s="2">
        <v>45946</v>
      </c>
      <c r="C400" t="s">
        <v>66</v>
      </c>
      <c r="D400" t="s">
        <v>21</v>
      </c>
      <c r="E400" t="s">
        <v>57</v>
      </c>
      <c r="F400" t="s">
        <v>23</v>
      </c>
      <c r="G400" t="s">
        <v>24</v>
      </c>
      <c r="H400" t="s">
        <v>132</v>
      </c>
      <c r="I400">
        <v>6</v>
      </c>
      <c r="J400" s="3">
        <v>0.2</v>
      </c>
      <c r="K400" s="4">
        <v>215591.7</v>
      </c>
      <c r="L400" s="4">
        <v>34289.89</v>
      </c>
      <c r="M400">
        <f t="shared" si="24"/>
        <v>2025</v>
      </c>
      <c r="N400" t="str">
        <f t="shared" si="25"/>
        <v>Oct</v>
      </c>
      <c r="O400" t="str">
        <f t="shared" si="26"/>
        <v>High</v>
      </c>
      <c r="P400" s="7">
        <f t="shared" si="27"/>
        <v>0.15905013968534037</v>
      </c>
    </row>
    <row r="401" spans="1:16" x14ac:dyDescent="0.3">
      <c r="A401" t="s">
        <v>503</v>
      </c>
      <c r="B401" s="2">
        <v>45946</v>
      </c>
      <c r="C401" t="s">
        <v>38</v>
      </c>
      <c r="D401" t="s">
        <v>21</v>
      </c>
      <c r="E401" t="s">
        <v>22</v>
      </c>
      <c r="F401" t="s">
        <v>23</v>
      </c>
      <c r="G401" t="s">
        <v>24</v>
      </c>
      <c r="H401" t="s">
        <v>132</v>
      </c>
      <c r="I401">
        <v>1</v>
      </c>
      <c r="J401" s="3">
        <v>0</v>
      </c>
      <c r="K401" s="4">
        <v>24434.21</v>
      </c>
      <c r="L401" s="4">
        <v>3519.64</v>
      </c>
      <c r="M401">
        <f t="shared" si="24"/>
        <v>2025</v>
      </c>
      <c r="N401" t="str">
        <f t="shared" si="25"/>
        <v>Oct</v>
      </c>
      <c r="O401" t="str">
        <f t="shared" si="26"/>
        <v>High</v>
      </c>
      <c r="P401" s="7">
        <f t="shared" si="27"/>
        <v>0.14404558199344281</v>
      </c>
    </row>
    <row r="402" spans="1:16" x14ac:dyDescent="0.3">
      <c r="A402" t="s">
        <v>504</v>
      </c>
      <c r="B402" s="2">
        <v>45947</v>
      </c>
      <c r="C402" t="s">
        <v>82</v>
      </c>
      <c r="D402" t="s">
        <v>21</v>
      </c>
      <c r="E402" t="s">
        <v>67</v>
      </c>
      <c r="F402" t="s">
        <v>23</v>
      </c>
      <c r="G402" t="s">
        <v>35</v>
      </c>
      <c r="H402" t="s">
        <v>155</v>
      </c>
      <c r="I402">
        <v>4</v>
      </c>
      <c r="J402" s="3">
        <v>0.15</v>
      </c>
      <c r="K402" s="4">
        <v>87928.16</v>
      </c>
      <c r="L402" s="4">
        <v>3087.36</v>
      </c>
      <c r="M402">
        <f t="shared" si="24"/>
        <v>2025</v>
      </c>
      <c r="N402" t="str">
        <f t="shared" si="25"/>
        <v>Oct</v>
      </c>
      <c r="O402" t="str">
        <f t="shared" si="26"/>
        <v>High</v>
      </c>
      <c r="P402" s="7">
        <f t="shared" si="27"/>
        <v>3.5112300769173377E-2</v>
      </c>
    </row>
    <row r="403" spans="1:16" x14ac:dyDescent="0.3">
      <c r="A403" t="s">
        <v>505</v>
      </c>
      <c r="B403" s="2">
        <v>45949</v>
      </c>
      <c r="C403" t="s">
        <v>229</v>
      </c>
      <c r="D403" t="s">
        <v>33</v>
      </c>
      <c r="E403" t="s">
        <v>86</v>
      </c>
      <c r="F403" t="s">
        <v>23</v>
      </c>
      <c r="G403" t="s">
        <v>35</v>
      </c>
      <c r="H403" t="s">
        <v>155</v>
      </c>
      <c r="I403">
        <v>3</v>
      </c>
      <c r="J403" s="3">
        <v>0.15</v>
      </c>
      <c r="K403" s="4">
        <v>48986.61</v>
      </c>
      <c r="L403" s="4">
        <v>1781.83</v>
      </c>
      <c r="M403">
        <f t="shared" si="24"/>
        <v>2025</v>
      </c>
      <c r="N403" t="str">
        <f t="shared" si="25"/>
        <v>Oct</v>
      </c>
      <c r="O403" t="str">
        <f t="shared" si="26"/>
        <v>High</v>
      </c>
      <c r="P403" s="7">
        <f t="shared" si="27"/>
        <v>3.637381725332698E-2</v>
      </c>
    </row>
    <row r="404" spans="1:16" x14ac:dyDescent="0.3">
      <c r="A404" t="s">
        <v>506</v>
      </c>
      <c r="B404" s="2">
        <v>45950</v>
      </c>
      <c r="C404" t="s">
        <v>104</v>
      </c>
      <c r="D404" t="s">
        <v>33</v>
      </c>
      <c r="E404" t="s">
        <v>34</v>
      </c>
      <c r="F404" t="s">
        <v>16</v>
      </c>
      <c r="G404" t="s">
        <v>41</v>
      </c>
      <c r="H404" t="s">
        <v>42</v>
      </c>
      <c r="I404">
        <v>3</v>
      </c>
      <c r="J404" s="3">
        <v>0.1</v>
      </c>
      <c r="K404" s="4">
        <v>21805.11</v>
      </c>
      <c r="L404" s="4">
        <v>4331.22</v>
      </c>
      <c r="M404">
        <f t="shared" si="24"/>
        <v>2025</v>
      </c>
      <c r="N404" t="str">
        <f t="shared" si="25"/>
        <v>Oct</v>
      </c>
      <c r="O404" t="str">
        <f t="shared" si="26"/>
        <v>High</v>
      </c>
      <c r="P404" s="7">
        <f t="shared" si="27"/>
        <v>0.19863325614959063</v>
      </c>
    </row>
    <row r="405" spans="1:16" x14ac:dyDescent="0.3">
      <c r="A405" t="s">
        <v>507</v>
      </c>
      <c r="B405" s="2">
        <v>45950</v>
      </c>
      <c r="C405" t="s">
        <v>66</v>
      </c>
      <c r="D405" t="s">
        <v>33</v>
      </c>
      <c r="E405" t="s">
        <v>45</v>
      </c>
      <c r="F405" t="s">
        <v>23</v>
      </c>
      <c r="G405" t="s">
        <v>35</v>
      </c>
      <c r="H405" t="s">
        <v>36</v>
      </c>
      <c r="I405">
        <v>4</v>
      </c>
      <c r="J405" s="3">
        <v>0.15</v>
      </c>
      <c r="K405" s="4">
        <v>76220.44</v>
      </c>
      <c r="L405" s="4">
        <v>8637.58</v>
      </c>
      <c r="M405">
        <f t="shared" si="24"/>
        <v>2025</v>
      </c>
      <c r="N405" t="str">
        <f t="shared" si="25"/>
        <v>Oct</v>
      </c>
      <c r="O405" t="str">
        <f t="shared" si="26"/>
        <v>High</v>
      </c>
      <c r="P405" s="7">
        <f t="shared" si="27"/>
        <v>0.11332367013362819</v>
      </c>
    </row>
    <row r="406" spans="1:16" x14ac:dyDescent="0.3">
      <c r="A406" t="s">
        <v>508</v>
      </c>
      <c r="B406" s="2">
        <v>45950</v>
      </c>
      <c r="C406" t="s">
        <v>44</v>
      </c>
      <c r="D406" t="s">
        <v>14</v>
      </c>
      <c r="E406" t="s">
        <v>15</v>
      </c>
      <c r="F406" t="s">
        <v>28</v>
      </c>
      <c r="G406" t="s">
        <v>92</v>
      </c>
      <c r="H406" t="s">
        <v>204</v>
      </c>
      <c r="I406">
        <v>2</v>
      </c>
      <c r="J406" s="3">
        <v>0.1</v>
      </c>
      <c r="K406" s="4">
        <v>585.55999999999995</v>
      </c>
      <c r="L406" s="4">
        <v>71.36</v>
      </c>
      <c r="M406">
        <f t="shared" si="24"/>
        <v>2025</v>
      </c>
      <c r="N406" t="str">
        <f t="shared" si="25"/>
        <v>Oct</v>
      </c>
      <c r="O406" t="str">
        <f t="shared" si="26"/>
        <v>Medium</v>
      </c>
      <c r="P406" s="7">
        <f t="shared" si="27"/>
        <v>0.12186624769451466</v>
      </c>
    </row>
    <row r="407" spans="1:16" x14ac:dyDescent="0.3">
      <c r="A407" t="s">
        <v>509</v>
      </c>
      <c r="B407" s="2">
        <v>45950</v>
      </c>
      <c r="C407" t="s">
        <v>13</v>
      </c>
      <c r="D407" t="s">
        <v>21</v>
      </c>
      <c r="E407" t="s">
        <v>67</v>
      </c>
      <c r="F407" t="s">
        <v>16</v>
      </c>
      <c r="G407" t="s">
        <v>62</v>
      </c>
      <c r="H407" t="s">
        <v>180</v>
      </c>
      <c r="I407">
        <v>1</v>
      </c>
      <c r="J407" s="3">
        <v>0</v>
      </c>
      <c r="K407" s="4">
        <v>10968.9</v>
      </c>
      <c r="L407" s="4">
        <v>1081.6400000000001</v>
      </c>
      <c r="M407">
        <f t="shared" si="24"/>
        <v>2025</v>
      </c>
      <c r="N407" t="str">
        <f t="shared" si="25"/>
        <v>Oct</v>
      </c>
      <c r="O407" t="str">
        <f t="shared" si="26"/>
        <v>High</v>
      </c>
      <c r="P407" s="7">
        <f t="shared" si="27"/>
        <v>9.8609705622259305E-2</v>
      </c>
    </row>
    <row r="408" spans="1:16" x14ac:dyDescent="0.3">
      <c r="A408" t="s">
        <v>510</v>
      </c>
      <c r="B408" s="2">
        <v>45951</v>
      </c>
      <c r="C408" t="s">
        <v>77</v>
      </c>
      <c r="D408" t="s">
        <v>21</v>
      </c>
      <c r="E408" t="s">
        <v>57</v>
      </c>
      <c r="F408" t="s">
        <v>16</v>
      </c>
      <c r="G408" t="s">
        <v>62</v>
      </c>
      <c r="H408" t="s">
        <v>180</v>
      </c>
      <c r="I408">
        <v>7</v>
      </c>
      <c r="J408" s="3">
        <v>0</v>
      </c>
      <c r="K408" s="4">
        <v>50452.92</v>
      </c>
      <c r="L408" s="4">
        <v>6955.59</v>
      </c>
      <c r="M408">
        <f t="shared" si="24"/>
        <v>2025</v>
      </c>
      <c r="N408" t="str">
        <f t="shared" si="25"/>
        <v>Oct</v>
      </c>
      <c r="O408" t="str">
        <f t="shared" si="26"/>
        <v>High</v>
      </c>
      <c r="P408" s="7">
        <f t="shared" si="27"/>
        <v>0.13786298196417571</v>
      </c>
    </row>
    <row r="409" spans="1:16" x14ac:dyDescent="0.3">
      <c r="A409" t="s">
        <v>511</v>
      </c>
      <c r="B409" s="2">
        <v>45951</v>
      </c>
      <c r="C409" t="s">
        <v>150</v>
      </c>
      <c r="D409" t="s">
        <v>21</v>
      </c>
      <c r="E409" t="s">
        <v>57</v>
      </c>
      <c r="F409" t="s">
        <v>23</v>
      </c>
      <c r="G409" t="s">
        <v>24</v>
      </c>
      <c r="H409" t="s">
        <v>25</v>
      </c>
      <c r="I409">
        <v>2</v>
      </c>
      <c r="J409" s="3">
        <v>0.15</v>
      </c>
      <c r="K409" s="4">
        <v>31114.3</v>
      </c>
      <c r="L409" s="4">
        <v>4737.47</v>
      </c>
      <c r="M409">
        <f t="shared" si="24"/>
        <v>2025</v>
      </c>
      <c r="N409" t="str">
        <f t="shared" si="25"/>
        <v>Oct</v>
      </c>
      <c r="O409" t="str">
        <f t="shared" si="26"/>
        <v>High</v>
      </c>
      <c r="P409" s="7">
        <f t="shared" si="27"/>
        <v>0.1522602147565589</v>
      </c>
    </row>
    <row r="410" spans="1:16" x14ac:dyDescent="0.3">
      <c r="A410" t="s">
        <v>512</v>
      </c>
      <c r="B410" s="2">
        <v>45951</v>
      </c>
      <c r="C410" t="s">
        <v>229</v>
      </c>
      <c r="D410" t="s">
        <v>21</v>
      </c>
      <c r="E410" t="s">
        <v>105</v>
      </c>
      <c r="F410" t="s">
        <v>16</v>
      </c>
      <c r="G410" t="s">
        <v>68</v>
      </c>
      <c r="H410" t="s">
        <v>83</v>
      </c>
      <c r="I410">
        <v>2</v>
      </c>
      <c r="J410" s="3">
        <v>0.1</v>
      </c>
      <c r="K410" s="4">
        <v>15642.82</v>
      </c>
      <c r="L410" s="4">
        <v>945.93</v>
      </c>
      <c r="M410">
        <f t="shared" si="24"/>
        <v>2025</v>
      </c>
      <c r="N410" t="str">
        <f t="shared" si="25"/>
        <v>Oct</v>
      </c>
      <c r="O410" t="str">
        <f t="shared" si="26"/>
        <v>High</v>
      </c>
      <c r="P410" s="7">
        <f t="shared" si="27"/>
        <v>6.047055454195599E-2</v>
      </c>
    </row>
    <row r="411" spans="1:16" x14ac:dyDescent="0.3">
      <c r="A411" t="s">
        <v>513</v>
      </c>
      <c r="B411" s="2">
        <v>45952</v>
      </c>
      <c r="C411" t="s">
        <v>66</v>
      </c>
      <c r="D411" t="s">
        <v>14</v>
      </c>
      <c r="E411" t="s">
        <v>114</v>
      </c>
      <c r="F411" t="s">
        <v>16</v>
      </c>
      <c r="G411" t="s">
        <v>62</v>
      </c>
      <c r="H411" t="s">
        <v>180</v>
      </c>
      <c r="I411">
        <v>3</v>
      </c>
      <c r="J411" s="3">
        <v>0.2</v>
      </c>
      <c r="K411" s="4">
        <v>27804.42</v>
      </c>
      <c r="L411" s="4">
        <v>4484.3</v>
      </c>
      <c r="M411">
        <f t="shared" si="24"/>
        <v>2025</v>
      </c>
      <c r="N411" t="str">
        <f t="shared" si="25"/>
        <v>Oct</v>
      </c>
      <c r="O411" t="str">
        <f t="shared" si="26"/>
        <v>High</v>
      </c>
      <c r="P411" s="7">
        <f t="shared" si="27"/>
        <v>0.16128011301800219</v>
      </c>
    </row>
    <row r="412" spans="1:16" x14ac:dyDescent="0.3">
      <c r="A412" t="s">
        <v>514</v>
      </c>
      <c r="B412" s="2">
        <v>45952</v>
      </c>
      <c r="C412" t="s">
        <v>229</v>
      </c>
      <c r="D412" t="s">
        <v>14</v>
      </c>
      <c r="E412" t="s">
        <v>15</v>
      </c>
      <c r="F412" t="s">
        <v>23</v>
      </c>
      <c r="G412" t="s">
        <v>48</v>
      </c>
      <c r="H412" t="s">
        <v>124</v>
      </c>
      <c r="I412">
        <v>3</v>
      </c>
      <c r="J412" s="3">
        <v>0</v>
      </c>
      <c r="K412" s="4">
        <v>66879.149999999994</v>
      </c>
      <c r="L412" s="4">
        <v>5430.25</v>
      </c>
      <c r="M412">
        <f t="shared" si="24"/>
        <v>2025</v>
      </c>
      <c r="N412" t="str">
        <f t="shared" si="25"/>
        <v>Oct</v>
      </c>
      <c r="O412" t="str">
        <f t="shared" si="26"/>
        <v>High</v>
      </c>
      <c r="P412" s="7">
        <f t="shared" si="27"/>
        <v>8.1194961359407236E-2</v>
      </c>
    </row>
    <row r="413" spans="1:16" x14ac:dyDescent="0.3">
      <c r="A413" t="s">
        <v>515</v>
      </c>
      <c r="B413" s="2">
        <v>45953</v>
      </c>
      <c r="C413" t="s">
        <v>77</v>
      </c>
      <c r="D413" t="s">
        <v>14</v>
      </c>
      <c r="E413" t="s">
        <v>114</v>
      </c>
      <c r="F413" t="s">
        <v>16</v>
      </c>
      <c r="G413" t="s">
        <v>62</v>
      </c>
      <c r="H413" t="s">
        <v>63</v>
      </c>
      <c r="I413">
        <v>4</v>
      </c>
      <c r="J413" s="3">
        <v>0.1</v>
      </c>
      <c r="K413" s="4">
        <v>42524.76</v>
      </c>
      <c r="L413" s="4">
        <v>3440.65</v>
      </c>
      <c r="M413">
        <f t="shared" si="24"/>
        <v>2025</v>
      </c>
      <c r="N413" t="str">
        <f t="shared" si="25"/>
        <v>Oct</v>
      </c>
      <c r="O413" t="str">
        <f t="shared" si="26"/>
        <v>High</v>
      </c>
      <c r="P413" s="7">
        <f t="shared" si="27"/>
        <v>8.0909333762259908E-2</v>
      </c>
    </row>
    <row r="414" spans="1:16" x14ac:dyDescent="0.3">
      <c r="A414" t="s">
        <v>516</v>
      </c>
      <c r="B414" s="2">
        <v>45956</v>
      </c>
      <c r="C414" t="s">
        <v>38</v>
      </c>
      <c r="D414" t="s">
        <v>21</v>
      </c>
      <c r="E414" t="s">
        <v>22</v>
      </c>
      <c r="F414" t="s">
        <v>23</v>
      </c>
      <c r="G414" t="s">
        <v>35</v>
      </c>
      <c r="H414" t="s">
        <v>155</v>
      </c>
      <c r="I414">
        <v>7</v>
      </c>
      <c r="J414" s="3">
        <v>0.05</v>
      </c>
      <c r="K414" s="4">
        <v>106713.04</v>
      </c>
      <c r="L414" s="4">
        <v>21366.01</v>
      </c>
      <c r="M414">
        <f t="shared" si="24"/>
        <v>2025</v>
      </c>
      <c r="N414" t="str">
        <f t="shared" si="25"/>
        <v>Oct</v>
      </c>
      <c r="O414" t="str">
        <f t="shared" si="26"/>
        <v>High</v>
      </c>
      <c r="P414" s="7">
        <f t="shared" si="27"/>
        <v>0.20021929841001623</v>
      </c>
    </row>
    <row r="415" spans="1:16" x14ac:dyDescent="0.3">
      <c r="A415" t="s">
        <v>517</v>
      </c>
      <c r="B415" s="2">
        <v>45957</v>
      </c>
      <c r="C415" t="s">
        <v>100</v>
      </c>
      <c r="D415" t="s">
        <v>33</v>
      </c>
      <c r="E415" t="s">
        <v>140</v>
      </c>
      <c r="F415" t="s">
        <v>23</v>
      </c>
      <c r="G415" t="s">
        <v>35</v>
      </c>
      <c r="H415" t="s">
        <v>155</v>
      </c>
      <c r="I415">
        <v>7</v>
      </c>
      <c r="J415" s="3">
        <v>0</v>
      </c>
      <c r="K415" s="4">
        <v>193238.64</v>
      </c>
      <c r="L415" s="4">
        <v>34527.78</v>
      </c>
      <c r="M415">
        <f t="shared" si="24"/>
        <v>2025</v>
      </c>
      <c r="N415" t="str">
        <f t="shared" si="25"/>
        <v>Oct</v>
      </c>
      <c r="O415" t="str">
        <f t="shared" si="26"/>
        <v>High</v>
      </c>
      <c r="P415" s="7">
        <f t="shared" si="27"/>
        <v>0.17867948149500532</v>
      </c>
    </row>
    <row r="416" spans="1:16" x14ac:dyDescent="0.3">
      <c r="A416" t="s">
        <v>518</v>
      </c>
      <c r="B416" s="2">
        <v>45958</v>
      </c>
      <c r="C416" t="s">
        <v>44</v>
      </c>
      <c r="D416" t="s">
        <v>14</v>
      </c>
      <c r="E416" t="s">
        <v>15</v>
      </c>
      <c r="F416" t="s">
        <v>16</v>
      </c>
      <c r="G416" t="s">
        <v>62</v>
      </c>
      <c r="H416" t="s">
        <v>180</v>
      </c>
      <c r="I416">
        <v>2</v>
      </c>
      <c r="J416" s="3">
        <v>0.05</v>
      </c>
      <c r="K416" s="4">
        <v>5642.62</v>
      </c>
      <c r="L416" s="4">
        <v>533.34</v>
      </c>
      <c r="M416">
        <f t="shared" si="24"/>
        <v>2025</v>
      </c>
      <c r="N416" t="str">
        <f t="shared" si="25"/>
        <v>Oct</v>
      </c>
      <c r="O416" t="str">
        <f t="shared" si="26"/>
        <v>High</v>
      </c>
      <c r="P416" s="7">
        <f t="shared" si="27"/>
        <v>9.4519921596705081E-2</v>
      </c>
    </row>
    <row r="417" spans="1:16" x14ac:dyDescent="0.3">
      <c r="A417" t="s">
        <v>519</v>
      </c>
      <c r="B417" s="2">
        <v>45958</v>
      </c>
      <c r="C417" t="s">
        <v>27</v>
      </c>
      <c r="D417" t="s">
        <v>21</v>
      </c>
      <c r="E417" t="s">
        <v>22</v>
      </c>
      <c r="F417" t="s">
        <v>23</v>
      </c>
      <c r="G417" t="s">
        <v>48</v>
      </c>
      <c r="H417" t="s">
        <v>118</v>
      </c>
      <c r="I417">
        <v>2</v>
      </c>
      <c r="J417" s="3">
        <v>0</v>
      </c>
      <c r="K417" s="4">
        <v>80261.98</v>
      </c>
      <c r="L417" s="4">
        <v>15805.46</v>
      </c>
      <c r="M417">
        <f t="shared" si="24"/>
        <v>2025</v>
      </c>
      <c r="N417" t="str">
        <f t="shared" si="25"/>
        <v>Oct</v>
      </c>
      <c r="O417" t="str">
        <f t="shared" si="26"/>
        <v>High</v>
      </c>
      <c r="P417" s="7">
        <f t="shared" si="27"/>
        <v>0.19692337517713868</v>
      </c>
    </row>
    <row r="418" spans="1:16" x14ac:dyDescent="0.3">
      <c r="A418" t="s">
        <v>520</v>
      </c>
      <c r="B418" s="2">
        <v>45959</v>
      </c>
      <c r="C418" t="s">
        <v>95</v>
      </c>
      <c r="D418" t="s">
        <v>21</v>
      </c>
      <c r="E418" t="s">
        <v>105</v>
      </c>
      <c r="F418" t="s">
        <v>16</v>
      </c>
      <c r="G418" t="s">
        <v>17</v>
      </c>
      <c r="H418" t="s">
        <v>18</v>
      </c>
      <c r="I418">
        <v>5</v>
      </c>
      <c r="J418" s="3">
        <v>0.1</v>
      </c>
      <c r="K418" s="4">
        <v>7930.45</v>
      </c>
      <c r="L418" s="4">
        <v>810.6</v>
      </c>
      <c r="M418">
        <f t="shared" si="24"/>
        <v>2025</v>
      </c>
      <c r="N418" t="str">
        <f t="shared" si="25"/>
        <v>Oct</v>
      </c>
      <c r="O418" t="str">
        <f t="shared" si="26"/>
        <v>High</v>
      </c>
      <c r="P418" s="7">
        <f t="shared" si="27"/>
        <v>0.10221361965588334</v>
      </c>
    </row>
    <row r="419" spans="1:16" x14ac:dyDescent="0.3">
      <c r="A419" t="s">
        <v>521</v>
      </c>
      <c r="B419" s="2">
        <v>45960</v>
      </c>
      <c r="C419" t="s">
        <v>51</v>
      </c>
      <c r="D419" t="s">
        <v>33</v>
      </c>
      <c r="E419" t="s">
        <v>140</v>
      </c>
      <c r="F419" t="s">
        <v>28</v>
      </c>
      <c r="G419" t="s">
        <v>71</v>
      </c>
      <c r="H419" t="s">
        <v>72</v>
      </c>
      <c r="I419">
        <v>6</v>
      </c>
      <c r="J419" s="3">
        <v>0.1</v>
      </c>
      <c r="K419" s="4">
        <v>28770.240000000002</v>
      </c>
      <c r="L419" s="4">
        <v>4875.93</v>
      </c>
      <c r="M419">
        <f t="shared" si="24"/>
        <v>2025</v>
      </c>
      <c r="N419" t="str">
        <f t="shared" si="25"/>
        <v>Oct</v>
      </c>
      <c r="O419" t="str">
        <f t="shared" si="26"/>
        <v>High</v>
      </c>
      <c r="P419" s="7">
        <f t="shared" si="27"/>
        <v>0.16947825252761187</v>
      </c>
    </row>
    <row r="420" spans="1:16" x14ac:dyDescent="0.3">
      <c r="A420" t="s">
        <v>522</v>
      </c>
      <c r="B420" s="2">
        <v>45961</v>
      </c>
      <c r="C420" t="s">
        <v>147</v>
      </c>
      <c r="D420" t="s">
        <v>39</v>
      </c>
      <c r="E420" t="s">
        <v>52</v>
      </c>
      <c r="F420" t="s">
        <v>28</v>
      </c>
      <c r="G420" t="s">
        <v>92</v>
      </c>
      <c r="H420" t="s">
        <v>204</v>
      </c>
      <c r="I420">
        <v>3</v>
      </c>
      <c r="J420" s="3">
        <v>0.05</v>
      </c>
      <c r="K420" s="4">
        <v>531.41999999999996</v>
      </c>
      <c r="L420" s="4">
        <v>97.01</v>
      </c>
      <c r="M420">
        <f t="shared" si="24"/>
        <v>2025</v>
      </c>
      <c r="N420" t="str">
        <f t="shared" si="25"/>
        <v>Oct</v>
      </c>
      <c r="O420" t="str">
        <f t="shared" si="26"/>
        <v>Medium</v>
      </c>
      <c r="P420" s="7">
        <f t="shared" si="27"/>
        <v>0.18254864325768697</v>
      </c>
    </row>
    <row r="421" spans="1:16" x14ac:dyDescent="0.3">
      <c r="A421" t="s">
        <v>523</v>
      </c>
      <c r="B421" s="2">
        <v>45961</v>
      </c>
      <c r="C421" t="s">
        <v>104</v>
      </c>
      <c r="D421" t="s">
        <v>33</v>
      </c>
      <c r="E421" t="s">
        <v>140</v>
      </c>
      <c r="F421" t="s">
        <v>23</v>
      </c>
      <c r="G421" t="s">
        <v>35</v>
      </c>
      <c r="H421" t="s">
        <v>155</v>
      </c>
      <c r="I421">
        <v>7</v>
      </c>
      <c r="J421" s="3">
        <v>0.1</v>
      </c>
      <c r="K421" s="4">
        <v>189372.75</v>
      </c>
      <c r="L421" s="4">
        <v>33145.94</v>
      </c>
      <c r="M421">
        <f t="shared" si="24"/>
        <v>2025</v>
      </c>
      <c r="N421" t="str">
        <f t="shared" si="25"/>
        <v>Oct</v>
      </c>
      <c r="O421" t="str">
        <f t="shared" si="26"/>
        <v>High</v>
      </c>
      <c r="P421" s="7">
        <f t="shared" si="27"/>
        <v>0.17503014557268667</v>
      </c>
    </row>
    <row r="422" spans="1:16" x14ac:dyDescent="0.3">
      <c r="A422" t="s">
        <v>524</v>
      </c>
      <c r="B422" s="2">
        <v>45962</v>
      </c>
      <c r="C422" t="s">
        <v>77</v>
      </c>
      <c r="D422" t="s">
        <v>39</v>
      </c>
      <c r="E422" t="s">
        <v>40</v>
      </c>
      <c r="F422" t="s">
        <v>23</v>
      </c>
      <c r="G422" t="s">
        <v>35</v>
      </c>
      <c r="H422" t="s">
        <v>155</v>
      </c>
      <c r="I422">
        <v>3</v>
      </c>
      <c r="J422" s="3">
        <v>0.05</v>
      </c>
      <c r="K422" s="4">
        <v>35945.01</v>
      </c>
      <c r="L422" s="4">
        <v>5833.89</v>
      </c>
      <c r="M422">
        <f t="shared" si="24"/>
        <v>2025</v>
      </c>
      <c r="N422" t="str">
        <f t="shared" si="25"/>
        <v>Nov</v>
      </c>
      <c r="O422" t="str">
        <f t="shared" si="26"/>
        <v>High</v>
      </c>
      <c r="P422" s="7">
        <f t="shared" si="27"/>
        <v>0.16230041388220506</v>
      </c>
    </row>
    <row r="423" spans="1:16" x14ac:dyDescent="0.3">
      <c r="A423" t="s">
        <v>525</v>
      </c>
      <c r="B423" s="2">
        <v>45965</v>
      </c>
      <c r="C423" t="s">
        <v>111</v>
      </c>
      <c r="D423" t="s">
        <v>39</v>
      </c>
      <c r="E423" t="s">
        <v>40</v>
      </c>
      <c r="F423" t="s">
        <v>23</v>
      </c>
      <c r="G423" t="s">
        <v>35</v>
      </c>
      <c r="H423" t="s">
        <v>36</v>
      </c>
      <c r="I423">
        <v>7</v>
      </c>
      <c r="J423" s="3">
        <v>0.15</v>
      </c>
      <c r="K423" s="4">
        <v>109762.94</v>
      </c>
      <c r="L423" s="4">
        <v>8351.1200000000008</v>
      </c>
      <c r="M423">
        <f t="shared" si="24"/>
        <v>2025</v>
      </c>
      <c r="N423" t="str">
        <f t="shared" si="25"/>
        <v>Nov</v>
      </c>
      <c r="O423" t="str">
        <f t="shared" si="26"/>
        <v>High</v>
      </c>
      <c r="P423" s="7">
        <f t="shared" si="27"/>
        <v>7.608323902402761E-2</v>
      </c>
    </row>
    <row r="424" spans="1:16" x14ac:dyDescent="0.3">
      <c r="A424" t="s">
        <v>526</v>
      </c>
      <c r="B424" s="2">
        <v>45966</v>
      </c>
      <c r="C424" t="s">
        <v>56</v>
      </c>
      <c r="D424" t="s">
        <v>14</v>
      </c>
      <c r="E424" t="s">
        <v>54</v>
      </c>
      <c r="F424" t="s">
        <v>16</v>
      </c>
      <c r="G424" t="s">
        <v>17</v>
      </c>
      <c r="H424" t="s">
        <v>88</v>
      </c>
      <c r="I424">
        <v>7</v>
      </c>
      <c r="J424" s="3">
        <v>0.05</v>
      </c>
      <c r="K424" s="4">
        <v>40022.36</v>
      </c>
      <c r="L424" s="4">
        <v>7679.25</v>
      </c>
      <c r="M424">
        <f t="shared" si="24"/>
        <v>2025</v>
      </c>
      <c r="N424" t="str">
        <f t="shared" si="25"/>
        <v>Nov</v>
      </c>
      <c r="O424" t="str">
        <f t="shared" si="26"/>
        <v>High</v>
      </c>
      <c r="P424" s="7">
        <f t="shared" si="27"/>
        <v>0.19187399243822703</v>
      </c>
    </row>
    <row r="425" spans="1:16" x14ac:dyDescent="0.3">
      <c r="A425" t="s">
        <v>527</v>
      </c>
      <c r="B425" s="2">
        <v>45966</v>
      </c>
      <c r="C425" t="s">
        <v>56</v>
      </c>
      <c r="D425" t="s">
        <v>39</v>
      </c>
      <c r="E425" t="s">
        <v>47</v>
      </c>
      <c r="F425" t="s">
        <v>16</v>
      </c>
      <c r="G425" t="s">
        <v>17</v>
      </c>
      <c r="H425" t="s">
        <v>18</v>
      </c>
      <c r="I425">
        <v>3</v>
      </c>
      <c r="J425" s="3">
        <v>0.1</v>
      </c>
      <c r="K425" s="4">
        <v>20228.310000000001</v>
      </c>
      <c r="L425" s="4">
        <v>3068.84</v>
      </c>
      <c r="M425">
        <f t="shared" si="24"/>
        <v>2025</v>
      </c>
      <c r="N425" t="str">
        <f t="shared" si="25"/>
        <v>Nov</v>
      </c>
      <c r="O425" t="str">
        <f t="shared" si="26"/>
        <v>High</v>
      </c>
      <c r="P425" s="7">
        <f t="shared" si="27"/>
        <v>0.1517101527512679</v>
      </c>
    </row>
    <row r="426" spans="1:16" x14ac:dyDescent="0.3">
      <c r="A426" t="s">
        <v>528</v>
      </c>
      <c r="B426" s="2">
        <v>45966</v>
      </c>
      <c r="C426" t="s">
        <v>95</v>
      </c>
      <c r="D426" t="s">
        <v>33</v>
      </c>
      <c r="E426" t="s">
        <v>34</v>
      </c>
      <c r="F426" t="s">
        <v>16</v>
      </c>
      <c r="G426" t="s">
        <v>41</v>
      </c>
      <c r="H426" t="s">
        <v>42</v>
      </c>
      <c r="I426">
        <v>4</v>
      </c>
      <c r="J426" s="3">
        <v>0.05</v>
      </c>
      <c r="K426" s="4">
        <v>45173.440000000002</v>
      </c>
      <c r="L426" s="4">
        <v>4219.66</v>
      </c>
      <c r="M426">
        <f t="shared" si="24"/>
        <v>2025</v>
      </c>
      <c r="N426" t="str">
        <f t="shared" si="25"/>
        <v>Nov</v>
      </c>
      <c r="O426" t="str">
        <f t="shared" si="26"/>
        <v>High</v>
      </c>
      <c r="P426" s="7">
        <f t="shared" si="27"/>
        <v>9.3410198559153335E-2</v>
      </c>
    </row>
    <row r="427" spans="1:16" x14ac:dyDescent="0.3">
      <c r="A427" t="s">
        <v>529</v>
      </c>
      <c r="B427" s="2">
        <v>45967</v>
      </c>
      <c r="C427" t="s">
        <v>82</v>
      </c>
      <c r="D427" t="s">
        <v>39</v>
      </c>
      <c r="E427" t="s">
        <v>40</v>
      </c>
      <c r="F427" t="s">
        <v>16</v>
      </c>
      <c r="G427" t="s">
        <v>41</v>
      </c>
      <c r="H427" t="s">
        <v>42</v>
      </c>
      <c r="I427">
        <v>4</v>
      </c>
      <c r="J427" s="3">
        <v>0.05</v>
      </c>
      <c r="K427" s="4">
        <v>14781.24</v>
      </c>
      <c r="L427" s="4">
        <v>3289.07</v>
      </c>
      <c r="M427">
        <f t="shared" si="24"/>
        <v>2025</v>
      </c>
      <c r="N427" t="str">
        <f t="shared" si="25"/>
        <v>Nov</v>
      </c>
      <c r="O427" t="str">
        <f t="shared" si="26"/>
        <v>High</v>
      </c>
      <c r="P427" s="7">
        <f t="shared" si="27"/>
        <v>0.22251651417607726</v>
      </c>
    </row>
    <row r="428" spans="1:16" x14ac:dyDescent="0.3">
      <c r="A428" t="s">
        <v>530</v>
      </c>
      <c r="B428" s="2">
        <v>45967</v>
      </c>
      <c r="C428" t="s">
        <v>82</v>
      </c>
      <c r="D428" t="s">
        <v>39</v>
      </c>
      <c r="E428" t="s">
        <v>128</v>
      </c>
      <c r="F428" t="s">
        <v>16</v>
      </c>
      <c r="G428" t="s">
        <v>17</v>
      </c>
      <c r="H428" t="s">
        <v>153</v>
      </c>
      <c r="I428">
        <v>6</v>
      </c>
      <c r="J428" s="3">
        <v>0.2</v>
      </c>
      <c r="K428" s="4">
        <v>17886.12</v>
      </c>
      <c r="L428" s="4">
        <v>2471.5700000000002</v>
      </c>
      <c r="M428">
        <f t="shared" si="24"/>
        <v>2025</v>
      </c>
      <c r="N428" t="str">
        <f t="shared" si="25"/>
        <v>Nov</v>
      </c>
      <c r="O428" t="str">
        <f t="shared" si="26"/>
        <v>High</v>
      </c>
      <c r="P428" s="7">
        <f t="shared" si="27"/>
        <v>0.13818368656813218</v>
      </c>
    </row>
    <row r="429" spans="1:16" x14ac:dyDescent="0.3">
      <c r="A429" t="s">
        <v>531</v>
      </c>
      <c r="B429" s="2">
        <v>45967</v>
      </c>
      <c r="C429" t="s">
        <v>138</v>
      </c>
      <c r="D429" t="s">
        <v>39</v>
      </c>
      <c r="E429" t="s">
        <v>40</v>
      </c>
      <c r="F429" t="s">
        <v>28</v>
      </c>
      <c r="G429" t="s">
        <v>92</v>
      </c>
      <c r="H429" t="s">
        <v>93</v>
      </c>
      <c r="I429">
        <v>1</v>
      </c>
      <c r="J429" s="3">
        <v>0</v>
      </c>
      <c r="K429" s="4">
        <v>1709.07</v>
      </c>
      <c r="L429" s="4">
        <v>243.2</v>
      </c>
      <c r="M429">
        <f t="shared" si="24"/>
        <v>2025</v>
      </c>
      <c r="N429" t="str">
        <f t="shared" si="25"/>
        <v>Nov</v>
      </c>
      <c r="O429" t="str">
        <f t="shared" si="26"/>
        <v>High</v>
      </c>
      <c r="P429" s="7">
        <f t="shared" si="27"/>
        <v>0.14229961323994922</v>
      </c>
    </row>
    <row r="430" spans="1:16" x14ac:dyDescent="0.3">
      <c r="A430" t="s">
        <v>532</v>
      </c>
      <c r="B430" s="2">
        <v>45968</v>
      </c>
      <c r="C430" t="s">
        <v>111</v>
      </c>
      <c r="D430" t="s">
        <v>14</v>
      </c>
      <c r="E430" t="s">
        <v>15</v>
      </c>
      <c r="F430" t="s">
        <v>23</v>
      </c>
      <c r="G430" t="s">
        <v>35</v>
      </c>
      <c r="H430" t="s">
        <v>36</v>
      </c>
      <c r="I430">
        <v>3</v>
      </c>
      <c r="J430" s="3">
        <v>0.15</v>
      </c>
      <c r="K430" s="4">
        <v>118454.34</v>
      </c>
      <c r="L430" s="4">
        <v>20402.84</v>
      </c>
      <c r="M430">
        <f t="shared" si="24"/>
        <v>2025</v>
      </c>
      <c r="N430" t="str">
        <f t="shared" si="25"/>
        <v>Nov</v>
      </c>
      <c r="O430" t="str">
        <f t="shared" si="26"/>
        <v>High</v>
      </c>
      <c r="P430" s="7">
        <f t="shared" si="27"/>
        <v>0.17224223274554568</v>
      </c>
    </row>
    <row r="431" spans="1:16" x14ac:dyDescent="0.3">
      <c r="A431" t="s">
        <v>533</v>
      </c>
      <c r="B431" s="2">
        <v>45968</v>
      </c>
      <c r="C431" t="s">
        <v>179</v>
      </c>
      <c r="D431" t="s">
        <v>14</v>
      </c>
      <c r="E431" t="s">
        <v>97</v>
      </c>
      <c r="F431" t="s">
        <v>16</v>
      </c>
      <c r="G431" t="s">
        <v>68</v>
      </c>
      <c r="H431" t="s">
        <v>175</v>
      </c>
      <c r="I431">
        <v>2</v>
      </c>
      <c r="J431" s="3">
        <v>0</v>
      </c>
      <c r="K431" s="4">
        <v>1299.04</v>
      </c>
      <c r="L431" s="4">
        <v>149.83000000000001</v>
      </c>
      <c r="M431">
        <f t="shared" si="24"/>
        <v>2025</v>
      </c>
      <c r="N431" t="str">
        <f t="shared" si="25"/>
        <v>Nov</v>
      </c>
      <c r="O431" t="str">
        <f t="shared" si="26"/>
        <v>High</v>
      </c>
      <c r="P431" s="7">
        <f t="shared" si="27"/>
        <v>0.11533901958369258</v>
      </c>
    </row>
    <row r="432" spans="1:16" x14ac:dyDescent="0.3">
      <c r="A432" t="s">
        <v>534</v>
      </c>
      <c r="B432" s="2">
        <v>45970</v>
      </c>
      <c r="C432" t="s">
        <v>66</v>
      </c>
      <c r="D432" t="s">
        <v>33</v>
      </c>
      <c r="E432" t="s">
        <v>34</v>
      </c>
      <c r="F432" t="s">
        <v>28</v>
      </c>
      <c r="G432" t="s">
        <v>29</v>
      </c>
      <c r="H432" t="s">
        <v>30</v>
      </c>
      <c r="I432">
        <v>5</v>
      </c>
      <c r="J432" s="3">
        <v>0.15</v>
      </c>
      <c r="K432" s="4">
        <v>5259.7</v>
      </c>
      <c r="L432" s="4">
        <v>937.41</v>
      </c>
      <c r="M432">
        <f t="shared" si="24"/>
        <v>2025</v>
      </c>
      <c r="N432" t="str">
        <f t="shared" si="25"/>
        <v>Nov</v>
      </c>
      <c r="O432" t="str">
        <f t="shared" si="26"/>
        <v>High</v>
      </c>
      <c r="P432" s="7">
        <f t="shared" si="27"/>
        <v>0.17822499382094037</v>
      </c>
    </row>
    <row r="433" spans="1:16" x14ac:dyDescent="0.3">
      <c r="A433" t="s">
        <v>535</v>
      </c>
      <c r="B433" s="2">
        <v>45970</v>
      </c>
      <c r="C433" t="s">
        <v>77</v>
      </c>
      <c r="D433" t="s">
        <v>39</v>
      </c>
      <c r="E433" t="s">
        <v>40</v>
      </c>
      <c r="F433" t="s">
        <v>16</v>
      </c>
      <c r="G433" t="s">
        <v>17</v>
      </c>
      <c r="H433" t="s">
        <v>153</v>
      </c>
      <c r="I433">
        <v>2</v>
      </c>
      <c r="J433" s="3">
        <v>0.2</v>
      </c>
      <c r="K433" s="4">
        <v>19562.64</v>
      </c>
      <c r="L433" s="4">
        <v>668.44</v>
      </c>
      <c r="M433">
        <f t="shared" si="24"/>
        <v>2025</v>
      </c>
      <c r="N433" t="str">
        <f t="shared" si="25"/>
        <v>Nov</v>
      </c>
      <c r="O433" t="str">
        <f t="shared" si="26"/>
        <v>High</v>
      </c>
      <c r="P433" s="7">
        <f t="shared" si="27"/>
        <v>3.4169212335349426E-2</v>
      </c>
    </row>
    <row r="434" spans="1:16" x14ac:dyDescent="0.3">
      <c r="A434" t="s">
        <v>536</v>
      </c>
      <c r="B434" s="2">
        <v>45971</v>
      </c>
      <c r="C434" t="s">
        <v>143</v>
      </c>
      <c r="D434" t="s">
        <v>14</v>
      </c>
      <c r="E434" t="s">
        <v>114</v>
      </c>
      <c r="F434" t="s">
        <v>23</v>
      </c>
      <c r="G434" t="s">
        <v>58</v>
      </c>
      <c r="H434" t="s">
        <v>59</v>
      </c>
      <c r="I434">
        <v>3</v>
      </c>
      <c r="J434" s="3">
        <v>0.05</v>
      </c>
      <c r="K434" s="4">
        <v>90192.960000000006</v>
      </c>
      <c r="L434" s="4">
        <v>19206.04</v>
      </c>
      <c r="M434">
        <f t="shared" si="24"/>
        <v>2025</v>
      </c>
      <c r="N434" t="str">
        <f t="shared" si="25"/>
        <v>Nov</v>
      </c>
      <c r="O434" t="str">
        <f t="shared" si="26"/>
        <v>High</v>
      </c>
      <c r="P434" s="7">
        <f t="shared" si="27"/>
        <v>0.21294389273841327</v>
      </c>
    </row>
    <row r="435" spans="1:16" x14ac:dyDescent="0.3">
      <c r="A435" t="s">
        <v>537</v>
      </c>
      <c r="B435" s="2">
        <v>45971</v>
      </c>
      <c r="C435" t="s">
        <v>147</v>
      </c>
      <c r="D435" t="s">
        <v>14</v>
      </c>
      <c r="E435" t="s">
        <v>54</v>
      </c>
      <c r="F435" t="s">
        <v>16</v>
      </c>
      <c r="G435" t="s">
        <v>17</v>
      </c>
      <c r="H435" t="s">
        <v>88</v>
      </c>
      <c r="I435">
        <v>2</v>
      </c>
      <c r="J435" s="3">
        <v>0.05</v>
      </c>
      <c r="K435" s="4">
        <v>4334.2</v>
      </c>
      <c r="L435" s="4">
        <v>411.76</v>
      </c>
      <c r="M435">
        <f t="shared" si="24"/>
        <v>2025</v>
      </c>
      <c r="N435" t="str">
        <f t="shared" si="25"/>
        <v>Nov</v>
      </c>
      <c r="O435" t="str">
        <f t="shared" si="26"/>
        <v>High</v>
      </c>
      <c r="P435" s="7">
        <f t="shared" si="27"/>
        <v>9.5002537953947669E-2</v>
      </c>
    </row>
    <row r="436" spans="1:16" x14ac:dyDescent="0.3">
      <c r="A436" t="s">
        <v>538</v>
      </c>
      <c r="B436" s="2">
        <v>45972</v>
      </c>
      <c r="C436" t="s">
        <v>38</v>
      </c>
      <c r="D436" t="s">
        <v>33</v>
      </c>
      <c r="E436" t="s">
        <v>140</v>
      </c>
      <c r="F436" t="s">
        <v>16</v>
      </c>
      <c r="G436" t="s">
        <v>62</v>
      </c>
      <c r="H436" t="s">
        <v>167</v>
      </c>
      <c r="I436">
        <v>1</v>
      </c>
      <c r="J436" s="3">
        <v>0</v>
      </c>
      <c r="K436" s="4">
        <v>5144.12</v>
      </c>
      <c r="L436" s="4">
        <v>633.58000000000004</v>
      </c>
      <c r="M436">
        <f t="shared" si="24"/>
        <v>2025</v>
      </c>
      <c r="N436" t="str">
        <f t="shared" si="25"/>
        <v>Nov</v>
      </c>
      <c r="O436" t="str">
        <f t="shared" si="26"/>
        <v>High</v>
      </c>
      <c r="P436" s="7">
        <f t="shared" si="27"/>
        <v>0.12316586704820262</v>
      </c>
    </row>
    <row r="437" spans="1:16" x14ac:dyDescent="0.3">
      <c r="A437" t="s">
        <v>539</v>
      </c>
      <c r="B437" s="2">
        <v>45973</v>
      </c>
      <c r="C437" t="s">
        <v>13</v>
      </c>
      <c r="D437" t="s">
        <v>33</v>
      </c>
      <c r="E437" t="s">
        <v>86</v>
      </c>
      <c r="F437" t="s">
        <v>16</v>
      </c>
      <c r="G437" t="s">
        <v>17</v>
      </c>
      <c r="H437" t="s">
        <v>88</v>
      </c>
      <c r="I437">
        <v>7</v>
      </c>
      <c r="J437" s="3">
        <v>0.2</v>
      </c>
      <c r="K437" s="4">
        <v>3851.26</v>
      </c>
      <c r="L437" s="4">
        <v>505.35</v>
      </c>
      <c r="M437">
        <f t="shared" si="24"/>
        <v>2025</v>
      </c>
      <c r="N437" t="str">
        <f t="shared" si="25"/>
        <v>Nov</v>
      </c>
      <c r="O437" t="str">
        <f t="shared" si="26"/>
        <v>High</v>
      </c>
      <c r="P437" s="7">
        <f t="shared" si="27"/>
        <v>0.13121679658085925</v>
      </c>
    </row>
    <row r="438" spans="1:16" x14ac:dyDescent="0.3">
      <c r="A438" t="s">
        <v>540</v>
      </c>
      <c r="B438" s="2">
        <v>45973</v>
      </c>
      <c r="C438" t="s">
        <v>150</v>
      </c>
      <c r="D438" t="s">
        <v>33</v>
      </c>
      <c r="E438" t="s">
        <v>86</v>
      </c>
      <c r="F438" t="s">
        <v>23</v>
      </c>
      <c r="G438" t="s">
        <v>48</v>
      </c>
      <c r="H438" t="s">
        <v>118</v>
      </c>
      <c r="I438">
        <v>6</v>
      </c>
      <c r="J438" s="3">
        <v>0</v>
      </c>
      <c r="K438" s="4">
        <v>156774.06</v>
      </c>
      <c r="L438" s="4">
        <v>30201.84</v>
      </c>
      <c r="M438">
        <f t="shared" si="24"/>
        <v>2025</v>
      </c>
      <c r="N438" t="str">
        <f t="shared" si="25"/>
        <v>Nov</v>
      </c>
      <c r="O438" t="str">
        <f t="shared" si="26"/>
        <v>High</v>
      </c>
      <c r="P438" s="7">
        <f t="shared" si="27"/>
        <v>0.19264564558703143</v>
      </c>
    </row>
    <row r="439" spans="1:16" x14ac:dyDescent="0.3">
      <c r="A439" t="s">
        <v>541</v>
      </c>
      <c r="B439" s="2">
        <v>45974</v>
      </c>
      <c r="C439" t="s">
        <v>179</v>
      </c>
      <c r="D439" t="s">
        <v>21</v>
      </c>
      <c r="E439" t="s">
        <v>57</v>
      </c>
      <c r="F439" t="s">
        <v>23</v>
      </c>
      <c r="G439" t="s">
        <v>35</v>
      </c>
      <c r="H439" t="s">
        <v>155</v>
      </c>
      <c r="I439">
        <v>3</v>
      </c>
      <c r="J439" s="3">
        <v>0</v>
      </c>
      <c r="K439" s="4">
        <v>86827.83</v>
      </c>
      <c r="L439" s="4">
        <v>7589.85</v>
      </c>
      <c r="M439">
        <f t="shared" si="24"/>
        <v>2025</v>
      </c>
      <c r="N439" t="str">
        <f t="shared" si="25"/>
        <v>Nov</v>
      </c>
      <c r="O439" t="str">
        <f t="shared" si="26"/>
        <v>High</v>
      </c>
      <c r="P439" s="7">
        <f t="shared" si="27"/>
        <v>8.7412641776259986E-2</v>
      </c>
    </row>
    <row r="440" spans="1:16" x14ac:dyDescent="0.3">
      <c r="A440" t="s">
        <v>542</v>
      </c>
      <c r="B440" s="2">
        <v>45974</v>
      </c>
      <c r="C440" t="s">
        <v>32</v>
      </c>
      <c r="D440" t="s">
        <v>21</v>
      </c>
      <c r="E440" t="s">
        <v>22</v>
      </c>
      <c r="F440" t="s">
        <v>16</v>
      </c>
      <c r="G440" t="s">
        <v>17</v>
      </c>
      <c r="H440" t="s">
        <v>18</v>
      </c>
      <c r="I440">
        <v>3</v>
      </c>
      <c r="J440" s="3">
        <v>0</v>
      </c>
      <c r="K440" s="4">
        <v>2589.7199999999998</v>
      </c>
      <c r="L440" s="4">
        <v>230.06</v>
      </c>
      <c r="M440">
        <f t="shared" si="24"/>
        <v>2025</v>
      </c>
      <c r="N440" t="str">
        <f t="shared" si="25"/>
        <v>Nov</v>
      </c>
      <c r="O440" t="str">
        <f t="shared" si="26"/>
        <v>High</v>
      </c>
      <c r="P440" s="7">
        <f t="shared" si="27"/>
        <v>8.8835858702871362E-2</v>
      </c>
    </row>
    <row r="441" spans="1:16" x14ac:dyDescent="0.3">
      <c r="A441" t="s">
        <v>543</v>
      </c>
      <c r="B441" s="2">
        <v>45975</v>
      </c>
      <c r="C441" t="s">
        <v>82</v>
      </c>
      <c r="D441" t="s">
        <v>39</v>
      </c>
      <c r="E441" t="s">
        <v>52</v>
      </c>
      <c r="F441" t="s">
        <v>16</v>
      </c>
      <c r="G441" t="s">
        <v>41</v>
      </c>
      <c r="H441" t="s">
        <v>42</v>
      </c>
      <c r="I441">
        <v>7</v>
      </c>
      <c r="J441" s="3">
        <v>0.1</v>
      </c>
      <c r="K441" s="4">
        <v>71306.27</v>
      </c>
      <c r="L441" s="4">
        <v>9566.94</v>
      </c>
      <c r="M441">
        <f t="shared" si="24"/>
        <v>2025</v>
      </c>
      <c r="N441" t="str">
        <f t="shared" si="25"/>
        <v>Nov</v>
      </c>
      <c r="O441" t="str">
        <f t="shared" si="26"/>
        <v>High</v>
      </c>
      <c r="P441" s="7">
        <f t="shared" si="27"/>
        <v>0.13416688322078829</v>
      </c>
    </row>
    <row r="442" spans="1:16" x14ac:dyDescent="0.3">
      <c r="A442" t="s">
        <v>544</v>
      </c>
      <c r="B442" s="2">
        <v>45975</v>
      </c>
      <c r="C442" t="s">
        <v>77</v>
      </c>
      <c r="D442" t="s">
        <v>21</v>
      </c>
      <c r="E442" t="s">
        <v>67</v>
      </c>
      <c r="F442" t="s">
        <v>23</v>
      </c>
      <c r="G442" t="s">
        <v>58</v>
      </c>
      <c r="H442" t="s">
        <v>59</v>
      </c>
      <c r="I442">
        <v>6</v>
      </c>
      <c r="J442" s="3">
        <v>0.1</v>
      </c>
      <c r="K442" s="4">
        <v>209184.36</v>
      </c>
      <c r="L442" s="4">
        <v>42807.83</v>
      </c>
      <c r="M442">
        <f t="shared" si="24"/>
        <v>2025</v>
      </c>
      <c r="N442" t="str">
        <f t="shared" si="25"/>
        <v>Nov</v>
      </c>
      <c r="O442" t="str">
        <f t="shared" si="26"/>
        <v>High</v>
      </c>
      <c r="P442" s="7">
        <f t="shared" si="27"/>
        <v>0.20464163764442048</v>
      </c>
    </row>
    <row r="443" spans="1:16" x14ac:dyDescent="0.3">
      <c r="A443" t="s">
        <v>545</v>
      </c>
      <c r="B443" s="2">
        <v>45975</v>
      </c>
      <c r="C443" t="s">
        <v>27</v>
      </c>
      <c r="D443" t="s">
        <v>39</v>
      </c>
      <c r="E443" t="s">
        <v>47</v>
      </c>
      <c r="F443" t="s">
        <v>16</v>
      </c>
      <c r="G443" t="s">
        <v>68</v>
      </c>
      <c r="H443" t="s">
        <v>69</v>
      </c>
      <c r="I443">
        <v>1</v>
      </c>
      <c r="J443" s="3">
        <v>0.15</v>
      </c>
      <c r="K443" s="4">
        <v>7289.96</v>
      </c>
      <c r="L443" s="4">
        <v>848.02</v>
      </c>
      <c r="M443">
        <f t="shared" si="24"/>
        <v>2025</v>
      </c>
      <c r="N443" t="str">
        <f t="shared" si="25"/>
        <v>Nov</v>
      </c>
      <c r="O443" t="str">
        <f t="shared" si="26"/>
        <v>High</v>
      </c>
      <c r="P443" s="7">
        <f t="shared" si="27"/>
        <v>0.1163271129059693</v>
      </c>
    </row>
    <row r="444" spans="1:16" x14ac:dyDescent="0.3">
      <c r="A444" t="s">
        <v>546</v>
      </c>
      <c r="B444" s="2">
        <v>45976</v>
      </c>
      <c r="C444" t="s">
        <v>38</v>
      </c>
      <c r="D444" t="s">
        <v>14</v>
      </c>
      <c r="E444" t="s">
        <v>54</v>
      </c>
      <c r="F444" t="s">
        <v>23</v>
      </c>
      <c r="G444" t="s">
        <v>35</v>
      </c>
      <c r="H444" t="s">
        <v>155</v>
      </c>
      <c r="I444">
        <v>6</v>
      </c>
      <c r="J444" s="3">
        <v>0.05</v>
      </c>
      <c r="K444" s="4">
        <v>101013.18</v>
      </c>
      <c r="L444" s="4">
        <v>20009.2</v>
      </c>
      <c r="M444">
        <f t="shared" si="24"/>
        <v>2025</v>
      </c>
      <c r="N444" t="str">
        <f t="shared" si="25"/>
        <v>Nov</v>
      </c>
      <c r="O444" t="str">
        <f t="shared" si="26"/>
        <v>High</v>
      </c>
      <c r="P444" s="7">
        <f t="shared" si="27"/>
        <v>0.19808504197175064</v>
      </c>
    </row>
    <row r="445" spans="1:16" x14ac:dyDescent="0.3">
      <c r="A445" t="s">
        <v>547</v>
      </c>
      <c r="B445" s="2">
        <v>45978</v>
      </c>
      <c r="C445" t="s">
        <v>77</v>
      </c>
      <c r="D445" t="s">
        <v>33</v>
      </c>
      <c r="E445" t="s">
        <v>34</v>
      </c>
      <c r="F445" t="s">
        <v>23</v>
      </c>
      <c r="G445" t="s">
        <v>58</v>
      </c>
      <c r="H445" t="s">
        <v>101</v>
      </c>
      <c r="I445">
        <v>7</v>
      </c>
      <c r="J445" s="3">
        <v>0.15</v>
      </c>
      <c r="K445" s="4">
        <v>321582.09999999998</v>
      </c>
      <c r="L445" s="4">
        <v>38299.85</v>
      </c>
      <c r="M445">
        <f t="shared" si="24"/>
        <v>2025</v>
      </c>
      <c r="N445" t="str">
        <f t="shared" si="25"/>
        <v>Nov</v>
      </c>
      <c r="O445" t="str">
        <f t="shared" si="26"/>
        <v>High</v>
      </c>
      <c r="P445" s="7">
        <f t="shared" si="27"/>
        <v>0.11909820229421973</v>
      </c>
    </row>
    <row r="446" spans="1:16" x14ac:dyDescent="0.3">
      <c r="A446" t="s">
        <v>548</v>
      </c>
      <c r="B446" s="2">
        <v>45979</v>
      </c>
      <c r="C446" t="s">
        <v>44</v>
      </c>
      <c r="D446" t="s">
        <v>14</v>
      </c>
      <c r="E446" t="s">
        <v>97</v>
      </c>
      <c r="F446" t="s">
        <v>28</v>
      </c>
      <c r="G446" t="s">
        <v>71</v>
      </c>
      <c r="H446" t="s">
        <v>121</v>
      </c>
      <c r="I446">
        <v>4</v>
      </c>
      <c r="J446" s="3">
        <v>0</v>
      </c>
      <c r="K446" s="4">
        <v>18380.96</v>
      </c>
      <c r="L446" s="4">
        <v>3003.95</v>
      </c>
      <c r="M446">
        <f t="shared" si="24"/>
        <v>2025</v>
      </c>
      <c r="N446" t="str">
        <f t="shared" si="25"/>
        <v>Nov</v>
      </c>
      <c r="O446" t="str">
        <f t="shared" si="26"/>
        <v>High</v>
      </c>
      <c r="P446" s="7">
        <f t="shared" si="27"/>
        <v>0.16342726386434658</v>
      </c>
    </row>
    <row r="447" spans="1:16" x14ac:dyDescent="0.3">
      <c r="A447" t="s">
        <v>549</v>
      </c>
      <c r="B447" s="2">
        <v>45980</v>
      </c>
      <c r="C447" t="s">
        <v>61</v>
      </c>
      <c r="D447" t="s">
        <v>33</v>
      </c>
      <c r="E447" t="s">
        <v>86</v>
      </c>
      <c r="F447" t="s">
        <v>23</v>
      </c>
      <c r="G447" t="s">
        <v>35</v>
      </c>
      <c r="H447" t="s">
        <v>36</v>
      </c>
      <c r="I447">
        <v>3</v>
      </c>
      <c r="J447" s="3">
        <v>0.15</v>
      </c>
      <c r="K447" s="4">
        <v>107616.06</v>
      </c>
      <c r="L447" s="4">
        <v>8893.26</v>
      </c>
      <c r="M447">
        <f t="shared" si="24"/>
        <v>2025</v>
      </c>
      <c r="N447" t="str">
        <f t="shared" si="25"/>
        <v>Nov</v>
      </c>
      <c r="O447" t="str">
        <f t="shared" si="26"/>
        <v>High</v>
      </c>
      <c r="P447" s="7">
        <f t="shared" si="27"/>
        <v>8.2638780865978562E-2</v>
      </c>
    </row>
    <row r="448" spans="1:16" x14ac:dyDescent="0.3">
      <c r="A448" t="s">
        <v>550</v>
      </c>
      <c r="B448" s="2">
        <v>45980</v>
      </c>
      <c r="C448" t="s">
        <v>44</v>
      </c>
      <c r="D448" t="s">
        <v>33</v>
      </c>
      <c r="E448" t="s">
        <v>34</v>
      </c>
      <c r="F448" t="s">
        <v>23</v>
      </c>
      <c r="G448" t="s">
        <v>58</v>
      </c>
      <c r="H448" t="s">
        <v>90</v>
      </c>
      <c r="I448">
        <v>4</v>
      </c>
      <c r="J448" s="3">
        <v>0.1</v>
      </c>
      <c r="K448" s="4">
        <v>151639.35999999999</v>
      </c>
      <c r="L448" s="4">
        <v>8311.2800000000007</v>
      </c>
      <c r="M448">
        <f t="shared" si="24"/>
        <v>2025</v>
      </c>
      <c r="N448" t="str">
        <f t="shared" si="25"/>
        <v>Nov</v>
      </c>
      <c r="O448" t="str">
        <f t="shared" si="26"/>
        <v>High</v>
      </c>
      <c r="P448" s="7">
        <f t="shared" si="27"/>
        <v>5.4809516473823164E-2</v>
      </c>
    </row>
    <row r="449" spans="1:16" x14ac:dyDescent="0.3">
      <c r="A449" t="s">
        <v>551</v>
      </c>
      <c r="B449" s="2">
        <v>45981</v>
      </c>
      <c r="C449" t="s">
        <v>32</v>
      </c>
      <c r="D449" t="s">
        <v>14</v>
      </c>
      <c r="E449" t="s">
        <v>97</v>
      </c>
      <c r="F449" t="s">
        <v>28</v>
      </c>
      <c r="G449" t="s">
        <v>92</v>
      </c>
      <c r="H449" t="s">
        <v>204</v>
      </c>
      <c r="I449">
        <v>1</v>
      </c>
      <c r="J449" s="3">
        <v>0</v>
      </c>
      <c r="K449" s="4">
        <v>416.97</v>
      </c>
      <c r="L449" s="4">
        <v>35.14</v>
      </c>
      <c r="M449">
        <f t="shared" si="24"/>
        <v>2025</v>
      </c>
      <c r="N449" t="str">
        <f t="shared" si="25"/>
        <v>Nov</v>
      </c>
      <c r="O449" t="str">
        <f t="shared" si="26"/>
        <v>Low</v>
      </c>
      <c r="P449" s="7">
        <f t="shared" si="27"/>
        <v>8.4274648056215068E-2</v>
      </c>
    </row>
    <row r="450" spans="1:16" x14ac:dyDescent="0.3">
      <c r="A450" t="s">
        <v>552</v>
      </c>
      <c r="B450" s="2">
        <v>45982</v>
      </c>
      <c r="C450" t="s">
        <v>77</v>
      </c>
      <c r="D450" t="s">
        <v>14</v>
      </c>
      <c r="E450" t="s">
        <v>54</v>
      </c>
      <c r="F450" t="s">
        <v>23</v>
      </c>
      <c r="G450" t="s">
        <v>58</v>
      </c>
      <c r="H450" t="s">
        <v>90</v>
      </c>
      <c r="I450">
        <v>3</v>
      </c>
      <c r="J450" s="3">
        <v>0</v>
      </c>
      <c r="K450" s="4">
        <v>32557.11</v>
      </c>
      <c r="L450" s="4">
        <v>7870.52</v>
      </c>
      <c r="M450">
        <f t="shared" si="24"/>
        <v>2025</v>
      </c>
      <c r="N450" t="str">
        <f t="shared" si="25"/>
        <v>Nov</v>
      </c>
      <c r="O450" t="str">
        <f t="shared" si="26"/>
        <v>High</v>
      </c>
      <c r="P450" s="7">
        <f t="shared" si="27"/>
        <v>0.2417450443236516</v>
      </c>
    </row>
    <row r="451" spans="1:16" x14ac:dyDescent="0.3">
      <c r="A451" t="s">
        <v>553</v>
      </c>
      <c r="B451" s="2">
        <v>45983</v>
      </c>
      <c r="C451" t="s">
        <v>82</v>
      </c>
      <c r="D451" t="s">
        <v>39</v>
      </c>
      <c r="E451" t="s">
        <v>40</v>
      </c>
      <c r="F451" t="s">
        <v>28</v>
      </c>
      <c r="G451" t="s">
        <v>71</v>
      </c>
      <c r="H451" t="s">
        <v>72</v>
      </c>
      <c r="I451">
        <v>4</v>
      </c>
      <c r="J451" s="3">
        <v>0.15</v>
      </c>
      <c r="K451" s="4">
        <v>15563.8</v>
      </c>
      <c r="L451" s="4">
        <v>1402.59</v>
      </c>
      <c r="M451">
        <f t="shared" ref="M451:M501" si="28">YEAR(B451)</f>
        <v>2025</v>
      </c>
      <c r="N451" t="str">
        <f t="shared" ref="N451:N501" si="29">TEXT(B451,"mmm")</f>
        <v>Nov</v>
      </c>
      <c r="O451" t="str">
        <f t="shared" ref="O451:O501" si="30">IF(K451&gt;=1000,"High",IF(K451&gt;=500,"Medium","Low"))</f>
        <v>High</v>
      </c>
      <c r="P451" s="7">
        <f t="shared" ref="P451:P501" si="31">IFERROR(L451/K451,0)</f>
        <v>9.0118737069353236E-2</v>
      </c>
    </row>
    <row r="452" spans="1:16" x14ac:dyDescent="0.3">
      <c r="A452" t="s">
        <v>554</v>
      </c>
      <c r="B452" s="2">
        <v>45984</v>
      </c>
      <c r="C452" t="s">
        <v>13</v>
      </c>
      <c r="D452" t="s">
        <v>33</v>
      </c>
      <c r="E452" t="s">
        <v>140</v>
      </c>
      <c r="F452" t="s">
        <v>28</v>
      </c>
      <c r="G452" t="s">
        <v>92</v>
      </c>
      <c r="H452" t="s">
        <v>204</v>
      </c>
      <c r="I452">
        <v>5</v>
      </c>
      <c r="J452" s="3">
        <v>0.15</v>
      </c>
      <c r="K452" s="4">
        <v>18957.75</v>
      </c>
      <c r="L452" s="4">
        <v>790.45</v>
      </c>
      <c r="M452">
        <f t="shared" si="28"/>
        <v>2025</v>
      </c>
      <c r="N452" t="str">
        <f t="shared" si="29"/>
        <v>Nov</v>
      </c>
      <c r="O452" t="str">
        <f t="shared" si="30"/>
        <v>High</v>
      </c>
      <c r="P452" s="7">
        <f t="shared" si="31"/>
        <v>4.1695348867877256E-2</v>
      </c>
    </row>
    <row r="453" spans="1:16" x14ac:dyDescent="0.3">
      <c r="A453" t="s">
        <v>555</v>
      </c>
      <c r="B453" s="2">
        <v>45985</v>
      </c>
      <c r="C453" t="s">
        <v>138</v>
      </c>
      <c r="D453" t="s">
        <v>21</v>
      </c>
      <c r="E453" t="s">
        <v>67</v>
      </c>
      <c r="F453" t="s">
        <v>28</v>
      </c>
      <c r="G453" t="s">
        <v>92</v>
      </c>
      <c r="H453" t="s">
        <v>204</v>
      </c>
      <c r="I453">
        <v>6</v>
      </c>
      <c r="J453" s="3">
        <v>0.1</v>
      </c>
      <c r="K453" s="4">
        <v>18971.28</v>
      </c>
      <c r="L453" s="4">
        <v>3597.25</v>
      </c>
      <c r="M453">
        <f t="shared" si="28"/>
        <v>2025</v>
      </c>
      <c r="N453" t="str">
        <f t="shared" si="29"/>
        <v>Nov</v>
      </c>
      <c r="O453" t="str">
        <f t="shared" si="30"/>
        <v>High</v>
      </c>
      <c r="P453" s="7">
        <f t="shared" si="31"/>
        <v>0.18961556626648282</v>
      </c>
    </row>
    <row r="454" spans="1:16" x14ac:dyDescent="0.3">
      <c r="A454" t="s">
        <v>556</v>
      </c>
      <c r="B454" s="2">
        <v>45985</v>
      </c>
      <c r="C454" t="s">
        <v>143</v>
      </c>
      <c r="D454" t="s">
        <v>39</v>
      </c>
      <c r="E454" t="s">
        <v>40</v>
      </c>
      <c r="F454" t="s">
        <v>23</v>
      </c>
      <c r="G454" t="s">
        <v>35</v>
      </c>
      <c r="H454" t="s">
        <v>36</v>
      </c>
      <c r="I454">
        <v>1</v>
      </c>
      <c r="J454" s="3">
        <v>0.2</v>
      </c>
      <c r="K454" s="4">
        <v>1773.95</v>
      </c>
      <c r="L454" s="4">
        <v>110.25</v>
      </c>
      <c r="M454">
        <f t="shared" si="28"/>
        <v>2025</v>
      </c>
      <c r="N454" t="str">
        <f t="shared" si="29"/>
        <v>Nov</v>
      </c>
      <c r="O454" t="str">
        <f t="shared" si="30"/>
        <v>High</v>
      </c>
      <c r="P454" s="7">
        <f t="shared" si="31"/>
        <v>6.2149440514106938E-2</v>
      </c>
    </row>
    <row r="455" spans="1:16" x14ac:dyDescent="0.3">
      <c r="A455" t="s">
        <v>557</v>
      </c>
      <c r="B455" s="2">
        <v>45985</v>
      </c>
      <c r="C455" t="s">
        <v>104</v>
      </c>
      <c r="D455" t="s">
        <v>39</v>
      </c>
      <c r="E455" t="s">
        <v>128</v>
      </c>
      <c r="F455" t="s">
        <v>23</v>
      </c>
      <c r="G455" t="s">
        <v>58</v>
      </c>
      <c r="H455" t="s">
        <v>59</v>
      </c>
      <c r="I455">
        <v>2</v>
      </c>
      <c r="J455" s="3">
        <v>0.2</v>
      </c>
      <c r="K455" s="4">
        <v>54008.08</v>
      </c>
      <c r="L455" s="4">
        <v>2561.67</v>
      </c>
      <c r="M455">
        <f t="shared" si="28"/>
        <v>2025</v>
      </c>
      <c r="N455" t="str">
        <f t="shared" si="29"/>
        <v>Nov</v>
      </c>
      <c r="O455" t="str">
        <f t="shared" si="30"/>
        <v>High</v>
      </c>
      <c r="P455" s="7">
        <f t="shared" si="31"/>
        <v>4.7431236215025603E-2</v>
      </c>
    </row>
    <row r="456" spans="1:16" x14ac:dyDescent="0.3">
      <c r="A456" t="s">
        <v>558</v>
      </c>
      <c r="B456" s="2">
        <v>45986</v>
      </c>
      <c r="C456" t="s">
        <v>66</v>
      </c>
      <c r="D456" t="s">
        <v>21</v>
      </c>
      <c r="E456" t="s">
        <v>57</v>
      </c>
      <c r="F456" t="s">
        <v>16</v>
      </c>
      <c r="G456" t="s">
        <v>41</v>
      </c>
      <c r="H456" t="s">
        <v>177</v>
      </c>
      <c r="I456">
        <v>6</v>
      </c>
      <c r="J456" s="3">
        <v>0.1</v>
      </c>
      <c r="K456" s="4">
        <v>62348.76</v>
      </c>
      <c r="L456" s="4">
        <v>12106.16</v>
      </c>
      <c r="M456">
        <f t="shared" si="28"/>
        <v>2025</v>
      </c>
      <c r="N456" t="str">
        <f t="shared" si="29"/>
        <v>Nov</v>
      </c>
      <c r="O456" t="str">
        <f t="shared" si="30"/>
        <v>High</v>
      </c>
      <c r="P456" s="7">
        <f t="shared" si="31"/>
        <v>0.19416841650098574</v>
      </c>
    </row>
    <row r="457" spans="1:16" x14ac:dyDescent="0.3">
      <c r="A457" t="s">
        <v>559</v>
      </c>
      <c r="B457" s="2">
        <v>45987</v>
      </c>
      <c r="C457" t="s">
        <v>56</v>
      </c>
      <c r="D457" t="s">
        <v>39</v>
      </c>
      <c r="E457" t="s">
        <v>47</v>
      </c>
      <c r="F457" t="s">
        <v>23</v>
      </c>
      <c r="G457" t="s">
        <v>58</v>
      </c>
      <c r="H457" t="s">
        <v>101</v>
      </c>
      <c r="I457">
        <v>7</v>
      </c>
      <c r="J457" s="3">
        <v>0.2</v>
      </c>
      <c r="K457" s="4">
        <v>265138.02</v>
      </c>
      <c r="L457" s="4">
        <v>25193.19</v>
      </c>
      <c r="M457">
        <f t="shared" si="28"/>
        <v>2025</v>
      </c>
      <c r="N457" t="str">
        <f t="shared" si="29"/>
        <v>Nov</v>
      </c>
      <c r="O457" t="str">
        <f t="shared" si="30"/>
        <v>High</v>
      </c>
      <c r="P457" s="7">
        <f t="shared" si="31"/>
        <v>9.5019152666222656E-2</v>
      </c>
    </row>
    <row r="458" spans="1:16" x14ac:dyDescent="0.3">
      <c r="A458" t="s">
        <v>560</v>
      </c>
      <c r="B458" s="2">
        <v>45989</v>
      </c>
      <c r="C458" t="s">
        <v>100</v>
      </c>
      <c r="D458" t="s">
        <v>14</v>
      </c>
      <c r="E458" t="s">
        <v>54</v>
      </c>
      <c r="F458" t="s">
        <v>28</v>
      </c>
      <c r="G458" t="s">
        <v>29</v>
      </c>
      <c r="H458" t="s">
        <v>98</v>
      </c>
      <c r="I458">
        <v>5</v>
      </c>
      <c r="J458" s="3">
        <v>0.1</v>
      </c>
      <c r="K458" s="4">
        <v>11206.4</v>
      </c>
      <c r="L458" s="4">
        <v>839.77</v>
      </c>
      <c r="M458">
        <f t="shared" si="28"/>
        <v>2025</v>
      </c>
      <c r="N458" t="str">
        <f t="shared" si="29"/>
        <v>Nov</v>
      </c>
      <c r="O458" t="str">
        <f t="shared" si="30"/>
        <v>High</v>
      </c>
      <c r="P458" s="7">
        <f t="shared" si="31"/>
        <v>7.4936643346659046E-2</v>
      </c>
    </row>
    <row r="459" spans="1:16" x14ac:dyDescent="0.3">
      <c r="A459" t="s">
        <v>561</v>
      </c>
      <c r="B459" s="2">
        <v>45990</v>
      </c>
      <c r="C459" t="s">
        <v>100</v>
      </c>
      <c r="D459" t="s">
        <v>21</v>
      </c>
      <c r="E459" t="s">
        <v>57</v>
      </c>
      <c r="F459" t="s">
        <v>23</v>
      </c>
      <c r="G459" t="s">
        <v>58</v>
      </c>
      <c r="H459" t="s">
        <v>78</v>
      </c>
      <c r="I459">
        <v>3</v>
      </c>
      <c r="J459" s="3">
        <v>0.05</v>
      </c>
      <c r="K459" s="4">
        <v>10049.16</v>
      </c>
      <c r="L459" s="4">
        <v>1404.12</v>
      </c>
      <c r="M459">
        <f t="shared" si="28"/>
        <v>2025</v>
      </c>
      <c r="N459" t="str">
        <f t="shared" si="29"/>
        <v>Nov</v>
      </c>
      <c r="O459" t="str">
        <f t="shared" si="30"/>
        <v>High</v>
      </c>
      <c r="P459" s="7">
        <f t="shared" si="31"/>
        <v>0.13972511135259066</v>
      </c>
    </row>
    <row r="460" spans="1:16" x14ac:dyDescent="0.3">
      <c r="A460" t="s">
        <v>562</v>
      </c>
      <c r="B460" s="2">
        <v>45994</v>
      </c>
      <c r="C460" t="s">
        <v>85</v>
      </c>
      <c r="D460" t="s">
        <v>39</v>
      </c>
      <c r="E460" t="s">
        <v>52</v>
      </c>
      <c r="F460" t="s">
        <v>16</v>
      </c>
      <c r="G460" t="s">
        <v>62</v>
      </c>
      <c r="H460" t="s">
        <v>167</v>
      </c>
      <c r="I460">
        <v>3</v>
      </c>
      <c r="J460" s="3">
        <v>0.05</v>
      </c>
      <c r="K460" s="4">
        <v>13031.4</v>
      </c>
      <c r="L460" s="4">
        <v>1865.06</v>
      </c>
      <c r="M460">
        <f t="shared" si="28"/>
        <v>2025</v>
      </c>
      <c r="N460" t="str">
        <f t="shared" si="29"/>
        <v>Dec</v>
      </c>
      <c r="O460" t="str">
        <f t="shared" si="30"/>
        <v>High</v>
      </c>
      <c r="P460" s="7">
        <f t="shared" si="31"/>
        <v>0.14312046288196204</v>
      </c>
    </row>
    <row r="461" spans="1:16" x14ac:dyDescent="0.3">
      <c r="A461" t="s">
        <v>563</v>
      </c>
      <c r="B461" s="2">
        <v>45994</v>
      </c>
      <c r="C461" t="s">
        <v>66</v>
      </c>
      <c r="D461" t="s">
        <v>14</v>
      </c>
      <c r="E461" t="s">
        <v>15</v>
      </c>
      <c r="F461" t="s">
        <v>16</v>
      </c>
      <c r="G461" t="s">
        <v>62</v>
      </c>
      <c r="H461" t="s">
        <v>63</v>
      </c>
      <c r="I461">
        <v>1</v>
      </c>
      <c r="J461" s="3">
        <v>0.1</v>
      </c>
      <c r="K461" s="4">
        <v>1471.95</v>
      </c>
      <c r="L461" s="4">
        <v>112.41</v>
      </c>
      <c r="M461">
        <f t="shared" si="28"/>
        <v>2025</v>
      </c>
      <c r="N461" t="str">
        <f t="shared" si="29"/>
        <v>Dec</v>
      </c>
      <c r="O461" t="str">
        <f t="shared" si="30"/>
        <v>High</v>
      </c>
      <c r="P461" s="7">
        <f t="shared" si="31"/>
        <v>7.6368083154998462E-2</v>
      </c>
    </row>
    <row r="462" spans="1:16" x14ac:dyDescent="0.3">
      <c r="A462" t="s">
        <v>564</v>
      </c>
      <c r="B462" s="2">
        <v>45994</v>
      </c>
      <c r="C462" t="s">
        <v>77</v>
      </c>
      <c r="D462" t="s">
        <v>21</v>
      </c>
      <c r="E462" t="s">
        <v>22</v>
      </c>
      <c r="F462" t="s">
        <v>23</v>
      </c>
      <c r="G462" t="s">
        <v>24</v>
      </c>
      <c r="H462" t="s">
        <v>132</v>
      </c>
      <c r="I462">
        <v>4</v>
      </c>
      <c r="J462" s="3">
        <v>0.2</v>
      </c>
      <c r="K462" s="4">
        <v>135263.67999999999</v>
      </c>
      <c r="L462" s="4">
        <v>23130.82</v>
      </c>
      <c r="M462">
        <f t="shared" si="28"/>
        <v>2025</v>
      </c>
      <c r="N462" t="str">
        <f t="shared" si="29"/>
        <v>Dec</v>
      </c>
      <c r="O462" t="str">
        <f t="shared" si="30"/>
        <v>High</v>
      </c>
      <c r="P462" s="7">
        <f t="shared" si="31"/>
        <v>0.17100540218926472</v>
      </c>
    </row>
    <row r="463" spans="1:16" x14ac:dyDescent="0.3">
      <c r="A463" t="s">
        <v>565</v>
      </c>
      <c r="B463" s="2">
        <v>45995</v>
      </c>
      <c r="C463" t="s">
        <v>95</v>
      </c>
      <c r="D463" t="s">
        <v>14</v>
      </c>
      <c r="E463" t="s">
        <v>15</v>
      </c>
      <c r="F463" t="s">
        <v>28</v>
      </c>
      <c r="G463" t="s">
        <v>92</v>
      </c>
      <c r="H463" t="s">
        <v>204</v>
      </c>
      <c r="I463">
        <v>6</v>
      </c>
      <c r="J463" s="3">
        <v>0.2</v>
      </c>
      <c r="K463" s="4">
        <v>13783.68</v>
      </c>
      <c r="L463" s="4">
        <v>663.35</v>
      </c>
      <c r="M463">
        <f t="shared" si="28"/>
        <v>2025</v>
      </c>
      <c r="N463" t="str">
        <f t="shared" si="29"/>
        <v>Dec</v>
      </c>
      <c r="O463" t="str">
        <f t="shared" si="30"/>
        <v>High</v>
      </c>
      <c r="P463" s="7">
        <f t="shared" si="31"/>
        <v>4.8125754515484981E-2</v>
      </c>
    </row>
    <row r="464" spans="1:16" x14ac:dyDescent="0.3">
      <c r="A464" t="s">
        <v>566</v>
      </c>
      <c r="B464" s="2">
        <v>45995</v>
      </c>
      <c r="C464" t="s">
        <v>56</v>
      </c>
      <c r="D464" t="s">
        <v>39</v>
      </c>
      <c r="E464" t="s">
        <v>52</v>
      </c>
      <c r="F464" t="s">
        <v>28</v>
      </c>
      <c r="G464" t="s">
        <v>74</v>
      </c>
      <c r="H464" t="s">
        <v>159</v>
      </c>
      <c r="I464">
        <v>1</v>
      </c>
      <c r="J464" s="3">
        <v>0</v>
      </c>
      <c r="K464" s="4">
        <v>3410.88</v>
      </c>
      <c r="L464" s="4">
        <v>338.67</v>
      </c>
      <c r="M464">
        <f t="shared" si="28"/>
        <v>2025</v>
      </c>
      <c r="N464" t="str">
        <f t="shared" si="29"/>
        <v>Dec</v>
      </c>
      <c r="O464" t="str">
        <f t="shared" si="30"/>
        <v>High</v>
      </c>
      <c r="P464" s="7">
        <f t="shared" si="31"/>
        <v>9.929109203490008E-2</v>
      </c>
    </row>
    <row r="465" spans="1:16" x14ac:dyDescent="0.3">
      <c r="A465" t="s">
        <v>567</v>
      </c>
      <c r="B465" s="2">
        <v>45996</v>
      </c>
      <c r="C465" t="s">
        <v>20</v>
      </c>
      <c r="D465" t="s">
        <v>39</v>
      </c>
      <c r="E465" t="s">
        <v>128</v>
      </c>
      <c r="F465" t="s">
        <v>28</v>
      </c>
      <c r="G465" t="s">
        <v>29</v>
      </c>
      <c r="H465" t="s">
        <v>30</v>
      </c>
      <c r="I465">
        <v>2</v>
      </c>
      <c r="J465" s="3">
        <v>0.1</v>
      </c>
      <c r="K465" s="4">
        <v>4164.78</v>
      </c>
      <c r="L465" s="4">
        <v>196.88</v>
      </c>
      <c r="M465">
        <f t="shared" si="28"/>
        <v>2025</v>
      </c>
      <c r="N465" t="str">
        <f t="shared" si="29"/>
        <v>Dec</v>
      </c>
      <c r="O465" t="str">
        <f t="shared" si="30"/>
        <v>High</v>
      </c>
      <c r="P465" s="7">
        <f t="shared" si="31"/>
        <v>4.7272605035560106E-2</v>
      </c>
    </row>
    <row r="466" spans="1:16" x14ac:dyDescent="0.3">
      <c r="A466" t="s">
        <v>568</v>
      </c>
      <c r="B466" s="2">
        <v>45997</v>
      </c>
      <c r="C466" t="s">
        <v>100</v>
      </c>
      <c r="D466" t="s">
        <v>33</v>
      </c>
      <c r="E466" t="s">
        <v>86</v>
      </c>
      <c r="F466" t="s">
        <v>23</v>
      </c>
      <c r="G466" t="s">
        <v>35</v>
      </c>
      <c r="H466" t="s">
        <v>36</v>
      </c>
      <c r="I466">
        <v>2</v>
      </c>
      <c r="J466" s="3">
        <v>0</v>
      </c>
      <c r="K466" s="4">
        <v>13613.46</v>
      </c>
      <c r="L466" s="4">
        <v>1825.03</v>
      </c>
      <c r="M466">
        <f t="shared" si="28"/>
        <v>2025</v>
      </c>
      <c r="N466" t="str">
        <f t="shared" si="29"/>
        <v>Dec</v>
      </c>
      <c r="O466" t="str">
        <f t="shared" si="30"/>
        <v>High</v>
      </c>
      <c r="P466" s="7">
        <f t="shared" si="31"/>
        <v>0.13406070168788831</v>
      </c>
    </row>
    <row r="467" spans="1:16" x14ac:dyDescent="0.3">
      <c r="A467" t="s">
        <v>569</v>
      </c>
      <c r="B467" s="2">
        <v>45997</v>
      </c>
      <c r="C467" t="s">
        <v>82</v>
      </c>
      <c r="D467" t="s">
        <v>21</v>
      </c>
      <c r="E467" t="s">
        <v>67</v>
      </c>
      <c r="F467" t="s">
        <v>28</v>
      </c>
      <c r="G467" t="s">
        <v>92</v>
      </c>
      <c r="H467" t="s">
        <v>93</v>
      </c>
      <c r="I467">
        <v>5</v>
      </c>
      <c r="J467" s="3">
        <v>0.2</v>
      </c>
      <c r="K467" s="4">
        <v>24510.799999999999</v>
      </c>
      <c r="L467" s="4">
        <v>1692.72</v>
      </c>
      <c r="M467">
        <f t="shared" si="28"/>
        <v>2025</v>
      </c>
      <c r="N467" t="str">
        <f t="shared" si="29"/>
        <v>Dec</v>
      </c>
      <c r="O467" t="str">
        <f t="shared" si="30"/>
        <v>High</v>
      </c>
      <c r="P467" s="7">
        <f t="shared" si="31"/>
        <v>6.9060169394715806E-2</v>
      </c>
    </row>
    <row r="468" spans="1:16" x14ac:dyDescent="0.3">
      <c r="A468" t="s">
        <v>570</v>
      </c>
      <c r="B468" s="2">
        <v>45998</v>
      </c>
      <c r="C468" t="s">
        <v>13</v>
      </c>
      <c r="D468" t="s">
        <v>39</v>
      </c>
      <c r="E468" t="s">
        <v>128</v>
      </c>
      <c r="F468" t="s">
        <v>23</v>
      </c>
      <c r="G468" t="s">
        <v>35</v>
      </c>
      <c r="H468" t="s">
        <v>155</v>
      </c>
      <c r="I468">
        <v>4</v>
      </c>
      <c r="J468" s="3">
        <v>0.15</v>
      </c>
      <c r="K468" s="4">
        <v>172707.72</v>
      </c>
      <c r="L468" s="4">
        <v>17503.68</v>
      </c>
      <c r="M468">
        <f t="shared" si="28"/>
        <v>2025</v>
      </c>
      <c r="N468" t="str">
        <f t="shared" si="29"/>
        <v>Dec</v>
      </c>
      <c r="O468" t="str">
        <f t="shared" si="30"/>
        <v>High</v>
      </c>
      <c r="P468" s="7">
        <f t="shared" si="31"/>
        <v>0.10134856739467119</v>
      </c>
    </row>
    <row r="469" spans="1:16" x14ac:dyDescent="0.3">
      <c r="A469" t="s">
        <v>571</v>
      </c>
      <c r="B469" s="2">
        <v>45998</v>
      </c>
      <c r="C469" t="s">
        <v>95</v>
      </c>
      <c r="D469" t="s">
        <v>33</v>
      </c>
      <c r="E469" t="s">
        <v>45</v>
      </c>
      <c r="F469" t="s">
        <v>16</v>
      </c>
      <c r="G469" t="s">
        <v>68</v>
      </c>
      <c r="H469" t="s">
        <v>69</v>
      </c>
      <c r="I469">
        <v>3</v>
      </c>
      <c r="J469" s="3">
        <v>0</v>
      </c>
      <c r="K469" s="4">
        <v>9747.42</v>
      </c>
      <c r="L469" s="4">
        <v>1286.07</v>
      </c>
      <c r="M469">
        <f t="shared" si="28"/>
        <v>2025</v>
      </c>
      <c r="N469" t="str">
        <f t="shared" si="29"/>
        <v>Dec</v>
      </c>
      <c r="O469" t="str">
        <f t="shared" si="30"/>
        <v>High</v>
      </c>
      <c r="P469" s="7">
        <f t="shared" si="31"/>
        <v>0.13193952861372546</v>
      </c>
    </row>
    <row r="470" spans="1:16" x14ac:dyDescent="0.3">
      <c r="A470" t="s">
        <v>572</v>
      </c>
      <c r="B470" s="2">
        <v>45998</v>
      </c>
      <c r="C470" t="s">
        <v>147</v>
      </c>
      <c r="D470" t="s">
        <v>39</v>
      </c>
      <c r="E470" t="s">
        <v>52</v>
      </c>
      <c r="F470" t="s">
        <v>16</v>
      </c>
      <c r="G470" t="s">
        <v>68</v>
      </c>
      <c r="H470" t="s">
        <v>175</v>
      </c>
      <c r="I470">
        <v>1</v>
      </c>
      <c r="J470" s="3">
        <v>0.05</v>
      </c>
      <c r="K470" s="4">
        <v>3012.86</v>
      </c>
      <c r="L470" s="4">
        <v>338.62</v>
      </c>
      <c r="M470">
        <f t="shared" si="28"/>
        <v>2025</v>
      </c>
      <c r="N470" t="str">
        <f t="shared" si="29"/>
        <v>Dec</v>
      </c>
      <c r="O470" t="str">
        <f t="shared" si="30"/>
        <v>High</v>
      </c>
      <c r="P470" s="7">
        <f t="shared" si="31"/>
        <v>0.11239154822992106</v>
      </c>
    </row>
    <row r="471" spans="1:16" x14ac:dyDescent="0.3">
      <c r="A471" t="s">
        <v>573</v>
      </c>
      <c r="B471" s="2">
        <v>45999</v>
      </c>
      <c r="C471" t="s">
        <v>20</v>
      </c>
      <c r="D471" t="s">
        <v>39</v>
      </c>
      <c r="E471" t="s">
        <v>52</v>
      </c>
      <c r="F471" t="s">
        <v>23</v>
      </c>
      <c r="G471" t="s">
        <v>35</v>
      </c>
      <c r="H471" t="s">
        <v>155</v>
      </c>
      <c r="I471">
        <v>1</v>
      </c>
      <c r="J471" s="3">
        <v>0.2</v>
      </c>
      <c r="K471" s="4">
        <v>8428.0499999999993</v>
      </c>
      <c r="L471" s="4">
        <v>1286.28</v>
      </c>
      <c r="M471">
        <f t="shared" si="28"/>
        <v>2025</v>
      </c>
      <c r="N471" t="str">
        <f t="shared" si="29"/>
        <v>Dec</v>
      </c>
      <c r="O471" t="str">
        <f t="shared" si="30"/>
        <v>High</v>
      </c>
      <c r="P471" s="7">
        <f t="shared" si="31"/>
        <v>0.15261893320518982</v>
      </c>
    </row>
    <row r="472" spans="1:16" x14ac:dyDescent="0.3">
      <c r="A472" t="s">
        <v>574</v>
      </c>
      <c r="B472" s="2">
        <v>46000</v>
      </c>
      <c r="C472" t="s">
        <v>20</v>
      </c>
      <c r="D472" t="s">
        <v>33</v>
      </c>
      <c r="E472" t="s">
        <v>86</v>
      </c>
      <c r="F472" t="s">
        <v>16</v>
      </c>
      <c r="G472" t="s">
        <v>17</v>
      </c>
      <c r="H472" t="s">
        <v>18</v>
      </c>
      <c r="I472">
        <v>3</v>
      </c>
      <c r="J472" s="3">
        <v>0.2</v>
      </c>
      <c r="K472" s="4">
        <v>11930.49</v>
      </c>
      <c r="L472" s="4">
        <v>514.04</v>
      </c>
      <c r="M472">
        <f t="shared" si="28"/>
        <v>2025</v>
      </c>
      <c r="N472" t="str">
        <f t="shared" si="29"/>
        <v>Dec</v>
      </c>
      <c r="O472" t="str">
        <f t="shared" si="30"/>
        <v>High</v>
      </c>
      <c r="P472" s="7">
        <f t="shared" si="31"/>
        <v>4.3086243733492922E-2</v>
      </c>
    </row>
    <row r="473" spans="1:16" x14ac:dyDescent="0.3">
      <c r="A473" t="s">
        <v>575</v>
      </c>
      <c r="B473" s="2">
        <v>46000</v>
      </c>
      <c r="C473" t="s">
        <v>229</v>
      </c>
      <c r="D473" t="s">
        <v>21</v>
      </c>
      <c r="E473" t="s">
        <v>105</v>
      </c>
      <c r="F473" t="s">
        <v>23</v>
      </c>
      <c r="G473" t="s">
        <v>58</v>
      </c>
      <c r="H473" t="s">
        <v>90</v>
      </c>
      <c r="I473">
        <v>6</v>
      </c>
      <c r="J473" s="3">
        <v>0</v>
      </c>
      <c r="K473" s="4">
        <v>100827.12</v>
      </c>
      <c r="L473" s="4">
        <v>12399.55</v>
      </c>
      <c r="M473">
        <f t="shared" si="28"/>
        <v>2025</v>
      </c>
      <c r="N473" t="str">
        <f t="shared" si="29"/>
        <v>Dec</v>
      </c>
      <c r="O473" t="str">
        <f t="shared" si="30"/>
        <v>High</v>
      </c>
      <c r="P473" s="7">
        <f t="shared" si="31"/>
        <v>0.12297832170550939</v>
      </c>
    </row>
    <row r="474" spans="1:16" x14ac:dyDescent="0.3">
      <c r="A474" t="s">
        <v>576</v>
      </c>
      <c r="B474" s="2">
        <v>46001</v>
      </c>
      <c r="C474" t="s">
        <v>85</v>
      </c>
      <c r="D474" t="s">
        <v>21</v>
      </c>
      <c r="E474" t="s">
        <v>67</v>
      </c>
      <c r="F474" t="s">
        <v>16</v>
      </c>
      <c r="G474" t="s">
        <v>17</v>
      </c>
      <c r="H474" t="s">
        <v>18</v>
      </c>
      <c r="I474">
        <v>3</v>
      </c>
      <c r="J474" s="3">
        <v>0.15</v>
      </c>
      <c r="K474" s="4">
        <v>5146.4399999999996</v>
      </c>
      <c r="L474" s="4">
        <v>589.66999999999996</v>
      </c>
      <c r="M474">
        <f t="shared" si="28"/>
        <v>2025</v>
      </c>
      <c r="N474" t="str">
        <f t="shared" si="29"/>
        <v>Dec</v>
      </c>
      <c r="O474" t="str">
        <f t="shared" si="30"/>
        <v>High</v>
      </c>
      <c r="P474" s="7">
        <f t="shared" si="31"/>
        <v>0.11457823272009389</v>
      </c>
    </row>
    <row r="475" spans="1:16" x14ac:dyDescent="0.3">
      <c r="A475" t="s">
        <v>577</v>
      </c>
      <c r="B475" s="2">
        <v>46001</v>
      </c>
      <c r="C475" t="s">
        <v>143</v>
      </c>
      <c r="D475" t="s">
        <v>39</v>
      </c>
      <c r="E475" t="s">
        <v>47</v>
      </c>
      <c r="F475" t="s">
        <v>16</v>
      </c>
      <c r="G475" t="s">
        <v>41</v>
      </c>
      <c r="H475" t="s">
        <v>177</v>
      </c>
      <c r="I475">
        <v>4</v>
      </c>
      <c r="J475" s="3">
        <v>0.1</v>
      </c>
      <c r="K475" s="4">
        <v>15500.44</v>
      </c>
      <c r="L475" s="4">
        <v>1221.48</v>
      </c>
      <c r="M475">
        <f t="shared" si="28"/>
        <v>2025</v>
      </c>
      <c r="N475" t="str">
        <f t="shared" si="29"/>
        <v>Dec</v>
      </c>
      <c r="O475" t="str">
        <f t="shared" si="30"/>
        <v>High</v>
      </c>
      <c r="P475" s="7">
        <f t="shared" si="31"/>
        <v>7.8802924304084268E-2</v>
      </c>
    </row>
    <row r="476" spans="1:16" x14ac:dyDescent="0.3">
      <c r="A476" t="s">
        <v>578</v>
      </c>
      <c r="B476" s="2">
        <v>46002</v>
      </c>
      <c r="C476" t="s">
        <v>147</v>
      </c>
      <c r="D476" t="s">
        <v>39</v>
      </c>
      <c r="E476" t="s">
        <v>52</v>
      </c>
      <c r="F476" t="s">
        <v>28</v>
      </c>
      <c r="G476" t="s">
        <v>71</v>
      </c>
      <c r="H476" t="s">
        <v>72</v>
      </c>
      <c r="I476">
        <v>2</v>
      </c>
      <c r="J476" s="3">
        <v>0.1</v>
      </c>
      <c r="K476" s="4">
        <v>1237.18</v>
      </c>
      <c r="L476" s="4">
        <v>213.98</v>
      </c>
      <c r="M476">
        <f t="shared" si="28"/>
        <v>2025</v>
      </c>
      <c r="N476" t="str">
        <f t="shared" si="29"/>
        <v>Dec</v>
      </c>
      <c r="O476" t="str">
        <f t="shared" si="30"/>
        <v>High</v>
      </c>
      <c r="P476" s="7">
        <f t="shared" si="31"/>
        <v>0.17295785576876443</v>
      </c>
    </row>
    <row r="477" spans="1:16" x14ac:dyDescent="0.3">
      <c r="A477" t="s">
        <v>579</v>
      </c>
      <c r="B477" s="2">
        <v>46003</v>
      </c>
      <c r="C477" t="s">
        <v>20</v>
      </c>
      <c r="D477" t="s">
        <v>33</v>
      </c>
      <c r="E477" t="s">
        <v>34</v>
      </c>
      <c r="F477" t="s">
        <v>23</v>
      </c>
      <c r="G477" t="s">
        <v>58</v>
      </c>
      <c r="H477" t="s">
        <v>59</v>
      </c>
      <c r="I477">
        <v>7</v>
      </c>
      <c r="J477" s="3">
        <v>0.2</v>
      </c>
      <c r="K477" s="4">
        <v>155225.21</v>
      </c>
      <c r="L477" s="4">
        <v>1851.86</v>
      </c>
      <c r="M477">
        <f t="shared" si="28"/>
        <v>2025</v>
      </c>
      <c r="N477" t="str">
        <f t="shared" si="29"/>
        <v>Dec</v>
      </c>
      <c r="O477" t="str">
        <f t="shared" si="30"/>
        <v>High</v>
      </c>
      <c r="P477" s="7">
        <f t="shared" si="31"/>
        <v>1.1930149748227108E-2</v>
      </c>
    </row>
    <row r="478" spans="1:16" x14ac:dyDescent="0.3">
      <c r="A478" t="s">
        <v>580</v>
      </c>
      <c r="B478" s="2">
        <v>46004</v>
      </c>
      <c r="C478" t="s">
        <v>32</v>
      </c>
      <c r="D478" t="s">
        <v>39</v>
      </c>
      <c r="E478" t="s">
        <v>52</v>
      </c>
      <c r="F478" t="s">
        <v>23</v>
      </c>
      <c r="G478" t="s">
        <v>58</v>
      </c>
      <c r="H478" t="s">
        <v>90</v>
      </c>
      <c r="I478">
        <v>7</v>
      </c>
      <c r="J478" s="3">
        <v>0.2</v>
      </c>
      <c r="K478" s="4">
        <v>19496.82</v>
      </c>
      <c r="L478" s="4">
        <v>1249.31</v>
      </c>
      <c r="M478">
        <f t="shared" si="28"/>
        <v>2025</v>
      </c>
      <c r="N478" t="str">
        <f t="shared" si="29"/>
        <v>Dec</v>
      </c>
      <c r="O478" t="str">
        <f t="shared" si="30"/>
        <v>High</v>
      </c>
      <c r="P478" s="7">
        <f t="shared" si="31"/>
        <v>6.4077629069766245E-2</v>
      </c>
    </row>
    <row r="479" spans="1:16" x14ac:dyDescent="0.3">
      <c r="A479" t="s">
        <v>581</v>
      </c>
      <c r="B479" s="2">
        <v>46004</v>
      </c>
      <c r="C479" t="s">
        <v>100</v>
      </c>
      <c r="D479" t="s">
        <v>14</v>
      </c>
      <c r="E479" t="s">
        <v>114</v>
      </c>
      <c r="F479" t="s">
        <v>23</v>
      </c>
      <c r="G479" t="s">
        <v>58</v>
      </c>
      <c r="H479" t="s">
        <v>78</v>
      </c>
      <c r="I479">
        <v>2</v>
      </c>
      <c r="J479" s="3">
        <v>0</v>
      </c>
      <c r="K479" s="4">
        <v>66709.740000000005</v>
      </c>
      <c r="L479" s="4">
        <v>9569.58</v>
      </c>
      <c r="M479">
        <f t="shared" si="28"/>
        <v>2025</v>
      </c>
      <c r="N479" t="str">
        <f t="shared" si="29"/>
        <v>Dec</v>
      </c>
      <c r="O479" t="str">
        <f t="shared" si="30"/>
        <v>High</v>
      </c>
      <c r="P479" s="7">
        <f t="shared" si="31"/>
        <v>0.14345101629836962</v>
      </c>
    </row>
    <row r="480" spans="1:16" x14ac:dyDescent="0.3">
      <c r="A480" t="s">
        <v>582</v>
      </c>
      <c r="B480" s="2">
        <v>46005</v>
      </c>
      <c r="C480" t="s">
        <v>44</v>
      </c>
      <c r="D480" t="s">
        <v>14</v>
      </c>
      <c r="E480" t="s">
        <v>97</v>
      </c>
      <c r="F480" t="s">
        <v>28</v>
      </c>
      <c r="G480" t="s">
        <v>74</v>
      </c>
      <c r="H480" t="s">
        <v>75</v>
      </c>
      <c r="I480">
        <v>6</v>
      </c>
      <c r="J480" s="3">
        <v>0.1</v>
      </c>
      <c r="K480" s="4">
        <v>18600.36</v>
      </c>
      <c r="L480" s="4">
        <v>3666.48</v>
      </c>
      <c r="M480">
        <f t="shared" si="28"/>
        <v>2025</v>
      </c>
      <c r="N480" t="str">
        <f t="shared" si="29"/>
        <v>Dec</v>
      </c>
      <c r="O480" t="str">
        <f t="shared" si="30"/>
        <v>High</v>
      </c>
      <c r="P480" s="7">
        <f t="shared" si="31"/>
        <v>0.19711876544324949</v>
      </c>
    </row>
    <row r="481" spans="1:16" x14ac:dyDescent="0.3">
      <c r="A481" t="s">
        <v>583</v>
      </c>
      <c r="B481" s="2">
        <v>46006</v>
      </c>
      <c r="C481" t="s">
        <v>104</v>
      </c>
      <c r="D481" t="s">
        <v>14</v>
      </c>
      <c r="E481" t="s">
        <v>114</v>
      </c>
      <c r="F481" t="s">
        <v>23</v>
      </c>
      <c r="G481" t="s">
        <v>58</v>
      </c>
      <c r="H481" t="s">
        <v>101</v>
      </c>
      <c r="I481">
        <v>6</v>
      </c>
      <c r="J481" s="3">
        <v>0</v>
      </c>
      <c r="K481" s="4">
        <v>296611.62</v>
      </c>
      <c r="L481" s="4">
        <v>36468.35</v>
      </c>
      <c r="M481">
        <f t="shared" si="28"/>
        <v>2025</v>
      </c>
      <c r="N481" t="str">
        <f t="shared" si="29"/>
        <v>Dec</v>
      </c>
      <c r="O481" t="str">
        <f t="shared" si="30"/>
        <v>High</v>
      </c>
      <c r="P481" s="7">
        <f t="shared" si="31"/>
        <v>0.12294983588303114</v>
      </c>
    </row>
    <row r="482" spans="1:16" x14ac:dyDescent="0.3">
      <c r="A482" t="s">
        <v>584</v>
      </c>
      <c r="B482" s="2">
        <v>46007</v>
      </c>
      <c r="C482" t="s">
        <v>20</v>
      </c>
      <c r="D482" t="s">
        <v>33</v>
      </c>
      <c r="E482" t="s">
        <v>45</v>
      </c>
      <c r="F482" t="s">
        <v>23</v>
      </c>
      <c r="G482" t="s">
        <v>24</v>
      </c>
      <c r="H482" t="s">
        <v>25</v>
      </c>
      <c r="I482">
        <v>6</v>
      </c>
      <c r="J482" s="3">
        <v>0.05</v>
      </c>
      <c r="K482" s="4">
        <v>118628.4</v>
      </c>
      <c r="L482" s="4">
        <v>15808.07</v>
      </c>
      <c r="M482">
        <f t="shared" si="28"/>
        <v>2025</v>
      </c>
      <c r="N482" t="str">
        <f t="shared" si="29"/>
        <v>Dec</v>
      </c>
      <c r="O482" t="str">
        <f t="shared" si="30"/>
        <v>High</v>
      </c>
      <c r="P482" s="7">
        <f t="shared" si="31"/>
        <v>0.13325704468744415</v>
      </c>
    </row>
    <row r="483" spans="1:16" x14ac:dyDescent="0.3">
      <c r="A483" t="s">
        <v>585</v>
      </c>
      <c r="B483" s="2">
        <v>46009</v>
      </c>
      <c r="C483" t="s">
        <v>179</v>
      </c>
      <c r="D483" t="s">
        <v>39</v>
      </c>
      <c r="E483" t="s">
        <v>128</v>
      </c>
      <c r="F483" t="s">
        <v>16</v>
      </c>
      <c r="G483" t="s">
        <v>68</v>
      </c>
      <c r="H483" t="s">
        <v>69</v>
      </c>
      <c r="I483">
        <v>6</v>
      </c>
      <c r="J483" s="3">
        <v>0.15</v>
      </c>
      <c r="K483" s="4">
        <v>24590.639999999999</v>
      </c>
      <c r="L483" s="4">
        <v>1719.36</v>
      </c>
      <c r="M483">
        <f t="shared" si="28"/>
        <v>2025</v>
      </c>
      <c r="N483" t="str">
        <f t="shared" si="29"/>
        <v>Dec</v>
      </c>
      <c r="O483" t="str">
        <f t="shared" si="30"/>
        <v>High</v>
      </c>
      <c r="P483" s="7">
        <f t="shared" si="31"/>
        <v>6.9919286362616018E-2</v>
      </c>
    </row>
    <row r="484" spans="1:16" x14ac:dyDescent="0.3">
      <c r="A484" t="s">
        <v>586</v>
      </c>
      <c r="B484" s="2">
        <v>46009</v>
      </c>
      <c r="C484" t="s">
        <v>56</v>
      </c>
      <c r="D484" t="s">
        <v>39</v>
      </c>
      <c r="E484" t="s">
        <v>128</v>
      </c>
      <c r="F484" t="s">
        <v>16</v>
      </c>
      <c r="G484" t="s">
        <v>68</v>
      </c>
      <c r="H484" t="s">
        <v>83</v>
      </c>
      <c r="I484">
        <v>2</v>
      </c>
      <c r="J484" s="3">
        <v>0.15</v>
      </c>
      <c r="K484" s="4">
        <v>1481.74</v>
      </c>
      <c r="L484" s="4">
        <v>267.18</v>
      </c>
      <c r="M484">
        <f t="shared" si="28"/>
        <v>2025</v>
      </c>
      <c r="N484" t="str">
        <f t="shared" si="29"/>
        <v>Dec</v>
      </c>
      <c r="O484" t="str">
        <f t="shared" si="30"/>
        <v>High</v>
      </c>
      <c r="P484" s="7">
        <f t="shared" si="31"/>
        <v>0.1803150350263879</v>
      </c>
    </row>
    <row r="485" spans="1:16" x14ac:dyDescent="0.3">
      <c r="A485" t="s">
        <v>587</v>
      </c>
      <c r="B485" s="2">
        <v>46009</v>
      </c>
      <c r="C485" t="s">
        <v>66</v>
      </c>
      <c r="D485" t="s">
        <v>21</v>
      </c>
      <c r="E485" t="s">
        <v>105</v>
      </c>
      <c r="F485" t="s">
        <v>23</v>
      </c>
      <c r="G485" t="s">
        <v>48</v>
      </c>
      <c r="H485" t="s">
        <v>118</v>
      </c>
      <c r="I485">
        <v>7</v>
      </c>
      <c r="J485" s="3">
        <v>0.1</v>
      </c>
      <c r="K485" s="4">
        <v>85514.52</v>
      </c>
      <c r="L485" s="4">
        <v>13538.84</v>
      </c>
      <c r="M485">
        <f t="shared" si="28"/>
        <v>2025</v>
      </c>
      <c r="N485" t="str">
        <f t="shared" si="29"/>
        <v>Dec</v>
      </c>
      <c r="O485" t="str">
        <f t="shared" si="30"/>
        <v>High</v>
      </c>
      <c r="P485" s="7">
        <f t="shared" si="31"/>
        <v>0.15832211886355674</v>
      </c>
    </row>
    <row r="486" spans="1:16" x14ac:dyDescent="0.3">
      <c r="A486" t="s">
        <v>588</v>
      </c>
      <c r="B486" s="2">
        <v>46011</v>
      </c>
      <c r="C486" t="s">
        <v>82</v>
      </c>
      <c r="D486" t="s">
        <v>21</v>
      </c>
      <c r="E486" t="s">
        <v>105</v>
      </c>
      <c r="F486" t="s">
        <v>16</v>
      </c>
      <c r="G486" t="s">
        <v>41</v>
      </c>
      <c r="H486" t="s">
        <v>177</v>
      </c>
      <c r="I486">
        <v>6</v>
      </c>
      <c r="J486" s="3">
        <v>0.15</v>
      </c>
      <c r="K486" s="4">
        <v>34764.720000000001</v>
      </c>
      <c r="L486" s="4">
        <v>3211.36</v>
      </c>
      <c r="M486">
        <f t="shared" si="28"/>
        <v>2025</v>
      </c>
      <c r="N486" t="str">
        <f t="shared" si="29"/>
        <v>Dec</v>
      </c>
      <c r="O486" t="str">
        <f t="shared" si="30"/>
        <v>High</v>
      </c>
      <c r="P486" s="7">
        <f t="shared" si="31"/>
        <v>9.2374108003746333E-2</v>
      </c>
    </row>
    <row r="487" spans="1:16" x14ac:dyDescent="0.3">
      <c r="A487" t="s">
        <v>589</v>
      </c>
      <c r="B487" s="2">
        <v>46011</v>
      </c>
      <c r="C487" t="s">
        <v>51</v>
      </c>
      <c r="D487" t="s">
        <v>33</v>
      </c>
      <c r="E487" t="s">
        <v>34</v>
      </c>
      <c r="F487" t="s">
        <v>23</v>
      </c>
      <c r="G487" t="s">
        <v>48</v>
      </c>
      <c r="H487" t="s">
        <v>118</v>
      </c>
      <c r="I487">
        <v>3</v>
      </c>
      <c r="J487" s="3">
        <v>0.1</v>
      </c>
      <c r="K487" s="4">
        <v>48834.45</v>
      </c>
      <c r="L487" s="4">
        <v>9812.9599999999991</v>
      </c>
      <c r="M487">
        <f t="shared" si="28"/>
        <v>2025</v>
      </c>
      <c r="N487" t="str">
        <f t="shared" si="29"/>
        <v>Dec</v>
      </c>
      <c r="O487" t="str">
        <f t="shared" si="30"/>
        <v>High</v>
      </c>
      <c r="P487" s="7">
        <f t="shared" si="31"/>
        <v>0.20094339139685202</v>
      </c>
    </row>
    <row r="488" spans="1:16" x14ac:dyDescent="0.3">
      <c r="A488" t="s">
        <v>590</v>
      </c>
      <c r="B488" s="2">
        <v>46012</v>
      </c>
      <c r="C488" t="s">
        <v>32</v>
      </c>
      <c r="D488" t="s">
        <v>14</v>
      </c>
      <c r="E488" t="s">
        <v>54</v>
      </c>
      <c r="F488" t="s">
        <v>16</v>
      </c>
      <c r="G488" t="s">
        <v>62</v>
      </c>
      <c r="H488" t="s">
        <v>167</v>
      </c>
      <c r="I488">
        <v>5</v>
      </c>
      <c r="J488" s="3">
        <v>0.05</v>
      </c>
      <c r="K488" s="4">
        <v>52204.9</v>
      </c>
      <c r="L488" s="4">
        <v>6729.26</v>
      </c>
      <c r="M488">
        <f t="shared" si="28"/>
        <v>2025</v>
      </c>
      <c r="N488" t="str">
        <f t="shared" si="29"/>
        <v>Dec</v>
      </c>
      <c r="O488" t="str">
        <f t="shared" si="30"/>
        <v>High</v>
      </c>
      <c r="P488" s="7">
        <f t="shared" si="31"/>
        <v>0.1289009269244841</v>
      </c>
    </row>
    <row r="489" spans="1:16" x14ac:dyDescent="0.3">
      <c r="A489" t="s">
        <v>591</v>
      </c>
      <c r="B489" s="2">
        <v>46012</v>
      </c>
      <c r="C489" t="s">
        <v>51</v>
      </c>
      <c r="D489" t="s">
        <v>21</v>
      </c>
      <c r="E489" t="s">
        <v>57</v>
      </c>
      <c r="F489" t="s">
        <v>23</v>
      </c>
      <c r="G489" t="s">
        <v>48</v>
      </c>
      <c r="H489" t="s">
        <v>118</v>
      </c>
      <c r="I489">
        <v>4</v>
      </c>
      <c r="J489" s="3">
        <v>0</v>
      </c>
      <c r="K489" s="4">
        <v>99205.8</v>
      </c>
      <c r="L489" s="4">
        <v>15386.51</v>
      </c>
      <c r="M489">
        <f t="shared" si="28"/>
        <v>2025</v>
      </c>
      <c r="N489" t="str">
        <f t="shared" si="29"/>
        <v>Dec</v>
      </c>
      <c r="O489" t="str">
        <f t="shared" si="30"/>
        <v>High</v>
      </c>
      <c r="P489" s="7">
        <f t="shared" si="31"/>
        <v>0.15509687941632444</v>
      </c>
    </row>
    <row r="490" spans="1:16" x14ac:dyDescent="0.3">
      <c r="A490" t="s">
        <v>592</v>
      </c>
      <c r="B490" s="2">
        <v>46012</v>
      </c>
      <c r="C490" t="s">
        <v>135</v>
      </c>
      <c r="D490" t="s">
        <v>39</v>
      </c>
      <c r="E490" t="s">
        <v>52</v>
      </c>
      <c r="F490" t="s">
        <v>28</v>
      </c>
      <c r="G490" t="s">
        <v>29</v>
      </c>
      <c r="H490" t="s">
        <v>98</v>
      </c>
      <c r="I490">
        <v>3</v>
      </c>
      <c r="J490" s="3">
        <v>0.05</v>
      </c>
      <c r="K490" s="4">
        <v>12788.16</v>
      </c>
      <c r="L490" s="4">
        <v>1545.78</v>
      </c>
      <c r="M490">
        <f t="shared" si="28"/>
        <v>2025</v>
      </c>
      <c r="N490" t="str">
        <f t="shared" si="29"/>
        <v>Dec</v>
      </c>
      <c r="O490" t="str">
        <f t="shared" si="30"/>
        <v>High</v>
      </c>
      <c r="P490" s="7">
        <f t="shared" si="31"/>
        <v>0.12087587268223106</v>
      </c>
    </row>
    <row r="491" spans="1:16" x14ac:dyDescent="0.3">
      <c r="A491" t="s">
        <v>593</v>
      </c>
      <c r="B491" s="2">
        <v>46016</v>
      </c>
      <c r="C491" t="s">
        <v>44</v>
      </c>
      <c r="D491" t="s">
        <v>14</v>
      </c>
      <c r="E491" t="s">
        <v>54</v>
      </c>
      <c r="F491" t="s">
        <v>28</v>
      </c>
      <c r="G491" t="s">
        <v>29</v>
      </c>
      <c r="H491" t="s">
        <v>98</v>
      </c>
      <c r="I491">
        <v>5</v>
      </c>
      <c r="J491" s="3">
        <v>0</v>
      </c>
      <c r="K491" s="4">
        <v>18440.650000000001</v>
      </c>
      <c r="L491" s="4">
        <v>1821.58</v>
      </c>
      <c r="M491">
        <f t="shared" si="28"/>
        <v>2025</v>
      </c>
      <c r="N491" t="str">
        <f t="shared" si="29"/>
        <v>Dec</v>
      </c>
      <c r="O491" t="str">
        <f t="shared" si="30"/>
        <v>High</v>
      </c>
      <c r="P491" s="7">
        <f t="shared" si="31"/>
        <v>9.8780682893498867E-2</v>
      </c>
    </row>
    <row r="492" spans="1:16" x14ac:dyDescent="0.3">
      <c r="A492" t="s">
        <v>594</v>
      </c>
      <c r="B492" s="2">
        <v>46017</v>
      </c>
      <c r="C492" t="s">
        <v>100</v>
      </c>
      <c r="D492" t="s">
        <v>21</v>
      </c>
      <c r="E492" t="s">
        <v>57</v>
      </c>
      <c r="F492" t="s">
        <v>28</v>
      </c>
      <c r="G492" t="s">
        <v>74</v>
      </c>
      <c r="H492" t="s">
        <v>159</v>
      </c>
      <c r="I492">
        <v>6</v>
      </c>
      <c r="J492" s="3">
        <v>0.2</v>
      </c>
      <c r="K492" s="4">
        <v>19139.099999999999</v>
      </c>
      <c r="L492" s="4">
        <v>947.88</v>
      </c>
      <c r="M492">
        <f t="shared" si="28"/>
        <v>2025</v>
      </c>
      <c r="N492" t="str">
        <f t="shared" si="29"/>
        <v>Dec</v>
      </c>
      <c r="O492" t="str">
        <f t="shared" si="30"/>
        <v>High</v>
      </c>
      <c r="P492" s="7">
        <f t="shared" si="31"/>
        <v>4.9525839773030086E-2</v>
      </c>
    </row>
    <row r="493" spans="1:16" x14ac:dyDescent="0.3">
      <c r="A493" t="s">
        <v>595</v>
      </c>
      <c r="B493" s="2">
        <v>46017</v>
      </c>
      <c r="C493" t="s">
        <v>135</v>
      </c>
      <c r="D493" t="s">
        <v>33</v>
      </c>
      <c r="E493" t="s">
        <v>86</v>
      </c>
      <c r="F493" t="s">
        <v>28</v>
      </c>
      <c r="G493" t="s">
        <v>29</v>
      </c>
      <c r="H493" t="s">
        <v>30</v>
      </c>
      <c r="I493">
        <v>2</v>
      </c>
      <c r="J493" s="3">
        <v>0.05</v>
      </c>
      <c r="K493" s="4">
        <v>6227.08</v>
      </c>
      <c r="L493" s="4">
        <v>658.25</v>
      </c>
      <c r="M493">
        <f t="shared" si="28"/>
        <v>2025</v>
      </c>
      <c r="N493" t="str">
        <f t="shared" si="29"/>
        <v>Dec</v>
      </c>
      <c r="O493" t="str">
        <f t="shared" si="30"/>
        <v>High</v>
      </c>
      <c r="P493" s="7">
        <f t="shared" si="31"/>
        <v>0.10570765109810698</v>
      </c>
    </row>
    <row r="494" spans="1:16" x14ac:dyDescent="0.3">
      <c r="A494" t="s">
        <v>596</v>
      </c>
      <c r="B494" s="2">
        <v>46017</v>
      </c>
      <c r="C494" t="s">
        <v>135</v>
      </c>
      <c r="D494" t="s">
        <v>33</v>
      </c>
      <c r="E494" t="s">
        <v>140</v>
      </c>
      <c r="F494" t="s">
        <v>16</v>
      </c>
      <c r="G494" t="s">
        <v>68</v>
      </c>
      <c r="H494" t="s">
        <v>83</v>
      </c>
      <c r="I494">
        <v>7</v>
      </c>
      <c r="J494" s="3">
        <v>0.1</v>
      </c>
      <c r="K494" s="4">
        <v>18037.88</v>
      </c>
      <c r="L494" s="4">
        <v>1793.15</v>
      </c>
      <c r="M494">
        <f t="shared" si="28"/>
        <v>2025</v>
      </c>
      <c r="N494" t="str">
        <f t="shared" si="29"/>
        <v>Dec</v>
      </c>
      <c r="O494" t="str">
        <f t="shared" si="30"/>
        <v>High</v>
      </c>
      <c r="P494" s="7">
        <f t="shared" si="31"/>
        <v>9.9410241114809506E-2</v>
      </c>
    </row>
    <row r="495" spans="1:16" x14ac:dyDescent="0.3">
      <c r="A495" t="s">
        <v>597</v>
      </c>
      <c r="B495" s="2">
        <v>46017</v>
      </c>
      <c r="C495" t="s">
        <v>20</v>
      </c>
      <c r="D495" t="s">
        <v>33</v>
      </c>
      <c r="E495" t="s">
        <v>140</v>
      </c>
      <c r="F495" t="s">
        <v>16</v>
      </c>
      <c r="G495" t="s">
        <v>62</v>
      </c>
      <c r="H495" t="s">
        <v>180</v>
      </c>
      <c r="I495">
        <v>6</v>
      </c>
      <c r="J495" s="3">
        <v>0.15</v>
      </c>
      <c r="K495" s="4">
        <v>62579.16</v>
      </c>
      <c r="L495" s="4">
        <v>2819.51</v>
      </c>
      <c r="M495">
        <f t="shared" si="28"/>
        <v>2025</v>
      </c>
      <c r="N495" t="str">
        <f t="shared" si="29"/>
        <v>Dec</v>
      </c>
      <c r="O495" t="str">
        <f t="shared" si="30"/>
        <v>High</v>
      </c>
      <c r="P495" s="7">
        <f t="shared" si="31"/>
        <v>4.5055095018852923E-2</v>
      </c>
    </row>
    <row r="496" spans="1:16" x14ac:dyDescent="0.3">
      <c r="A496" t="s">
        <v>598</v>
      </c>
      <c r="B496" s="2">
        <v>46018</v>
      </c>
      <c r="C496" t="s">
        <v>138</v>
      </c>
      <c r="D496" t="s">
        <v>14</v>
      </c>
      <c r="E496" t="s">
        <v>15</v>
      </c>
      <c r="F496" t="s">
        <v>23</v>
      </c>
      <c r="G496" t="s">
        <v>58</v>
      </c>
      <c r="H496" t="s">
        <v>78</v>
      </c>
      <c r="I496">
        <v>1</v>
      </c>
      <c r="J496" s="3">
        <v>0.2</v>
      </c>
      <c r="K496" s="4">
        <v>9952.33</v>
      </c>
      <c r="L496" s="4">
        <v>1490.57</v>
      </c>
      <c r="M496">
        <f t="shared" si="28"/>
        <v>2025</v>
      </c>
      <c r="N496" t="str">
        <f t="shared" si="29"/>
        <v>Dec</v>
      </c>
      <c r="O496" t="str">
        <f t="shared" si="30"/>
        <v>High</v>
      </c>
      <c r="P496" s="7">
        <f t="shared" si="31"/>
        <v>0.14977095815753697</v>
      </c>
    </row>
    <row r="497" spans="1:16" x14ac:dyDescent="0.3">
      <c r="A497" t="s">
        <v>599</v>
      </c>
      <c r="B497" s="2">
        <v>46018</v>
      </c>
      <c r="C497" t="s">
        <v>138</v>
      </c>
      <c r="D497" t="s">
        <v>14</v>
      </c>
      <c r="E497" t="s">
        <v>15</v>
      </c>
      <c r="F497" t="s">
        <v>16</v>
      </c>
      <c r="G497" t="s">
        <v>62</v>
      </c>
      <c r="H497" t="s">
        <v>63</v>
      </c>
      <c r="I497">
        <v>1</v>
      </c>
      <c r="J497" s="3">
        <v>0.15</v>
      </c>
      <c r="K497" s="4">
        <v>8331.9500000000007</v>
      </c>
      <c r="L497" s="4">
        <v>1591.98</v>
      </c>
      <c r="M497">
        <f t="shared" si="28"/>
        <v>2025</v>
      </c>
      <c r="N497" t="str">
        <f t="shared" si="29"/>
        <v>Dec</v>
      </c>
      <c r="O497" t="str">
        <f t="shared" si="30"/>
        <v>High</v>
      </c>
      <c r="P497" s="7">
        <f t="shared" si="31"/>
        <v>0.19106931750670611</v>
      </c>
    </row>
    <row r="498" spans="1:16" x14ac:dyDescent="0.3">
      <c r="A498" t="s">
        <v>600</v>
      </c>
      <c r="B498" s="2">
        <v>46019</v>
      </c>
      <c r="C498" t="s">
        <v>143</v>
      </c>
      <c r="D498" t="s">
        <v>33</v>
      </c>
      <c r="E498" t="s">
        <v>34</v>
      </c>
      <c r="F498" t="s">
        <v>23</v>
      </c>
      <c r="G498" t="s">
        <v>58</v>
      </c>
      <c r="H498" t="s">
        <v>78</v>
      </c>
      <c r="I498">
        <v>1</v>
      </c>
      <c r="J498" s="3">
        <v>0</v>
      </c>
      <c r="K498" s="4">
        <v>17102.27</v>
      </c>
      <c r="L498" s="4">
        <v>3178.09</v>
      </c>
      <c r="M498">
        <f t="shared" si="28"/>
        <v>2025</v>
      </c>
      <c r="N498" t="str">
        <f t="shared" si="29"/>
        <v>Dec</v>
      </c>
      <c r="O498" t="str">
        <f t="shared" si="30"/>
        <v>High</v>
      </c>
      <c r="P498" s="7">
        <f t="shared" si="31"/>
        <v>0.18582854790621361</v>
      </c>
    </row>
    <row r="499" spans="1:16" x14ac:dyDescent="0.3">
      <c r="A499" t="s">
        <v>601</v>
      </c>
      <c r="B499" s="2">
        <v>46020</v>
      </c>
      <c r="C499" t="s">
        <v>38</v>
      </c>
      <c r="D499" t="s">
        <v>33</v>
      </c>
      <c r="E499" t="s">
        <v>34</v>
      </c>
      <c r="F499" t="s">
        <v>23</v>
      </c>
      <c r="G499" t="s">
        <v>58</v>
      </c>
      <c r="H499" t="s">
        <v>90</v>
      </c>
      <c r="I499">
        <v>4</v>
      </c>
      <c r="J499" s="3">
        <v>0</v>
      </c>
      <c r="K499" s="4">
        <v>44533.760000000002</v>
      </c>
      <c r="L499" s="4">
        <v>9350.08</v>
      </c>
      <c r="M499">
        <f t="shared" si="28"/>
        <v>2025</v>
      </c>
      <c r="N499" t="str">
        <f t="shared" si="29"/>
        <v>Dec</v>
      </c>
      <c r="O499" t="str">
        <f t="shared" si="30"/>
        <v>High</v>
      </c>
      <c r="P499" s="7">
        <f t="shared" si="31"/>
        <v>0.20995487468383536</v>
      </c>
    </row>
    <row r="500" spans="1:16" x14ac:dyDescent="0.3">
      <c r="A500" t="s">
        <v>602</v>
      </c>
      <c r="B500" s="2">
        <v>46022</v>
      </c>
      <c r="C500" t="s">
        <v>32</v>
      </c>
      <c r="D500" t="s">
        <v>14</v>
      </c>
      <c r="E500" t="s">
        <v>15</v>
      </c>
      <c r="F500" t="s">
        <v>28</v>
      </c>
      <c r="G500" t="s">
        <v>71</v>
      </c>
      <c r="H500" t="s">
        <v>121</v>
      </c>
      <c r="I500">
        <v>3</v>
      </c>
      <c r="J500" s="3">
        <v>0</v>
      </c>
      <c r="K500" s="4">
        <v>4370.49</v>
      </c>
      <c r="L500" s="4">
        <v>794.03</v>
      </c>
      <c r="M500">
        <f t="shared" si="28"/>
        <v>2025</v>
      </c>
      <c r="N500" t="str">
        <f t="shared" si="29"/>
        <v>Dec</v>
      </c>
      <c r="O500" t="str">
        <f t="shared" si="30"/>
        <v>High</v>
      </c>
      <c r="P500" s="7">
        <f t="shared" si="31"/>
        <v>0.18167985740729301</v>
      </c>
    </row>
    <row r="501" spans="1:16" x14ac:dyDescent="0.3">
      <c r="A501" t="s">
        <v>603</v>
      </c>
      <c r="B501" s="2">
        <v>46022</v>
      </c>
      <c r="C501" t="s">
        <v>20</v>
      </c>
      <c r="D501" t="s">
        <v>39</v>
      </c>
      <c r="E501" t="s">
        <v>128</v>
      </c>
      <c r="F501" t="s">
        <v>16</v>
      </c>
      <c r="G501" t="s">
        <v>68</v>
      </c>
      <c r="H501" t="s">
        <v>83</v>
      </c>
      <c r="I501">
        <v>6</v>
      </c>
      <c r="J501" s="3">
        <v>0.1</v>
      </c>
      <c r="K501" s="4">
        <v>65520.84</v>
      </c>
      <c r="L501" s="4">
        <v>11801.48</v>
      </c>
      <c r="M501">
        <f t="shared" si="28"/>
        <v>2025</v>
      </c>
      <c r="N501" t="str">
        <f t="shared" si="29"/>
        <v>Dec</v>
      </c>
      <c r="O501" t="str">
        <f t="shared" si="30"/>
        <v>High</v>
      </c>
      <c r="P501" s="7">
        <f t="shared" si="31"/>
        <v>0.18011795941566072</v>
      </c>
    </row>
  </sheetData>
  <autoFilter ref="A1:L50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Raw_Data</vt:lpstr>
      <vt:lpstr>Detail1</vt:lpstr>
      <vt:lpstr>Detail2</vt:lpstr>
      <vt:lpstr>Detail3</vt:lpstr>
      <vt:lpstr>Pivot_Summary</vt:lpstr>
      <vt:lpstr>Pivot_Category</vt:lpstr>
      <vt:lpstr>Pivot_Region</vt:lpstr>
      <vt:lpstr>Dashboard</vt:lpstr>
      <vt:lpstr>Pivot_Monthly</vt:lpstr>
      <vt:lpstr>Pivot_Top_Products</vt:lpstr>
      <vt:lpstr>Pivot_Top_Customers</vt:lpstr>
      <vt:lpstr>Pivot_SubCategory</vt:lpstr>
      <vt:lpstr>Pivot_Sales_Category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naikvarad74@gmail.com</cp:lastModifiedBy>
  <dcterms:created xsi:type="dcterms:W3CDTF">2026-10-07T19:31:56Z</dcterms:created>
  <dcterms:modified xsi:type="dcterms:W3CDTF">2026-10-22T13:05:12Z</dcterms:modified>
</cp:coreProperties>
</file>